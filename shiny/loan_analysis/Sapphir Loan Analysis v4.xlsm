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dima/Documents/Coding/R/shiny/loan_analysis/"/>
    </mc:Choice>
  </mc:AlternateContent>
  <xr:revisionPtr revIDLastSave="0" documentId="8_{F2BD6C93-F875-1F48-9E88-56EDC7B1C41E}" xr6:coauthVersionLast="45" xr6:coauthVersionMax="45" xr10:uidLastSave="{00000000-0000-0000-0000-000000000000}"/>
  <bookViews>
    <workbookView xWindow="0" yWindow="460" windowWidth="19420" windowHeight="13780" tabRatio="749" activeTab="4" xr2:uid="{E7189AE9-15A2-499C-910F-C84864B3B820}"/>
  </bookViews>
  <sheets>
    <sheet name="Summary" sheetId="16" r:id="rId1"/>
    <sheet name="Weekly 250 (2)" sheetId="17" state="hidden" r:id="rId2"/>
    <sheet name="BiWeekly 250 (2)" sheetId="19" state="hidden" r:id="rId3"/>
    <sheet name="Monthly 250 (2)" sheetId="18" state="hidden" r:id="rId4"/>
    <sheet name="Weekly 250" sheetId="1" r:id="rId5"/>
    <sheet name="BiWeekly 250" sheetId="6" r:id="rId6"/>
    <sheet name="Monthly 250" sheetId="11" r:id="rId7"/>
    <sheet name="Weekly 500" sheetId="2" r:id="rId8"/>
    <sheet name="Weekly 750" sheetId="3" r:id="rId9"/>
    <sheet name="Weekly 1000" sheetId="4" r:id="rId10"/>
    <sheet name="Weekly 1250" sheetId="5" r:id="rId11"/>
    <sheet name="BiWeekly 500" sheetId="7" r:id="rId12"/>
    <sheet name="BiWeekly 750" sheetId="8" r:id="rId13"/>
    <sheet name="BiWeekly 1000" sheetId="9" r:id="rId14"/>
    <sheet name="BiWeekly 1250" sheetId="10" r:id="rId15"/>
    <sheet name="Monthly 500" sheetId="12" r:id="rId16"/>
    <sheet name="Monthly 750" sheetId="13" r:id="rId17"/>
    <sheet name="Monthly 1000" sheetId="14" r:id="rId18"/>
    <sheet name="Monthly 1250" sheetId="15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5" l="1"/>
  <c r="F2" i="14"/>
  <c r="B11" i="14" s="1"/>
  <c r="C12" i="15"/>
  <c r="C12" i="14"/>
  <c r="C13" i="14" s="1"/>
  <c r="F2" i="13"/>
  <c r="C12" i="13"/>
  <c r="C13" i="13" s="1"/>
  <c r="C12" i="12"/>
  <c r="F2" i="12"/>
  <c r="B11" i="12" s="1"/>
  <c r="F2" i="11"/>
  <c r="F2" i="10"/>
  <c r="F2" i="9"/>
  <c r="F2" i="8"/>
  <c r="F2" i="7"/>
  <c r="F2" i="6"/>
  <c r="C13" i="11"/>
  <c r="C12" i="11"/>
  <c r="C13" i="10"/>
  <c r="C12" i="10"/>
  <c r="C12" i="9"/>
  <c r="C13" i="8"/>
  <c r="C12" i="8"/>
  <c r="C12" i="7"/>
  <c r="C12" i="6"/>
  <c r="F2" i="4"/>
  <c r="F2" i="3"/>
  <c r="C12" i="5"/>
  <c r="C13" i="5" s="1"/>
  <c r="C14" i="4"/>
  <c r="C13" i="4"/>
  <c r="C12" i="4"/>
  <c r="C13" i="3"/>
  <c r="C12" i="3"/>
  <c r="F2" i="2"/>
  <c r="F2" i="1"/>
  <c r="E7" i="17"/>
  <c r="E7" i="19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C13" i="2"/>
  <c r="C14" i="2" s="1"/>
  <c r="C12" i="2"/>
  <c r="C12" i="18"/>
  <c r="C13" i="18" s="1"/>
  <c r="G11" i="18"/>
  <c r="F4" i="19"/>
  <c r="C14" i="19"/>
  <c r="C13" i="19"/>
  <c r="C12" i="19"/>
  <c r="H11" i="19"/>
  <c r="E12" i="19" s="1"/>
  <c r="F12" i="19" s="1"/>
  <c r="G11" i="19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11" i="17"/>
  <c r="C12" i="17"/>
  <c r="C13" i="17" s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C13" i="15" l="1"/>
  <c r="C14" i="14"/>
  <c r="D11" i="14"/>
  <c r="B12" i="14"/>
  <c r="C14" i="13"/>
  <c r="D11" i="12"/>
  <c r="B12" i="12"/>
  <c r="C13" i="12"/>
  <c r="C14" i="11"/>
  <c r="C14" i="10"/>
  <c r="C13" i="9"/>
  <c r="C14" i="8"/>
  <c r="C13" i="7"/>
  <c r="C13" i="6"/>
  <c r="C14" i="5"/>
  <c r="C15" i="4"/>
  <c r="C14" i="3"/>
  <c r="C15" i="2"/>
  <c r="C14" i="18"/>
  <c r="C15" i="19"/>
  <c r="G12" i="19"/>
  <c r="H12" i="19" s="1"/>
  <c r="C14" i="17"/>
  <c r="C4" i="19"/>
  <c r="F2" i="19"/>
  <c r="B11" i="19" s="1"/>
  <c r="F2" i="18"/>
  <c r="B11" i="18" s="1"/>
  <c r="C14" i="15" l="1"/>
  <c r="D12" i="14"/>
  <c r="B13" i="14"/>
  <c r="C15" i="14"/>
  <c r="C15" i="13"/>
  <c r="C14" i="12"/>
  <c r="B13" i="12"/>
  <c r="D12" i="12"/>
  <c r="C15" i="11"/>
  <c r="C15" i="10"/>
  <c r="C14" i="9"/>
  <c r="C15" i="8"/>
  <c r="C14" i="7"/>
  <c r="C14" i="6"/>
  <c r="C15" i="5"/>
  <c r="C16" i="4"/>
  <c r="C15" i="3"/>
  <c r="C16" i="2"/>
  <c r="B12" i="18"/>
  <c r="D11" i="18"/>
  <c r="C15" i="18"/>
  <c r="E13" i="19"/>
  <c r="C16" i="19"/>
  <c r="B12" i="19"/>
  <c r="D11" i="19"/>
  <c r="C15" i="17"/>
  <c r="C7" i="18"/>
  <c r="H11" i="18" s="1"/>
  <c r="C15" i="15" l="1"/>
  <c r="C16" i="14"/>
  <c r="D13" i="14"/>
  <c r="B14" i="14"/>
  <c r="C16" i="13"/>
  <c r="B14" i="12"/>
  <c r="D13" i="12"/>
  <c r="C15" i="12"/>
  <c r="C16" i="11"/>
  <c r="C16" i="10"/>
  <c r="C15" i="9"/>
  <c r="C16" i="8"/>
  <c r="C15" i="7"/>
  <c r="C15" i="6"/>
  <c r="C16" i="5"/>
  <c r="C17" i="4"/>
  <c r="C16" i="3"/>
  <c r="C17" i="2"/>
  <c r="F211" i="18"/>
  <c r="F179" i="18"/>
  <c r="F171" i="18"/>
  <c r="F210" i="18"/>
  <c r="F202" i="18"/>
  <c r="F194" i="18"/>
  <c r="F186" i="18"/>
  <c r="F178" i="18"/>
  <c r="F170" i="18"/>
  <c r="F209" i="18"/>
  <c r="F201" i="18"/>
  <c r="F193" i="18"/>
  <c r="F185" i="18"/>
  <c r="F177" i="18"/>
  <c r="F169" i="18"/>
  <c r="F208" i="18"/>
  <c r="F200" i="18"/>
  <c r="F192" i="18"/>
  <c r="F184" i="18"/>
  <c r="F176" i="18"/>
  <c r="F168" i="18"/>
  <c r="F206" i="18"/>
  <c r="F190" i="18"/>
  <c r="F182" i="18"/>
  <c r="F174" i="18"/>
  <c r="F203" i="18"/>
  <c r="F207" i="18"/>
  <c r="F199" i="18"/>
  <c r="F191" i="18"/>
  <c r="F183" i="18"/>
  <c r="F175" i="18"/>
  <c r="F167" i="18"/>
  <c r="F198" i="18"/>
  <c r="F166" i="18"/>
  <c r="F195" i="18"/>
  <c r="F205" i="18"/>
  <c r="F197" i="18"/>
  <c r="F189" i="18"/>
  <c r="F181" i="18"/>
  <c r="F173" i="18"/>
  <c r="F165" i="18"/>
  <c r="F204" i="18"/>
  <c r="F196" i="18"/>
  <c r="F188" i="18"/>
  <c r="F180" i="18"/>
  <c r="F172" i="18"/>
  <c r="F187" i="18"/>
  <c r="E12" i="18"/>
  <c r="F12" i="18" s="1"/>
  <c r="C16" i="18"/>
  <c r="B13" i="18"/>
  <c r="D12" i="18"/>
  <c r="D12" i="19"/>
  <c r="B13" i="19"/>
  <c r="C17" i="19"/>
  <c r="F13" i="19"/>
  <c r="C16" i="17"/>
  <c r="C16" i="15" l="1"/>
  <c r="C17" i="14"/>
  <c r="D14" i="14"/>
  <c r="B15" i="14"/>
  <c r="C17" i="13"/>
  <c r="B15" i="12"/>
  <c r="D14" i="12"/>
  <c r="C16" i="12"/>
  <c r="C17" i="11"/>
  <c r="C17" i="10"/>
  <c r="C16" i="9"/>
  <c r="C17" i="8"/>
  <c r="C16" i="7"/>
  <c r="C16" i="6"/>
  <c r="C17" i="5"/>
  <c r="C18" i="4"/>
  <c r="C17" i="3"/>
  <c r="C18" i="2"/>
  <c r="C17" i="18"/>
  <c r="D13" i="18"/>
  <c r="B14" i="18"/>
  <c r="G13" i="19"/>
  <c r="H13" i="19"/>
  <c r="C18" i="19"/>
  <c r="D13" i="19"/>
  <c r="B14" i="19"/>
  <c r="C17" i="17"/>
  <c r="C17" i="15" l="1"/>
  <c r="C18" i="14"/>
  <c r="D15" i="14"/>
  <c r="B16" i="14"/>
  <c r="C18" i="13"/>
  <c r="C17" i="12"/>
  <c r="B16" i="12"/>
  <c r="D15" i="12"/>
  <c r="C18" i="11"/>
  <c r="C18" i="10"/>
  <c r="C17" i="9"/>
  <c r="C18" i="8"/>
  <c r="C17" i="7"/>
  <c r="C17" i="6"/>
  <c r="C18" i="5"/>
  <c r="C19" i="4"/>
  <c r="C18" i="3"/>
  <c r="C19" i="2"/>
  <c r="C18" i="18"/>
  <c r="D14" i="18"/>
  <c r="B15" i="18"/>
  <c r="E14" i="19"/>
  <c r="F14" i="19" s="1"/>
  <c r="C19" i="19"/>
  <c r="D14" i="19"/>
  <c r="B15" i="19"/>
  <c r="C18" i="17"/>
  <c r="C18" i="15" l="1"/>
  <c r="C19" i="14"/>
  <c r="D16" i="14"/>
  <c r="B17" i="14"/>
  <c r="C19" i="13"/>
  <c r="B17" i="12"/>
  <c r="D16" i="12"/>
  <c r="C18" i="12"/>
  <c r="C19" i="11"/>
  <c r="C19" i="10"/>
  <c r="C18" i="9"/>
  <c r="C19" i="8"/>
  <c r="C18" i="7"/>
  <c r="C18" i="6"/>
  <c r="C19" i="5"/>
  <c r="C20" i="4"/>
  <c r="C19" i="3"/>
  <c r="C20" i="2"/>
  <c r="D15" i="18"/>
  <c r="B16" i="18"/>
  <c r="C19" i="18"/>
  <c r="G14" i="19"/>
  <c r="H14" i="19" s="1"/>
  <c r="C20" i="19"/>
  <c r="B16" i="19"/>
  <c r="D15" i="19"/>
  <c r="C19" i="17"/>
  <c r="C19" i="15" l="1"/>
  <c r="C20" i="14"/>
  <c r="D17" i="14"/>
  <c r="B18" i="14"/>
  <c r="C20" i="13"/>
  <c r="C19" i="12"/>
  <c r="B18" i="12"/>
  <c r="D17" i="12"/>
  <c r="C20" i="11"/>
  <c r="C20" i="10"/>
  <c r="C19" i="9"/>
  <c r="C20" i="8"/>
  <c r="C19" i="7"/>
  <c r="C19" i="6"/>
  <c r="C20" i="5"/>
  <c r="C21" i="4"/>
  <c r="C20" i="3"/>
  <c r="C21" i="2"/>
  <c r="C20" i="18"/>
  <c r="D16" i="18"/>
  <c r="B17" i="18"/>
  <c r="E15" i="19"/>
  <c r="F15" i="19" s="1"/>
  <c r="B17" i="19"/>
  <c r="D16" i="19"/>
  <c r="C21" i="19"/>
  <c r="C20" i="17"/>
  <c r="C20" i="15" l="1"/>
  <c r="C21" i="14"/>
  <c r="D18" i="14"/>
  <c r="B19" i="14"/>
  <c r="C21" i="13"/>
  <c r="C20" i="12"/>
  <c r="B19" i="12"/>
  <c r="D18" i="12"/>
  <c r="C21" i="11"/>
  <c r="C21" i="10"/>
  <c r="C20" i="9"/>
  <c r="C21" i="8"/>
  <c r="C20" i="7"/>
  <c r="C20" i="6"/>
  <c r="C21" i="5"/>
  <c r="C22" i="4"/>
  <c r="C21" i="3"/>
  <c r="C22" i="2"/>
  <c r="C21" i="18"/>
  <c r="D17" i="18"/>
  <c r="B18" i="18"/>
  <c r="G15" i="19"/>
  <c r="C22" i="19"/>
  <c r="B18" i="19"/>
  <c r="D17" i="19"/>
  <c r="C21" i="17"/>
  <c r="C21" i="15" l="1"/>
  <c r="C22" i="14"/>
  <c r="D19" i="14"/>
  <c r="B20" i="14"/>
  <c r="C22" i="13"/>
  <c r="B20" i="12"/>
  <c r="D19" i="12"/>
  <c r="C21" i="12"/>
  <c r="C22" i="11"/>
  <c r="C22" i="10"/>
  <c r="C21" i="9"/>
  <c r="C22" i="8"/>
  <c r="C21" i="7"/>
  <c r="C21" i="6"/>
  <c r="C22" i="5"/>
  <c r="C23" i="4"/>
  <c r="C22" i="3"/>
  <c r="C23" i="2"/>
  <c r="C22" i="18"/>
  <c r="B19" i="18"/>
  <c r="D18" i="18"/>
  <c r="H15" i="19"/>
  <c r="E16" i="19" s="1"/>
  <c r="D18" i="19"/>
  <c r="B19" i="19"/>
  <c r="C23" i="19"/>
  <c r="C22" i="17"/>
  <c r="C22" i="15" l="1"/>
  <c r="C23" i="14"/>
  <c r="D20" i="14"/>
  <c r="B21" i="14"/>
  <c r="C23" i="13"/>
  <c r="B21" i="12"/>
  <c r="D20" i="12"/>
  <c r="C22" i="12"/>
  <c r="C23" i="11"/>
  <c r="C23" i="10"/>
  <c r="C22" i="9"/>
  <c r="C23" i="8"/>
  <c r="C22" i="7"/>
  <c r="C22" i="6"/>
  <c r="C23" i="5"/>
  <c r="C24" i="4"/>
  <c r="C23" i="3"/>
  <c r="C24" i="2"/>
  <c r="C23" i="18"/>
  <c r="B20" i="18"/>
  <c r="D19" i="18"/>
  <c r="F16" i="19"/>
  <c r="G16" i="19" s="1"/>
  <c r="C24" i="19"/>
  <c r="D19" i="19"/>
  <c r="B20" i="19"/>
  <c r="C23" i="17"/>
  <c r="C23" i="15" l="1"/>
  <c r="C24" i="14"/>
  <c r="D21" i="14"/>
  <c r="B22" i="14"/>
  <c r="C24" i="13"/>
  <c r="C23" i="12"/>
  <c r="B22" i="12"/>
  <c r="D21" i="12"/>
  <c r="C24" i="11"/>
  <c r="C24" i="10"/>
  <c r="C23" i="9"/>
  <c r="C24" i="8"/>
  <c r="C23" i="7"/>
  <c r="C23" i="6"/>
  <c r="C24" i="5"/>
  <c r="C25" i="4"/>
  <c r="C24" i="3"/>
  <c r="C25" i="2"/>
  <c r="B21" i="18"/>
  <c r="D20" i="18"/>
  <c r="C24" i="18"/>
  <c r="H16" i="19"/>
  <c r="E17" i="19"/>
  <c r="F17" i="19" s="1"/>
  <c r="G17" i="19" s="1"/>
  <c r="C25" i="19"/>
  <c r="D20" i="19"/>
  <c r="B21" i="19"/>
  <c r="C24" i="17"/>
  <c r="C24" i="15" l="1"/>
  <c r="C25" i="14"/>
  <c r="D22" i="14"/>
  <c r="B23" i="14"/>
  <c r="C25" i="13"/>
  <c r="B23" i="12"/>
  <c r="D22" i="12"/>
  <c r="C24" i="12"/>
  <c r="C25" i="11"/>
  <c r="C25" i="10"/>
  <c r="C24" i="9"/>
  <c r="C25" i="8"/>
  <c r="C24" i="7"/>
  <c r="C24" i="6"/>
  <c r="C25" i="5"/>
  <c r="C26" i="4"/>
  <c r="C25" i="3"/>
  <c r="C26" i="2"/>
  <c r="C25" i="18"/>
  <c r="B22" i="18"/>
  <c r="D21" i="18"/>
  <c r="H17" i="19"/>
  <c r="E18" i="19" s="1"/>
  <c r="C26" i="19"/>
  <c r="D21" i="19"/>
  <c r="B22" i="19"/>
  <c r="C25" i="17"/>
  <c r="C25" i="15" l="1"/>
  <c r="C26" i="14"/>
  <c r="D23" i="14"/>
  <c r="B24" i="14"/>
  <c r="C26" i="13"/>
  <c r="C25" i="12"/>
  <c r="B24" i="12"/>
  <c r="D23" i="12"/>
  <c r="C26" i="11"/>
  <c r="C26" i="10"/>
  <c r="C25" i="9"/>
  <c r="C26" i="8"/>
  <c r="C25" i="7"/>
  <c r="C25" i="6"/>
  <c r="C26" i="5"/>
  <c r="C27" i="4"/>
  <c r="C26" i="3"/>
  <c r="C27" i="2"/>
  <c r="B23" i="18"/>
  <c r="D22" i="18"/>
  <c r="C26" i="18"/>
  <c r="F18" i="19"/>
  <c r="G18" i="19" s="1"/>
  <c r="C27" i="19"/>
  <c r="D22" i="19"/>
  <c r="B23" i="19"/>
  <c r="C26" i="17"/>
  <c r="C26" i="15" l="1"/>
  <c r="C27" i="14"/>
  <c r="D24" i="14"/>
  <c r="B25" i="14"/>
  <c r="C27" i="13"/>
  <c r="C26" i="12"/>
  <c r="B25" i="12"/>
  <c r="D24" i="12"/>
  <c r="C27" i="11"/>
  <c r="C27" i="10"/>
  <c r="C26" i="9"/>
  <c r="C27" i="8"/>
  <c r="C26" i="7"/>
  <c r="C26" i="6"/>
  <c r="C27" i="5"/>
  <c r="C28" i="4"/>
  <c r="C27" i="3"/>
  <c r="C28" i="2"/>
  <c r="C27" i="18"/>
  <c r="D23" i="18"/>
  <c r="B24" i="18"/>
  <c r="H18" i="19"/>
  <c r="E19" i="19"/>
  <c r="C28" i="19"/>
  <c r="B24" i="19"/>
  <c r="D23" i="19"/>
  <c r="C27" i="17"/>
  <c r="C27" i="15" l="1"/>
  <c r="C28" i="14"/>
  <c r="D25" i="14"/>
  <c r="B26" i="14"/>
  <c r="C28" i="13"/>
  <c r="B26" i="12"/>
  <c r="D25" i="12"/>
  <c r="C27" i="12"/>
  <c r="C28" i="11"/>
  <c r="C28" i="10"/>
  <c r="C27" i="9"/>
  <c r="C28" i="8"/>
  <c r="C27" i="7"/>
  <c r="C27" i="6"/>
  <c r="C28" i="5"/>
  <c r="C29" i="4"/>
  <c r="C28" i="3"/>
  <c r="C29" i="2"/>
  <c r="D24" i="18"/>
  <c r="B25" i="18"/>
  <c r="C28" i="18"/>
  <c r="B25" i="19"/>
  <c r="D24" i="19"/>
  <c r="C29" i="19"/>
  <c r="F19" i="19"/>
  <c r="G19" i="19" s="1"/>
  <c r="C28" i="17"/>
  <c r="C28" i="15" l="1"/>
  <c r="C29" i="14"/>
  <c r="D26" i="14"/>
  <c r="B27" i="14"/>
  <c r="C29" i="13"/>
  <c r="C28" i="12"/>
  <c r="B27" i="12"/>
  <c r="D26" i="12"/>
  <c r="C29" i="11"/>
  <c r="C29" i="10"/>
  <c r="C28" i="9"/>
  <c r="C29" i="8"/>
  <c r="C28" i="7"/>
  <c r="C28" i="6"/>
  <c r="C29" i="5"/>
  <c r="C30" i="4"/>
  <c r="C29" i="3"/>
  <c r="C30" i="2"/>
  <c r="C29" i="18"/>
  <c r="D25" i="18"/>
  <c r="B26" i="18"/>
  <c r="C30" i="19"/>
  <c r="H19" i="19"/>
  <c r="E20" i="19" s="1"/>
  <c r="B26" i="19"/>
  <c r="D25" i="19"/>
  <c r="C29" i="17"/>
  <c r="C29" i="15" l="1"/>
  <c r="C30" i="14"/>
  <c r="D27" i="14"/>
  <c r="B28" i="14"/>
  <c r="C30" i="13"/>
  <c r="B28" i="12"/>
  <c r="D27" i="12"/>
  <c r="C29" i="12"/>
  <c r="C30" i="11"/>
  <c r="C30" i="10"/>
  <c r="C29" i="9"/>
  <c r="C30" i="8"/>
  <c r="C29" i="7"/>
  <c r="C29" i="6"/>
  <c r="C30" i="5"/>
  <c r="C31" i="4"/>
  <c r="C30" i="3"/>
  <c r="C31" i="2"/>
  <c r="D26" i="18"/>
  <c r="B27" i="18"/>
  <c r="C30" i="18"/>
  <c r="F20" i="19"/>
  <c r="G20" i="19" s="1"/>
  <c r="C31" i="19"/>
  <c r="D26" i="19"/>
  <c r="B27" i="19"/>
  <c r="C30" i="17"/>
  <c r="C30" i="15" l="1"/>
  <c r="C31" i="14"/>
  <c r="D28" i="14"/>
  <c r="B29" i="14"/>
  <c r="C31" i="13"/>
  <c r="C30" i="12"/>
  <c r="B29" i="12"/>
  <c r="D28" i="12"/>
  <c r="C31" i="11"/>
  <c r="C31" i="10"/>
  <c r="C30" i="9"/>
  <c r="C31" i="8"/>
  <c r="C30" i="7"/>
  <c r="C30" i="6"/>
  <c r="C31" i="5"/>
  <c r="C32" i="4"/>
  <c r="C31" i="3"/>
  <c r="C32" i="2"/>
  <c r="C31" i="18"/>
  <c r="B28" i="18"/>
  <c r="D27" i="18"/>
  <c r="H20" i="19"/>
  <c r="E21" i="19" s="1"/>
  <c r="C32" i="19"/>
  <c r="D27" i="19"/>
  <c r="B28" i="19"/>
  <c r="C31" i="17"/>
  <c r="C31" i="15" l="1"/>
  <c r="C32" i="14"/>
  <c r="D29" i="14"/>
  <c r="B30" i="14"/>
  <c r="C32" i="13"/>
  <c r="C31" i="12"/>
  <c r="B30" i="12"/>
  <c r="D29" i="12"/>
  <c r="C32" i="11"/>
  <c r="C32" i="10"/>
  <c r="C31" i="9"/>
  <c r="C32" i="8"/>
  <c r="C31" i="7"/>
  <c r="C31" i="6"/>
  <c r="C32" i="5"/>
  <c r="C33" i="4"/>
  <c r="C32" i="3"/>
  <c r="C33" i="2"/>
  <c r="B29" i="18"/>
  <c r="D28" i="18"/>
  <c r="C32" i="18"/>
  <c r="F21" i="19"/>
  <c r="G21" i="19" s="1"/>
  <c r="C33" i="19"/>
  <c r="D28" i="19"/>
  <c r="B29" i="19"/>
  <c r="C32" i="17"/>
  <c r="C32" i="15" l="1"/>
  <c r="C33" i="14"/>
  <c r="D30" i="14"/>
  <c r="B31" i="14"/>
  <c r="C33" i="13"/>
  <c r="B31" i="12"/>
  <c r="D30" i="12"/>
  <c r="C32" i="12"/>
  <c r="C33" i="11"/>
  <c r="C33" i="10"/>
  <c r="C32" i="9"/>
  <c r="C33" i="8"/>
  <c r="C32" i="7"/>
  <c r="C32" i="6"/>
  <c r="C33" i="5"/>
  <c r="C34" i="4"/>
  <c r="C33" i="3"/>
  <c r="C34" i="2"/>
  <c r="C33" i="18"/>
  <c r="B30" i="18"/>
  <c r="D29" i="18"/>
  <c r="H21" i="19"/>
  <c r="E22" i="19" s="1"/>
  <c r="C34" i="19"/>
  <c r="D29" i="19"/>
  <c r="B30" i="19"/>
  <c r="C33" i="17"/>
  <c r="C33" i="15" l="1"/>
  <c r="C34" i="14"/>
  <c r="D31" i="14"/>
  <c r="B32" i="14"/>
  <c r="C34" i="13"/>
  <c r="C33" i="12"/>
  <c r="B32" i="12"/>
  <c r="D31" i="12"/>
  <c r="C34" i="11"/>
  <c r="C34" i="10"/>
  <c r="C33" i="9"/>
  <c r="C34" i="8"/>
  <c r="C33" i="7"/>
  <c r="C33" i="6"/>
  <c r="C34" i="5"/>
  <c r="C35" i="4"/>
  <c r="C34" i="3"/>
  <c r="C35" i="2"/>
  <c r="B31" i="18"/>
  <c r="D30" i="18"/>
  <c r="C34" i="18"/>
  <c r="F22" i="19"/>
  <c r="G22" i="19" s="1"/>
  <c r="C35" i="19"/>
  <c r="D30" i="19"/>
  <c r="B31" i="19"/>
  <c r="C34" i="17"/>
  <c r="C34" i="15" l="1"/>
  <c r="C35" i="14"/>
  <c r="D32" i="14"/>
  <c r="B33" i="14"/>
  <c r="C35" i="13"/>
  <c r="B33" i="12"/>
  <c r="D32" i="12"/>
  <c r="C34" i="12"/>
  <c r="C35" i="11"/>
  <c r="C35" i="10"/>
  <c r="C34" i="9"/>
  <c r="C35" i="8"/>
  <c r="C34" i="7"/>
  <c r="C34" i="6"/>
  <c r="C35" i="5"/>
  <c r="C36" i="4"/>
  <c r="C35" i="3"/>
  <c r="C36" i="2"/>
  <c r="C35" i="18"/>
  <c r="D31" i="18"/>
  <c r="B32" i="18"/>
  <c r="H22" i="19"/>
  <c r="E23" i="19" s="1"/>
  <c r="C36" i="19"/>
  <c r="B32" i="19"/>
  <c r="D31" i="19"/>
  <c r="C35" i="17"/>
  <c r="C35" i="15" l="1"/>
  <c r="C36" i="14"/>
  <c r="D33" i="14"/>
  <c r="B34" i="14"/>
  <c r="C36" i="13"/>
  <c r="B34" i="12"/>
  <c r="D33" i="12"/>
  <c r="C35" i="12"/>
  <c r="C36" i="11"/>
  <c r="C36" i="10"/>
  <c r="C35" i="9"/>
  <c r="C36" i="8"/>
  <c r="C35" i="7"/>
  <c r="C35" i="6"/>
  <c r="C36" i="5"/>
  <c r="C37" i="4"/>
  <c r="C36" i="3"/>
  <c r="C37" i="2"/>
  <c r="D32" i="18"/>
  <c r="B33" i="18"/>
  <c r="C36" i="18"/>
  <c r="C37" i="19"/>
  <c r="F23" i="19"/>
  <c r="G23" i="19" s="1"/>
  <c r="B33" i="19"/>
  <c r="D32" i="19"/>
  <c r="C36" i="17"/>
  <c r="C36" i="15" l="1"/>
  <c r="C37" i="14"/>
  <c r="D34" i="14"/>
  <c r="B35" i="14"/>
  <c r="C37" i="13"/>
  <c r="C36" i="12"/>
  <c r="B35" i="12"/>
  <c r="D34" i="12"/>
  <c r="C37" i="11"/>
  <c r="C37" i="10"/>
  <c r="C36" i="9"/>
  <c r="C37" i="8"/>
  <c r="C36" i="7"/>
  <c r="C36" i="6"/>
  <c r="C37" i="5"/>
  <c r="C38" i="4"/>
  <c r="C37" i="3"/>
  <c r="C38" i="2"/>
  <c r="C37" i="18"/>
  <c r="D33" i="18"/>
  <c r="B34" i="18"/>
  <c r="H23" i="19"/>
  <c r="E24" i="19"/>
  <c r="D33" i="19"/>
  <c r="B34" i="19"/>
  <c r="C38" i="19"/>
  <c r="C37" i="17"/>
  <c r="C37" i="15" l="1"/>
  <c r="D35" i="14"/>
  <c r="B36" i="14"/>
  <c r="C38" i="14"/>
  <c r="C38" i="13"/>
  <c r="B36" i="12"/>
  <c r="D35" i="12"/>
  <c r="C37" i="12"/>
  <c r="C38" i="11"/>
  <c r="C38" i="10"/>
  <c r="C37" i="9"/>
  <c r="C38" i="8"/>
  <c r="C37" i="7"/>
  <c r="C37" i="6"/>
  <c r="C38" i="5"/>
  <c r="C39" i="4"/>
  <c r="C38" i="3"/>
  <c r="C39" i="2"/>
  <c r="D34" i="18"/>
  <c r="B35" i="18"/>
  <c r="C38" i="18"/>
  <c r="F24" i="19"/>
  <c r="G24" i="19" s="1"/>
  <c r="C39" i="19"/>
  <c r="B35" i="19"/>
  <c r="D34" i="19"/>
  <c r="C38" i="17"/>
  <c r="C38" i="15" l="1"/>
  <c r="C39" i="14"/>
  <c r="D36" i="14"/>
  <c r="B37" i="14"/>
  <c r="C39" i="13"/>
  <c r="C38" i="12"/>
  <c r="B37" i="12"/>
  <c r="D36" i="12"/>
  <c r="C39" i="11"/>
  <c r="C39" i="10"/>
  <c r="C38" i="9"/>
  <c r="C39" i="8"/>
  <c r="C38" i="7"/>
  <c r="C38" i="6"/>
  <c r="C39" i="5"/>
  <c r="C40" i="4"/>
  <c r="C39" i="3"/>
  <c r="C40" i="2"/>
  <c r="B36" i="18"/>
  <c r="D35" i="18"/>
  <c r="C39" i="18"/>
  <c r="H24" i="19"/>
  <c r="E25" i="19"/>
  <c r="B36" i="19"/>
  <c r="D35" i="19"/>
  <c r="C40" i="19"/>
  <c r="C39" i="17"/>
  <c r="C39" i="15" l="1"/>
  <c r="C40" i="14"/>
  <c r="D37" i="14"/>
  <c r="B38" i="14"/>
  <c r="C40" i="13"/>
  <c r="C39" i="12"/>
  <c r="B38" i="12"/>
  <c r="D37" i="12"/>
  <c r="C40" i="11"/>
  <c r="C40" i="10"/>
  <c r="C39" i="9"/>
  <c r="C40" i="8"/>
  <c r="C39" i="7"/>
  <c r="C39" i="6"/>
  <c r="C40" i="5"/>
  <c r="C41" i="4"/>
  <c r="C40" i="3"/>
  <c r="C41" i="2"/>
  <c r="C40" i="18"/>
  <c r="B37" i="18"/>
  <c r="D36" i="18"/>
  <c r="C41" i="19"/>
  <c r="F25" i="19"/>
  <c r="G25" i="19" s="1"/>
  <c r="B37" i="19"/>
  <c r="D36" i="19"/>
  <c r="C40" i="17"/>
  <c r="C40" i="15" l="1"/>
  <c r="C41" i="14"/>
  <c r="D38" i="14"/>
  <c r="B39" i="14"/>
  <c r="C41" i="13"/>
  <c r="B39" i="12"/>
  <c r="D38" i="12"/>
  <c r="C40" i="12"/>
  <c r="C41" i="11"/>
  <c r="C41" i="10"/>
  <c r="C40" i="9"/>
  <c r="C41" i="8"/>
  <c r="C40" i="7"/>
  <c r="C40" i="6"/>
  <c r="C41" i="5"/>
  <c r="C42" i="4"/>
  <c r="C41" i="3"/>
  <c r="C42" i="2"/>
  <c r="B38" i="18"/>
  <c r="D37" i="18"/>
  <c r="C41" i="18"/>
  <c r="H25" i="19"/>
  <c r="E26" i="19"/>
  <c r="C42" i="19"/>
  <c r="B38" i="19"/>
  <c r="D37" i="19"/>
  <c r="C41" i="17"/>
  <c r="C41" i="15" l="1"/>
  <c r="C42" i="14"/>
  <c r="D39" i="14"/>
  <c r="B40" i="14"/>
  <c r="C42" i="13"/>
  <c r="B40" i="12"/>
  <c r="D39" i="12"/>
  <c r="C41" i="12"/>
  <c r="C42" i="11"/>
  <c r="C42" i="10"/>
  <c r="C41" i="9"/>
  <c r="C42" i="8"/>
  <c r="C41" i="7"/>
  <c r="C41" i="6"/>
  <c r="C42" i="5"/>
  <c r="C43" i="4"/>
  <c r="C42" i="3"/>
  <c r="C43" i="2"/>
  <c r="C42" i="18"/>
  <c r="B39" i="18"/>
  <c r="D38" i="18"/>
  <c r="B39" i="19"/>
  <c r="D38" i="19"/>
  <c r="C43" i="19"/>
  <c r="F26" i="19"/>
  <c r="G26" i="19" s="1"/>
  <c r="C42" i="17"/>
  <c r="C42" i="15" l="1"/>
  <c r="D40" i="14"/>
  <c r="B41" i="14"/>
  <c r="C43" i="14"/>
  <c r="C43" i="13"/>
  <c r="C42" i="12"/>
  <c r="B41" i="12"/>
  <c r="D40" i="12"/>
  <c r="C43" i="11"/>
  <c r="C43" i="10"/>
  <c r="C42" i="9"/>
  <c r="C43" i="8"/>
  <c r="C42" i="7"/>
  <c r="C42" i="6"/>
  <c r="C43" i="5"/>
  <c r="C44" i="4"/>
  <c r="C43" i="3"/>
  <c r="C44" i="2"/>
  <c r="D39" i="18"/>
  <c r="B40" i="18"/>
  <c r="C43" i="18"/>
  <c r="H26" i="19"/>
  <c r="E27" i="19"/>
  <c r="C44" i="19"/>
  <c r="D39" i="19"/>
  <c r="B40" i="19"/>
  <c r="C43" i="17"/>
  <c r="C43" i="15" l="1"/>
  <c r="D41" i="14"/>
  <c r="B42" i="14"/>
  <c r="C44" i="14"/>
  <c r="C44" i="13"/>
  <c r="C43" i="12"/>
  <c r="B42" i="12"/>
  <c r="D41" i="12"/>
  <c r="C44" i="11"/>
  <c r="C44" i="10"/>
  <c r="C43" i="9"/>
  <c r="C44" i="8"/>
  <c r="C43" i="7"/>
  <c r="C43" i="6"/>
  <c r="C44" i="5"/>
  <c r="C45" i="4"/>
  <c r="C44" i="3"/>
  <c r="C45" i="2"/>
  <c r="D40" i="18"/>
  <c r="B41" i="18"/>
  <c r="C44" i="18"/>
  <c r="F27" i="19"/>
  <c r="G27" i="19" s="1"/>
  <c r="C45" i="19"/>
  <c r="D40" i="19"/>
  <c r="B41" i="19"/>
  <c r="C44" i="17"/>
  <c r="C44" i="15" l="1"/>
  <c r="C45" i="14"/>
  <c r="D42" i="14"/>
  <c r="B43" i="14"/>
  <c r="C45" i="13"/>
  <c r="B43" i="12"/>
  <c r="D42" i="12"/>
  <c r="C44" i="12"/>
  <c r="C45" i="11"/>
  <c r="C45" i="10"/>
  <c r="C44" i="9"/>
  <c r="C45" i="8"/>
  <c r="C44" i="7"/>
  <c r="C44" i="6"/>
  <c r="C45" i="5"/>
  <c r="C46" i="4"/>
  <c r="C45" i="3"/>
  <c r="C46" i="2"/>
  <c r="C45" i="18"/>
  <c r="D41" i="18"/>
  <c r="B42" i="18"/>
  <c r="H27" i="19"/>
  <c r="E28" i="19"/>
  <c r="C46" i="19"/>
  <c r="D41" i="19"/>
  <c r="B42" i="19"/>
  <c r="C45" i="17"/>
  <c r="C45" i="15" l="1"/>
  <c r="C46" i="14"/>
  <c r="D43" i="14"/>
  <c r="B44" i="14"/>
  <c r="C46" i="13"/>
  <c r="C45" i="12"/>
  <c r="B44" i="12"/>
  <c r="D43" i="12"/>
  <c r="C46" i="11"/>
  <c r="C46" i="10"/>
  <c r="C45" i="9"/>
  <c r="C46" i="8"/>
  <c r="C45" i="7"/>
  <c r="C45" i="6"/>
  <c r="C46" i="5"/>
  <c r="C47" i="4"/>
  <c r="C46" i="3"/>
  <c r="C47" i="2"/>
  <c r="D42" i="18"/>
  <c r="B43" i="18"/>
  <c r="C46" i="18"/>
  <c r="F28" i="19"/>
  <c r="G28" i="19" s="1"/>
  <c r="C47" i="19"/>
  <c r="D42" i="19"/>
  <c r="B43" i="19"/>
  <c r="C46" i="17"/>
  <c r="C46" i="15" l="1"/>
  <c r="C47" i="14"/>
  <c r="D44" i="14"/>
  <c r="B45" i="14"/>
  <c r="C47" i="13"/>
  <c r="C46" i="12"/>
  <c r="B45" i="12"/>
  <c r="D44" i="12"/>
  <c r="C47" i="11"/>
  <c r="C47" i="10"/>
  <c r="C46" i="9"/>
  <c r="C47" i="8"/>
  <c r="C46" i="7"/>
  <c r="C46" i="6"/>
  <c r="C47" i="5"/>
  <c r="C48" i="4"/>
  <c r="C47" i="3"/>
  <c r="C48" i="2"/>
  <c r="C47" i="18"/>
  <c r="B44" i="18"/>
  <c r="D43" i="18"/>
  <c r="H28" i="19"/>
  <c r="E29" i="19" s="1"/>
  <c r="C48" i="19"/>
  <c r="B44" i="19"/>
  <c r="D43" i="19"/>
  <c r="C47" i="17"/>
  <c r="C47" i="15" l="1"/>
  <c r="C48" i="14"/>
  <c r="D45" i="14"/>
  <c r="B46" i="14"/>
  <c r="C48" i="13"/>
  <c r="B46" i="12"/>
  <c r="D45" i="12"/>
  <c r="C47" i="12"/>
  <c r="C48" i="11"/>
  <c r="C48" i="10"/>
  <c r="C47" i="9"/>
  <c r="C48" i="8"/>
  <c r="C47" i="7"/>
  <c r="C47" i="6"/>
  <c r="C48" i="5"/>
  <c r="C49" i="4"/>
  <c r="C48" i="3"/>
  <c r="C49" i="2"/>
  <c r="B45" i="18"/>
  <c r="D44" i="18"/>
  <c r="C48" i="18"/>
  <c r="B45" i="19"/>
  <c r="D44" i="19"/>
  <c r="C49" i="19"/>
  <c r="F29" i="19"/>
  <c r="G29" i="19" s="1"/>
  <c r="C48" i="17"/>
  <c r="C48" i="15" l="1"/>
  <c r="C49" i="14"/>
  <c r="D46" i="14"/>
  <c r="B47" i="14"/>
  <c r="C49" i="13"/>
  <c r="B47" i="12"/>
  <c r="D46" i="12"/>
  <c r="C48" i="12"/>
  <c r="C49" i="11"/>
  <c r="C49" i="10"/>
  <c r="C48" i="9"/>
  <c r="C49" i="8"/>
  <c r="C48" i="7"/>
  <c r="C48" i="6"/>
  <c r="C49" i="5"/>
  <c r="C50" i="4"/>
  <c r="C49" i="3"/>
  <c r="C50" i="2"/>
  <c r="C49" i="18"/>
  <c r="B46" i="18"/>
  <c r="D45" i="18"/>
  <c r="H29" i="19"/>
  <c r="E30" i="19"/>
  <c r="C50" i="19"/>
  <c r="B46" i="19"/>
  <c r="D45" i="19"/>
  <c r="C49" i="17"/>
  <c r="C49" i="15" l="1"/>
  <c r="C50" i="14"/>
  <c r="D47" i="14"/>
  <c r="B48" i="14"/>
  <c r="C50" i="13"/>
  <c r="B48" i="12"/>
  <c r="D47" i="12"/>
  <c r="C49" i="12"/>
  <c r="C50" i="11"/>
  <c r="C50" i="10"/>
  <c r="C49" i="9"/>
  <c r="C50" i="8"/>
  <c r="C49" i="7"/>
  <c r="C49" i="6"/>
  <c r="C50" i="5"/>
  <c r="C51" i="4"/>
  <c r="C50" i="3"/>
  <c r="C51" i="2"/>
  <c r="B47" i="18"/>
  <c r="D46" i="18"/>
  <c r="C50" i="18"/>
  <c r="C51" i="19"/>
  <c r="F30" i="19"/>
  <c r="G30" i="19" s="1"/>
  <c r="B47" i="19"/>
  <c r="D46" i="19"/>
  <c r="C50" i="17"/>
  <c r="C50" i="15" l="1"/>
  <c r="C51" i="14"/>
  <c r="D48" i="14"/>
  <c r="B49" i="14"/>
  <c r="C51" i="13"/>
  <c r="B49" i="12"/>
  <c r="D48" i="12"/>
  <c r="C50" i="12"/>
  <c r="C51" i="11"/>
  <c r="C51" i="10"/>
  <c r="C50" i="9"/>
  <c r="C51" i="8"/>
  <c r="C50" i="7"/>
  <c r="C50" i="6"/>
  <c r="C51" i="5"/>
  <c r="C52" i="4"/>
  <c r="C51" i="3"/>
  <c r="C52" i="2"/>
  <c r="C51" i="18"/>
  <c r="D47" i="18"/>
  <c r="B48" i="18"/>
  <c r="H30" i="19"/>
  <c r="E31" i="19"/>
  <c r="D47" i="19"/>
  <c r="B48" i="19"/>
  <c r="C52" i="19"/>
  <c r="C51" i="17"/>
  <c r="C51" i="15" l="1"/>
  <c r="C52" i="14"/>
  <c r="D49" i="14"/>
  <c r="B50" i="14"/>
  <c r="C52" i="13"/>
  <c r="C51" i="12"/>
  <c r="B50" i="12"/>
  <c r="D49" i="12"/>
  <c r="C52" i="11"/>
  <c r="C52" i="10"/>
  <c r="C51" i="9"/>
  <c r="C52" i="8"/>
  <c r="C51" i="7"/>
  <c r="C51" i="6"/>
  <c r="C52" i="5"/>
  <c r="C53" i="4"/>
  <c r="C52" i="3"/>
  <c r="C53" i="2"/>
  <c r="C52" i="18"/>
  <c r="D48" i="18"/>
  <c r="B49" i="18"/>
  <c r="D48" i="19"/>
  <c r="B49" i="19"/>
  <c r="F31" i="19"/>
  <c r="G31" i="19" s="1"/>
  <c r="C53" i="19"/>
  <c r="C52" i="17"/>
  <c r="C52" i="15" l="1"/>
  <c r="C53" i="14"/>
  <c r="D50" i="14"/>
  <c r="B51" i="14"/>
  <c r="C53" i="13"/>
  <c r="B51" i="12"/>
  <c r="D50" i="12"/>
  <c r="C52" i="12"/>
  <c r="C53" i="11"/>
  <c r="C53" i="10"/>
  <c r="C52" i="9"/>
  <c r="C53" i="8"/>
  <c r="C52" i="7"/>
  <c r="C52" i="6"/>
  <c r="C53" i="5"/>
  <c r="C54" i="4"/>
  <c r="C53" i="3"/>
  <c r="C54" i="2"/>
  <c r="D49" i="18"/>
  <c r="B50" i="18"/>
  <c r="C53" i="18"/>
  <c r="H31" i="19"/>
  <c r="E32" i="19"/>
  <c r="C54" i="19"/>
  <c r="D49" i="19"/>
  <c r="B50" i="19"/>
  <c r="C53" i="17"/>
  <c r="C53" i="15" l="1"/>
  <c r="D51" i="14"/>
  <c r="B52" i="14"/>
  <c r="C54" i="14"/>
  <c r="C54" i="13"/>
  <c r="C53" i="12"/>
  <c r="B52" i="12"/>
  <c r="D51" i="12"/>
  <c r="C54" i="11"/>
  <c r="C54" i="10"/>
  <c r="C53" i="9"/>
  <c r="C54" i="8"/>
  <c r="C53" i="7"/>
  <c r="C53" i="6"/>
  <c r="C54" i="5"/>
  <c r="C55" i="4"/>
  <c r="C54" i="3"/>
  <c r="C55" i="2"/>
  <c r="C54" i="18"/>
  <c r="D50" i="18"/>
  <c r="B51" i="18"/>
  <c r="F32" i="19"/>
  <c r="G32" i="19" s="1"/>
  <c r="C55" i="19"/>
  <c r="B51" i="19"/>
  <c r="D50" i="19"/>
  <c r="C54" i="17"/>
  <c r="C54" i="15" l="1"/>
  <c r="C55" i="14"/>
  <c r="D52" i="14"/>
  <c r="B53" i="14"/>
  <c r="C55" i="13"/>
  <c r="C54" i="12"/>
  <c r="D52" i="12"/>
  <c r="B53" i="12"/>
  <c r="C55" i="11"/>
  <c r="C55" i="10"/>
  <c r="C54" i="9"/>
  <c r="C55" i="8"/>
  <c r="C54" i="7"/>
  <c r="C54" i="6"/>
  <c r="C55" i="5"/>
  <c r="C56" i="4"/>
  <c r="C55" i="3"/>
  <c r="C56" i="2"/>
  <c r="B52" i="18"/>
  <c r="D51" i="18"/>
  <c r="C55" i="18"/>
  <c r="H32" i="19"/>
  <c r="E33" i="19"/>
  <c r="C56" i="19"/>
  <c r="B52" i="19"/>
  <c r="D51" i="19"/>
  <c r="E54" i="17"/>
  <c r="C55" i="17"/>
  <c r="F54" i="17"/>
  <c r="C55" i="15" l="1"/>
  <c r="C56" i="14"/>
  <c r="D53" i="14"/>
  <c r="B54" i="14"/>
  <c r="C56" i="13"/>
  <c r="C55" i="12"/>
  <c r="B54" i="12"/>
  <c r="D53" i="12"/>
  <c r="C56" i="11"/>
  <c r="C56" i="10"/>
  <c r="C55" i="9"/>
  <c r="C56" i="8"/>
  <c r="C55" i="7"/>
  <c r="C55" i="6"/>
  <c r="C56" i="5"/>
  <c r="C57" i="4"/>
  <c r="C56" i="3"/>
  <c r="C57" i="2"/>
  <c r="C56" i="18"/>
  <c r="B53" i="18"/>
  <c r="D52" i="18"/>
  <c r="B53" i="19"/>
  <c r="D52" i="19"/>
  <c r="C57" i="19"/>
  <c r="F33" i="19"/>
  <c r="G33" i="19" s="1"/>
  <c r="E55" i="17"/>
  <c r="C56" i="17"/>
  <c r="F55" i="17"/>
  <c r="C56" i="15" l="1"/>
  <c r="C57" i="14"/>
  <c r="D54" i="14"/>
  <c r="B55" i="14"/>
  <c r="C57" i="13"/>
  <c r="C56" i="12"/>
  <c r="D54" i="12"/>
  <c r="B55" i="12"/>
  <c r="C57" i="11"/>
  <c r="C57" i="10"/>
  <c r="C56" i="9"/>
  <c r="C57" i="8"/>
  <c r="C56" i="7"/>
  <c r="C56" i="6"/>
  <c r="C57" i="5"/>
  <c r="C58" i="4"/>
  <c r="C57" i="3"/>
  <c r="C58" i="2"/>
  <c r="B54" i="18"/>
  <c r="D53" i="18"/>
  <c r="C57" i="18"/>
  <c r="H33" i="19"/>
  <c r="E34" i="19" s="1"/>
  <c r="C58" i="19"/>
  <c r="B54" i="19"/>
  <c r="D53" i="19"/>
  <c r="E56" i="17"/>
  <c r="C57" i="17"/>
  <c r="F56" i="17"/>
  <c r="C57" i="15" l="1"/>
  <c r="C58" i="14"/>
  <c r="D55" i="14"/>
  <c r="B56" i="14"/>
  <c r="C58" i="13"/>
  <c r="B56" i="12"/>
  <c r="D55" i="12"/>
  <c r="C57" i="12"/>
  <c r="C58" i="11"/>
  <c r="C58" i="10"/>
  <c r="C57" i="9"/>
  <c r="C58" i="8"/>
  <c r="C57" i="7"/>
  <c r="C57" i="6"/>
  <c r="C58" i="5"/>
  <c r="C59" i="4"/>
  <c r="C58" i="3"/>
  <c r="C59" i="2"/>
  <c r="C58" i="18"/>
  <c r="B55" i="18"/>
  <c r="D54" i="18"/>
  <c r="B55" i="19"/>
  <c r="D54" i="19"/>
  <c r="F34" i="19"/>
  <c r="G34" i="19" s="1"/>
  <c r="C59" i="19"/>
  <c r="E57" i="17"/>
  <c r="C58" i="17"/>
  <c r="F57" i="17"/>
  <c r="C58" i="15" l="1"/>
  <c r="D56" i="14"/>
  <c r="B57" i="14"/>
  <c r="C59" i="14"/>
  <c r="C59" i="13"/>
  <c r="C58" i="12"/>
  <c r="B57" i="12"/>
  <c r="D56" i="12"/>
  <c r="C59" i="11"/>
  <c r="C59" i="10"/>
  <c r="C58" i="9"/>
  <c r="C59" i="8"/>
  <c r="C58" i="7"/>
  <c r="C58" i="6"/>
  <c r="C59" i="5"/>
  <c r="C60" i="4"/>
  <c r="C59" i="3"/>
  <c r="C60" i="2"/>
  <c r="D55" i="18"/>
  <c r="B56" i="18"/>
  <c r="C59" i="18"/>
  <c r="H34" i="19"/>
  <c r="E35" i="19"/>
  <c r="C60" i="19"/>
  <c r="D55" i="19"/>
  <c r="B56" i="19"/>
  <c r="E58" i="17"/>
  <c r="C59" i="17"/>
  <c r="F58" i="17"/>
  <c r="C59" i="15" l="1"/>
  <c r="C60" i="14"/>
  <c r="D57" i="14"/>
  <c r="B58" i="14"/>
  <c r="C60" i="13"/>
  <c r="C59" i="12"/>
  <c r="B58" i="12"/>
  <c r="D57" i="12"/>
  <c r="C60" i="11"/>
  <c r="C60" i="10"/>
  <c r="C59" i="9"/>
  <c r="C60" i="8"/>
  <c r="C59" i="7"/>
  <c r="C59" i="6"/>
  <c r="C60" i="5"/>
  <c r="C61" i="4"/>
  <c r="C60" i="3"/>
  <c r="C61" i="2"/>
  <c r="C60" i="18"/>
  <c r="D56" i="18"/>
  <c r="B57" i="18"/>
  <c r="C61" i="19"/>
  <c r="F35" i="19"/>
  <c r="G35" i="19" s="1"/>
  <c r="D56" i="19"/>
  <c r="B57" i="19"/>
  <c r="E59" i="17"/>
  <c r="C60" i="17"/>
  <c r="F59" i="17"/>
  <c r="C60" i="15" l="1"/>
  <c r="C61" i="14"/>
  <c r="D58" i="14"/>
  <c r="B59" i="14"/>
  <c r="C61" i="13"/>
  <c r="B59" i="12"/>
  <c r="D58" i="12"/>
  <c r="C60" i="12"/>
  <c r="C61" i="11"/>
  <c r="C61" i="10"/>
  <c r="C60" i="9"/>
  <c r="C61" i="8"/>
  <c r="C60" i="7"/>
  <c r="C60" i="6"/>
  <c r="C61" i="5"/>
  <c r="C62" i="4"/>
  <c r="C61" i="3"/>
  <c r="C62" i="2"/>
  <c r="D57" i="18"/>
  <c r="B58" i="18"/>
  <c r="C61" i="18"/>
  <c r="H35" i="19"/>
  <c r="E36" i="19"/>
  <c r="C62" i="19"/>
  <c r="D57" i="19"/>
  <c r="B58" i="19"/>
  <c r="E60" i="17"/>
  <c r="C61" i="17"/>
  <c r="F60" i="17"/>
  <c r="C61" i="15" l="1"/>
  <c r="C62" i="14"/>
  <c r="D59" i="14"/>
  <c r="B60" i="14"/>
  <c r="C62" i="13"/>
  <c r="B60" i="12"/>
  <c r="D59" i="12"/>
  <c r="C61" i="12"/>
  <c r="C62" i="11"/>
  <c r="C62" i="10"/>
  <c r="C61" i="9"/>
  <c r="C62" i="8"/>
  <c r="C61" i="7"/>
  <c r="C61" i="6"/>
  <c r="C62" i="5"/>
  <c r="C63" i="4"/>
  <c r="C62" i="3"/>
  <c r="C63" i="2"/>
  <c r="C62" i="18"/>
  <c r="D58" i="18"/>
  <c r="B59" i="18"/>
  <c r="F36" i="19"/>
  <c r="G36" i="19" s="1"/>
  <c r="C63" i="19"/>
  <c r="D58" i="19"/>
  <c r="B59" i="19"/>
  <c r="E61" i="17"/>
  <c r="C62" i="17"/>
  <c r="F61" i="17"/>
  <c r="C62" i="15" l="1"/>
  <c r="C63" i="14"/>
  <c r="D60" i="14"/>
  <c r="B61" i="14"/>
  <c r="C63" i="13"/>
  <c r="C62" i="12"/>
  <c r="B61" i="12"/>
  <c r="D60" i="12"/>
  <c r="C63" i="11"/>
  <c r="C63" i="10"/>
  <c r="C62" i="9"/>
  <c r="C63" i="8"/>
  <c r="C62" i="7"/>
  <c r="C62" i="6"/>
  <c r="C63" i="5"/>
  <c r="C64" i="4"/>
  <c r="C63" i="3"/>
  <c r="C64" i="2"/>
  <c r="B60" i="18"/>
  <c r="D59" i="18"/>
  <c r="C63" i="18"/>
  <c r="H36" i="19"/>
  <c r="E37" i="19"/>
  <c r="C64" i="19"/>
  <c r="B60" i="19"/>
  <c r="D59" i="19"/>
  <c r="E62" i="17"/>
  <c r="C63" i="17"/>
  <c r="F62" i="17"/>
  <c r="C63" i="15" l="1"/>
  <c r="C64" i="14"/>
  <c r="D61" i="14"/>
  <c r="B62" i="14"/>
  <c r="C64" i="13"/>
  <c r="B62" i="12"/>
  <c r="D61" i="12"/>
  <c r="C63" i="12"/>
  <c r="C64" i="11"/>
  <c r="C64" i="10"/>
  <c r="C63" i="9"/>
  <c r="C64" i="8"/>
  <c r="C63" i="7"/>
  <c r="C63" i="6"/>
  <c r="C64" i="5"/>
  <c r="C65" i="4"/>
  <c r="C64" i="3"/>
  <c r="C65" i="2"/>
  <c r="B61" i="18"/>
  <c r="D60" i="18"/>
  <c r="C64" i="18"/>
  <c r="B61" i="19"/>
  <c r="D60" i="19"/>
  <c r="C65" i="19"/>
  <c r="F37" i="19"/>
  <c r="G37" i="19" s="1"/>
  <c r="E63" i="17"/>
  <c r="C64" i="17"/>
  <c r="F63" i="17"/>
  <c r="C64" i="15" l="1"/>
  <c r="D62" i="14"/>
  <c r="B63" i="14"/>
  <c r="C65" i="14"/>
  <c r="C65" i="13"/>
  <c r="C64" i="12"/>
  <c r="B63" i="12"/>
  <c r="D62" i="12"/>
  <c r="C65" i="11"/>
  <c r="C65" i="10"/>
  <c r="C64" i="9"/>
  <c r="C65" i="8"/>
  <c r="C64" i="7"/>
  <c r="C64" i="6"/>
  <c r="C65" i="5"/>
  <c r="C66" i="4"/>
  <c r="C65" i="3"/>
  <c r="C66" i="2"/>
  <c r="C65" i="18"/>
  <c r="B62" i="18"/>
  <c r="D61" i="18"/>
  <c r="H37" i="19"/>
  <c r="E38" i="19"/>
  <c r="C66" i="19"/>
  <c r="B62" i="19"/>
  <c r="D61" i="19"/>
  <c r="E64" i="17"/>
  <c r="C65" i="17"/>
  <c r="F64" i="17"/>
  <c r="C65" i="15" l="1"/>
  <c r="C66" i="14"/>
  <c r="D63" i="14"/>
  <c r="B64" i="14"/>
  <c r="C66" i="13"/>
  <c r="C65" i="12"/>
  <c r="B64" i="12"/>
  <c r="D63" i="12"/>
  <c r="C66" i="11"/>
  <c r="C66" i="10"/>
  <c r="C65" i="9"/>
  <c r="C66" i="8"/>
  <c r="C65" i="7"/>
  <c r="C65" i="6"/>
  <c r="C66" i="5"/>
  <c r="C67" i="4"/>
  <c r="C66" i="3"/>
  <c r="C67" i="2"/>
  <c r="B63" i="18"/>
  <c r="D62" i="18"/>
  <c r="C66" i="18"/>
  <c r="B63" i="19"/>
  <c r="D62" i="19"/>
  <c r="C67" i="19"/>
  <c r="F38" i="19"/>
  <c r="G38" i="19" s="1"/>
  <c r="E65" i="17"/>
  <c r="C66" i="17"/>
  <c r="F65" i="17"/>
  <c r="C66" i="15" l="1"/>
  <c r="D64" i="14"/>
  <c r="B65" i="14"/>
  <c r="C67" i="14"/>
  <c r="C67" i="13"/>
  <c r="C66" i="12"/>
  <c r="B65" i="12"/>
  <c r="D64" i="12"/>
  <c r="C67" i="11"/>
  <c r="C67" i="10"/>
  <c r="C66" i="9"/>
  <c r="C67" i="8"/>
  <c r="C66" i="7"/>
  <c r="C66" i="6"/>
  <c r="C67" i="5"/>
  <c r="C68" i="4"/>
  <c r="C67" i="3"/>
  <c r="C68" i="2"/>
  <c r="C67" i="18"/>
  <c r="D63" i="18"/>
  <c r="B64" i="18"/>
  <c r="H38" i="19"/>
  <c r="E39" i="19"/>
  <c r="C68" i="19"/>
  <c r="D63" i="19"/>
  <c r="B64" i="19"/>
  <c r="E66" i="17"/>
  <c r="C67" i="17"/>
  <c r="F66" i="17"/>
  <c r="C67" i="15" l="1"/>
  <c r="C68" i="14"/>
  <c r="D65" i="14"/>
  <c r="B66" i="14"/>
  <c r="C68" i="13"/>
  <c r="C67" i="12"/>
  <c r="B66" i="12"/>
  <c r="D65" i="12"/>
  <c r="C68" i="11"/>
  <c r="C68" i="10"/>
  <c r="C67" i="9"/>
  <c r="C68" i="8"/>
  <c r="C67" i="7"/>
  <c r="C67" i="6"/>
  <c r="C68" i="5"/>
  <c r="C69" i="4"/>
  <c r="C68" i="3"/>
  <c r="C69" i="2"/>
  <c r="C68" i="18"/>
  <c r="D64" i="18"/>
  <c r="B65" i="18"/>
  <c r="H68" i="19"/>
  <c r="C69" i="19"/>
  <c r="E68" i="19"/>
  <c r="F68" i="19"/>
  <c r="F39" i="19"/>
  <c r="G39" i="19" s="1"/>
  <c r="D64" i="19"/>
  <c r="B65" i="19"/>
  <c r="E67" i="17"/>
  <c r="C68" i="17"/>
  <c r="F67" i="17"/>
  <c r="C68" i="15" l="1"/>
  <c r="C69" i="14"/>
  <c r="D66" i="14"/>
  <c r="B67" i="14"/>
  <c r="C69" i="13"/>
  <c r="B67" i="12"/>
  <c r="D66" i="12"/>
  <c r="C68" i="12"/>
  <c r="C69" i="11"/>
  <c r="C69" i="10"/>
  <c r="C68" i="9"/>
  <c r="C69" i="8"/>
  <c r="C68" i="7"/>
  <c r="C68" i="6"/>
  <c r="C69" i="5"/>
  <c r="C70" i="4"/>
  <c r="C69" i="3"/>
  <c r="C70" i="2"/>
  <c r="D65" i="18"/>
  <c r="B66" i="18"/>
  <c r="C69" i="18"/>
  <c r="H39" i="19"/>
  <c r="E40" i="19"/>
  <c r="C70" i="19"/>
  <c r="H69" i="19"/>
  <c r="E69" i="19"/>
  <c r="F69" i="19"/>
  <c r="D65" i="19"/>
  <c r="B66" i="19"/>
  <c r="E68" i="17"/>
  <c r="C69" i="17"/>
  <c r="F68" i="17"/>
  <c r="C69" i="15" l="1"/>
  <c r="C70" i="14"/>
  <c r="D67" i="14"/>
  <c r="B68" i="14"/>
  <c r="C70" i="13"/>
  <c r="C69" i="12"/>
  <c r="B68" i="12"/>
  <c r="D67" i="12"/>
  <c r="C70" i="11"/>
  <c r="C70" i="10"/>
  <c r="C69" i="9"/>
  <c r="C70" i="8"/>
  <c r="C69" i="7"/>
  <c r="H68" i="6"/>
  <c r="F68" i="6"/>
  <c r="E68" i="6"/>
  <c r="C69" i="6"/>
  <c r="C70" i="5"/>
  <c r="C71" i="4"/>
  <c r="C70" i="3"/>
  <c r="C71" i="2"/>
  <c r="C70" i="18"/>
  <c r="D66" i="18"/>
  <c r="B67" i="18"/>
  <c r="C71" i="19"/>
  <c r="F70" i="19"/>
  <c r="E70" i="19"/>
  <c r="H70" i="19"/>
  <c r="F40" i="19"/>
  <c r="G40" i="19" s="1"/>
  <c r="B67" i="19"/>
  <c r="D66" i="19"/>
  <c r="E69" i="17"/>
  <c r="C70" i="17"/>
  <c r="F69" i="17"/>
  <c r="C70" i="15" l="1"/>
  <c r="C71" i="14"/>
  <c r="D68" i="14"/>
  <c r="B69" i="14"/>
  <c r="C71" i="13"/>
  <c r="B69" i="12"/>
  <c r="D68" i="12"/>
  <c r="C70" i="12"/>
  <c r="C71" i="11"/>
  <c r="C71" i="10"/>
  <c r="C70" i="9"/>
  <c r="C71" i="8"/>
  <c r="C70" i="7"/>
  <c r="H69" i="6"/>
  <c r="F69" i="6"/>
  <c r="E69" i="6"/>
  <c r="C70" i="6"/>
  <c r="C71" i="5"/>
  <c r="C72" i="4"/>
  <c r="C71" i="3"/>
  <c r="C72" i="2"/>
  <c r="D67" i="18"/>
  <c r="B68" i="18"/>
  <c r="C71" i="18"/>
  <c r="H40" i="19"/>
  <c r="E41" i="19" s="1"/>
  <c r="B68" i="19"/>
  <c r="D67" i="19"/>
  <c r="C72" i="19"/>
  <c r="H71" i="19"/>
  <c r="F71" i="19"/>
  <c r="E71" i="19"/>
  <c r="E70" i="17"/>
  <c r="C71" i="17"/>
  <c r="F70" i="17"/>
  <c r="C71" i="15" l="1"/>
  <c r="C72" i="14"/>
  <c r="D69" i="14"/>
  <c r="B70" i="14"/>
  <c r="C72" i="13"/>
  <c r="C71" i="12"/>
  <c r="B70" i="12"/>
  <c r="D69" i="12"/>
  <c r="C72" i="11"/>
  <c r="C72" i="10"/>
  <c r="C71" i="9"/>
  <c r="C72" i="8"/>
  <c r="C71" i="7"/>
  <c r="H70" i="6"/>
  <c r="F70" i="6"/>
  <c r="E70" i="6"/>
  <c r="C71" i="6"/>
  <c r="C72" i="5"/>
  <c r="C73" i="4"/>
  <c r="C72" i="3"/>
  <c r="C73" i="2"/>
  <c r="C72" i="18"/>
  <c r="B69" i="18"/>
  <c r="D68" i="18"/>
  <c r="E72" i="19"/>
  <c r="H72" i="19"/>
  <c r="F72" i="19"/>
  <c r="C73" i="19"/>
  <c r="F41" i="19"/>
  <c r="G41" i="19" s="1"/>
  <c r="B69" i="19"/>
  <c r="D68" i="19"/>
  <c r="E71" i="17"/>
  <c r="C72" i="17"/>
  <c r="F71" i="17"/>
  <c r="C72" i="15" l="1"/>
  <c r="C73" i="14"/>
  <c r="D70" i="14"/>
  <c r="B71" i="14"/>
  <c r="C73" i="13"/>
  <c r="B71" i="12"/>
  <c r="D70" i="12"/>
  <c r="C72" i="12"/>
  <c r="C73" i="11"/>
  <c r="C73" i="10"/>
  <c r="C72" i="9"/>
  <c r="C73" i="8"/>
  <c r="C72" i="7"/>
  <c r="H71" i="6"/>
  <c r="F71" i="6"/>
  <c r="E71" i="6"/>
  <c r="C72" i="6"/>
  <c r="C73" i="5"/>
  <c r="C74" i="4"/>
  <c r="C73" i="3"/>
  <c r="C74" i="2"/>
  <c r="C73" i="18"/>
  <c r="B70" i="18"/>
  <c r="D69" i="18"/>
  <c r="H41" i="19"/>
  <c r="E42" i="19"/>
  <c r="B70" i="19"/>
  <c r="D69" i="19"/>
  <c r="F73" i="19"/>
  <c r="E73" i="19"/>
  <c r="C74" i="19"/>
  <c r="H73" i="19"/>
  <c r="E72" i="17"/>
  <c r="C73" i="17"/>
  <c r="F72" i="17"/>
  <c r="C73" i="15" l="1"/>
  <c r="C74" i="14"/>
  <c r="D71" i="14"/>
  <c r="B72" i="14"/>
  <c r="C74" i="13"/>
  <c r="C73" i="12"/>
  <c r="B72" i="12"/>
  <c r="D71" i="12"/>
  <c r="C74" i="11"/>
  <c r="C74" i="10"/>
  <c r="C73" i="9"/>
  <c r="C74" i="8"/>
  <c r="C73" i="7"/>
  <c r="H72" i="6"/>
  <c r="F72" i="6"/>
  <c r="E72" i="6"/>
  <c r="C73" i="6"/>
  <c r="C74" i="5"/>
  <c r="C75" i="4"/>
  <c r="C74" i="3"/>
  <c r="C75" i="2"/>
  <c r="B71" i="18"/>
  <c r="D70" i="18"/>
  <c r="C74" i="18"/>
  <c r="B71" i="19"/>
  <c r="D70" i="19"/>
  <c r="F42" i="19"/>
  <c r="G42" i="19" s="1"/>
  <c r="F74" i="19"/>
  <c r="E74" i="19"/>
  <c r="C75" i="19"/>
  <c r="H74" i="19"/>
  <c r="E73" i="17"/>
  <c r="C74" i="17"/>
  <c r="F73" i="17"/>
  <c r="C74" i="15" l="1"/>
  <c r="C75" i="14"/>
  <c r="D72" i="14"/>
  <c r="B73" i="14"/>
  <c r="C75" i="13"/>
  <c r="B73" i="12"/>
  <c r="D72" i="12"/>
  <c r="C74" i="12"/>
  <c r="C75" i="11"/>
  <c r="C75" i="10"/>
  <c r="C74" i="9"/>
  <c r="C75" i="8"/>
  <c r="C74" i="7"/>
  <c r="H73" i="6"/>
  <c r="F73" i="6"/>
  <c r="E73" i="6"/>
  <c r="C74" i="6"/>
  <c r="C75" i="5"/>
  <c r="C76" i="4"/>
  <c r="C75" i="3"/>
  <c r="C76" i="2"/>
  <c r="C75" i="18"/>
  <c r="D71" i="18"/>
  <c r="B72" i="18"/>
  <c r="H42" i="19"/>
  <c r="E43" i="19"/>
  <c r="H75" i="19"/>
  <c r="F75" i="19"/>
  <c r="C76" i="19"/>
  <c r="E75" i="19"/>
  <c r="D71" i="19"/>
  <c r="B72" i="19"/>
  <c r="E74" i="17"/>
  <c r="C75" i="17"/>
  <c r="F74" i="17"/>
  <c r="C75" i="15" l="1"/>
  <c r="D73" i="14"/>
  <c r="B74" i="14"/>
  <c r="C76" i="14"/>
  <c r="C76" i="13"/>
  <c r="B74" i="12"/>
  <c r="D73" i="12"/>
  <c r="C75" i="12"/>
  <c r="C76" i="11"/>
  <c r="C76" i="10"/>
  <c r="C75" i="9"/>
  <c r="C76" i="8"/>
  <c r="C75" i="7"/>
  <c r="H74" i="6"/>
  <c r="F74" i="6"/>
  <c r="E74" i="6"/>
  <c r="C75" i="6"/>
  <c r="C76" i="5"/>
  <c r="C77" i="4"/>
  <c r="C76" i="3"/>
  <c r="C77" i="2"/>
  <c r="D72" i="18"/>
  <c r="B73" i="18"/>
  <c r="C76" i="18"/>
  <c r="F43" i="19"/>
  <c r="G43" i="19" s="1"/>
  <c r="H76" i="19"/>
  <c r="C77" i="19"/>
  <c r="F76" i="19"/>
  <c r="E76" i="19"/>
  <c r="D72" i="19"/>
  <c r="B73" i="19"/>
  <c r="E75" i="17"/>
  <c r="C76" i="17"/>
  <c r="F75" i="17"/>
  <c r="C76" i="15" l="1"/>
  <c r="C77" i="14"/>
  <c r="B75" i="14"/>
  <c r="D74" i="14"/>
  <c r="C77" i="13"/>
  <c r="B75" i="12"/>
  <c r="D74" i="12"/>
  <c r="C76" i="12"/>
  <c r="C77" i="11"/>
  <c r="C77" i="10"/>
  <c r="C76" i="9"/>
  <c r="C77" i="8"/>
  <c r="C76" i="7"/>
  <c r="H75" i="6"/>
  <c r="F75" i="6"/>
  <c r="E75" i="6"/>
  <c r="C76" i="6"/>
  <c r="C77" i="5"/>
  <c r="C78" i="4"/>
  <c r="C77" i="3"/>
  <c r="C78" i="2"/>
  <c r="C77" i="18"/>
  <c r="D73" i="18"/>
  <c r="B74" i="18"/>
  <c r="H43" i="19"/>
  <c r="E44" i="19"/>
  <c r="C78" i="19"/>
  <c r="H77" i="19"/>
  <c r="E77" i="19"/>
  <c r="F77" i="19"/>
  <c r="D73" i="19"/>
  <c r="B74" i="19"/>
  <c r="E76" i="17"/>
  <c r="C77" i="17"/>
  <c r="F76" i="17"/>
  <c r="C77" i="15" l="1"/>
  <c r="D75" i="14"/>
  <c r="B76" i="14"/>
  <c r="C78" i="14"/>
  <c r="C78" i="13"/>
  <c r="C77" i="12"/>
  <c r="B76" i="12"/>
  <c r="D75" i="12"/>
  <c r="C78" i="11"/>
  <c r="C78" i="10"/>
  <c r="C77" i="9"/>
  <c r="C78" i="8"/>
  <c r="C77" i="7"/>
  <c r="H76" i="6"/>
  <c r="F76" i="6"/>
  <c r="E76" i="6"/>
  <c r="C77" i="6"/>
  <c r="C78" i="5"/>
  <c r="C79" i="4"/>
  <c r="C78" i="3"/>
  <c r="C79" i="2"/>
  <c r="D74" i="18"/>
  <c r="B75" i="18"/>
  <c r="C78" i="18"/>
  <c r="F44" i="19"/>
  <c r="G44" i="19" s="1"/>
  <c r="C79" i="19"/>
  <c r="F78" i="19"/>
  <c r="H78" i="19"/>
  <c r="E78" i="19"/>
  <c r="D74" i="19"/>
  <c r="B75" i="19"/>
  <c r="E77" i="17"/>
  <c r="C78" i="17"/>
  <c r="F77" i="17"/>
  <c r="C78" i="15" l="1"/>
  <c r="C79" i="14"/>
  <c r="D76" i="14"/>
  <c r="B77" i="14"/>
  <c r="C79" i="13"/>
  <c r="C78" i="12"/>
  <c r="B77" i="12"/>
  <c r="D76" i="12"/>
  <c r="C79" i="11"/>
  <c r="C79" i="10"/>
  <c r="C78" i="9"/>
  <c r="C79" i="8"/>
  <c r="C78" i="7"/>
  <c r="H77" i="6"/>
  <c r="F77" i="6"/>
  <c r="E77" i="6"/>
  <c r="C78" i="6"/>
  <c r="C79" i="5"/>
  <c r="C80" i="4"/>
  <c r="C79" i="3"/>
  <c r="C80" i="2"/>
  <c r="C79" i="18"/>
  <c r="B76" i="18"/>
  <c r="D75" i="18"/>
  <c r="H44" i="19"/>
  <c r="E45" i="19"/>
  <c r="C80" i="19"/>
  <c r="E79" i="19"/>
  <c r="H79" i="19"/>
  <c r="F79" i="19"/>
  <c r="B76" i="19"/>
  <c r="D75" i="19"/>
  <c r="E78" i="17"/>
  <c r="C79" i="17"/>
  <c r="F78" i="17"/>
  <c r="C79" i="15" l="1"/>
  <c r="D77" i="14"/>
  <c r="B78" i="14"/>
  <c r="C80" i="14"/>
  <c r="C80" i="13"/>
  <c r="B78" i="12"/>
  <c r="D77" i="12"/>
  <c r="C79" i="12"/>
  <c r="C80" i="11"/>
  <c r="C80" i="10"/>
  <c r="C79" i="9"/>
  <c r="C80" i="8"/>
  <c r="C79" i="7"/>
  <c r="H78" i="6"/>
  <c r="F78" i="6"/>
  <c r="E78" i="6"/>
  <c r="C79" i="6"/>
  <c r="C80" i="5"/>
  <c r="C81" i="4"/>
  <c r="C80" i="3"/>
  <c r="C81" i="2"/>
  <c r="C80" i="18"/>
  <c r="B77" i="18"/>
  <c r="D76" i="18"/>
  <c r="B77" i="19"/>
  <c r="D76" i="19"/>
  <c r="E80" i="19"/>
  <c r="H80" i="19"/>
  <c r="C81" i="19"/>
  <c r="F80" i="19"/>
  <c r="F45" i="19"/>
  <c r="G45" i="19" s="1"/>
  <c r="E79" i="17"/>
  <c r="C80" i="17"/>
  <c r="F79" i="17"/>
  <c r="C80" i="15" l="1"/>
  <c r="C81" i="14"/>
  <c r="D78" i="14"/>
  <c r="B79" i="14"/>
  <c r="C81" i="13"/>
  <c r="C80" i="12"/>
  <c r="B79" i="12"/>
  <c r="D78" i="12"/>
  <c r="C81" i="11"/>
  <c r="C81" i="10"/>
  <c r="C80" i="9"/>
  <c r="C81" i="8"/>
  <c r="C80" i="7"/>
  <c r="H79" i="6"/>
  <c r="F79" i="6"/>
  <c r="E79" i="6"/>
  <c r="C80" i="6"/>
  <c r="C81" i="5"/>
  <c r="C82" i="4"/>
  <c r="C81" i="3"/>
  <c r="C82" i="2"/>
  <c r="C81" i="18"/>
  <c r="B78" i="18"/>
  <c r="D77" i="18"/>
  <c r="H45" i="19"/>
  <c r="E46" i="19"/>
  <c r="F81" i="19"/>
  <c r="E81" i="19"/>
  <c r="C82" i="19"/>
  <c r="H81" i="19"/>
  <c r="B78" i="19"/>
  <c r="D77" i="19"/>
  <c r="E80" i="17"/>
  <c r="C81" i="17"/>
  <c r="F80" i="17"/>
  <c r="C81" i="15" l="1"/>
  <c r="D79" i="14"/>
  <c r="B80" i="14"/>
  <c r="C82" i="14"/>
  <c r="C82" i="13"/>
  <c r="B80" i="12"/>
  <c r="D79" i="12"/>
  <c r="C81" i="12"/>
  <c r="C82" i="11"/>
  <c r="C82" i="10"/>
  <c r="C81" i="9"/>
  <c r="C82" i="8"/>
  <c r="C81" i="7"/>
  <c r="H80" i="6"/>
  <c r="F80" i="6"/>
  <c r="E80" i="6"/>
  <c r="C81" i="6"/>
  <c r="C82" i="5"/>
  <c r="C83" i="4"/>
  <c r="C82" i="3"/>
  <c r="C83" i="2"/>
  <c r="B79" i="18"/>
  <c r="D78" i="18"/>
  <c r="C82" i="18"/>
  <c r="B79" i="19"/>
  <c r="D78" i="19"/>
  <c r="F82" i="19"/>
  <c r="E82" i="19"/>
  <c r="C83" i="19"/>
  <c r="H82" i="19"/>
  <c r="F46" i="19"/>
  <c r="G46" i="19" s="1"/>
  <c r="E81" i="17"/>
  <c r="C82" i="17"/>
  <c r="F81" i="17"/>
  <c r="C82" i="15" l="1"/>
  <c r="C83" i="14"/>
  <c r="D80" i="14"/>
  <c r="B81" i="14"/>
  <c r="C83" i="13"/>
  <c r="C82" i="12"/>
  <c r="B81" i="12"/>
  <c r="D80" i="12"/>
  <c r="C83" i="11"/>
  <c r="C83" i="10"/>
  <c r="C82" i="9"/>
  <c r="C83" i="8"/>
  <c r="C82" i="7"/>
  <c r="H81" i="6"/>
  <c r="F81" i="6"/>
  <c r="E81" i="6"/>
  <c r="C82" i="6"/>
  <c r="C83" i="5"/>
  <c r="C84" i="4"/>
  <c r="C83" i="3"/>
  <c r="C84" i="2"/>
  <c r="D79" i="18"/>
  <c r="B80" i="18"/>
  <c r="C83" i="18"/>
  <c r="H46" i="19"/>
  <c r="E47" i="19"/>
  <c r="H83" i="19"/>
  <c r="F83" i="19"/>
  <c r="E83" i="19"/>
  <c r="C84" i="19"/>
  <c r="D79" i="19"/>
  <c r="B80" i="19"/>
  <c r="E82" i="17"/>
  <c r="C83" i="17"/>
  <c r="F82" i="17"/>
  <c r="C83" i="15" l="1"/>
  <c r="D81" i="14"/>
  <c r="B82" i="14"/>
  <c r="C84" i="14"/>
  <c r="C84" i="13"/>
  <c r="B82" i="12"/>
  <c r="D81" i="12"/>
  <c r="C83" i="12"/>
  <c r="C84" i="11"/>
  <c r="C84" i="10"/>
  <c r="C83" i="9"/>
  <c r="C84" i="8"/>
  <c r="C83" i="7"/>
  <c r="H82" i="6"/>
  <c r="F82" i="6"/>
  <c r="E82" i="6"/>
  <c r="C83" i="6"/>
  <c r="C84" i="5"/>
  <c r="C85" i="4"/>
  <c r="C84" i="3"/>
  <c r="C85" i="2"/>
  <c r="C84" i="18"/>
  <c r="D80" i="18"/>
  <c r="B81" i="18"/>
  <c r="F47" i="19"/>
  <c r="G47" i="19" s="1"/>
  <c r="H84" i="19"/>
  <c r="C85" i="19"/>
  <c r="E84" i="19"/>
  <c r="F84" i="19"/>
  <c r="D80" i="19"/>
  <c r="B81" i="19"/>
  <c r="E83" i="17"/>
  <c r="C84" i="17"/>
  <c r="F83" i="17"/>
  <c r="C84" i="15" l="1"/>
  <c r="C85" i="14"/>
  <c r="D82" i="14"/>
  <c r="B83" i="14"/>
  <c r="C85" i="13"/>
  <c r="C84" i="12"/>
  <c r="B83" i="12"/>
  <c r="D82" i="12"/>
  <c r="C85" i="11"/>
  <c r="C85" i="10"/>
  <c r="C84" i="9"/>
  <c r="C85" i="8"/>
  <c r="C84" i="7"/>
  <c r="H83" i="6"/>
  <c r="F83" i="6"/>
  <c r="C84" i="6"/>
  <c r="E83" i="6"/>
  <c r="C85" i="5"/>
  <c r="C86" i="4"/>
  <c r="C85" i="3"/>
  <c r="C86" i="2"/>
  <c r="D81" i="18"/>
  <c r="B82" i="18"/>
  <c r="C85" i="18"/>
  <c r="H47" i="19"/>
  <c r="E48" i="19" s="1"/>
  <c r="C86" i="19"/>
  <c r="H85" i="19"/>
  <c r="E85" i="19"/>
  <c r="F85" i="19"/>
  <c r="D81" i="19"/>
  <c r="B82" i="19"/>
  <c r="E84" i="17"/>
  <c r="C85" i="17"/>
  <c r="F84" i="17"/>
  <c r="C85" i="15" l="1"/>
  <c r="D83" i="14"/>
  <c r="B84" i="14"/>
  <c r="C86" i="14"/>
  <c r="C86" i="13"/>
  <c r="C85" i="12"/>
  <c r="B84" i="12"/>
  <c r="D83" i="12"/>
  <c r="C86" i="11"/>
  <c r="C86" i="10"/>
  <c r="C85" i="9"/>
  <c r="C86" i="8"/>
  <c r="C85" i="7"/>
  <c r="C85" i="6"/>
  <c r="H84" i="6"/>
  <c r="F84" i="6"/>
  <c r="E84" i="6"/>
  <c r="C86" i="5"/>
  <c r="C87" i="4"/>
  <c r="C86" i="3"/>
  <c r="C87" i="2"/>
  <c r="C86" i="18"/>
  <c r="D82" i="18"/>
  <c r="B83" i="18"/>
  <c r="C87" i="19"/>
  <c r="F86" i="19"/>
  <c r="E86" i="19"/>
  <c r="H86" i="19"/>
  <c r="F48" i="19"/>
  <c r="G48" i="19" s="1"/>
  <c r="B83" i="19"/>
  <c r="D82" i="19"/>
  <c r="E85" i="17"/>
  <c r="C86" i="17"/>
  <c r="F85" i="17"/>
  <c r="C86" i="15" l="1"/>
  <c r="C87" i="14"/>
  <c r="D84" i="14"/>
  <c r="B85" i="14"/>
  <c r="C87" i="13"/>
  <c r="B85" i="12"/>
  <c r="D84" i="12"/>
  <c r="C86" i="12"/>
  <c r="C87" i="11"/>
  <c r="C87" i="10"/>
  <c r="C86" i="9"/>
  <c r="C87" i="8"/>
  <c r="C86" i="7"/>
  <c r="C86" i="6"/>
  <c r="H85" i="6"/>
  <c r="E85" i="6"/>
  <c r="F85" i="6"/>
  <c r="C87" i="5"/>
  <c r="C88" i="4"/>
  <c r="C87" i="3"/>
  <c r="C88" i="2"/>
  <c r="C87" i="18"/>
  <c r="B84" i="18"/>
  <c r="D83" i="18"/>
  <c r="H48" i="19"/>
  <c r="E49" i="19" s="1"/>
  <c r="B84" i="19"/>
  <c r="D83" i="19"/>
  <c r="C88" i="19"/>
  <c r="H87" i="19"/>
  <c r="F87" i="19"/>
  <c r="E87" i="19"/>
  <c r="E86" i="17"/>
  <c r="C87" i="17"/>
  <c r="F86" i="17"/>
  <c r="C87" i="15" l="1"/>
  <c r="D85" i="14"/>
  <c r="B86" i="14"/>
  <c r="C88" i="14"/>
  <c r="C88" i="13"/>
  <c r="C87" i="12"/>
  <c r="B86" i="12"/>
  <c r="D85" i="12"/>
  <c r="C88" i="11"/>
  <c r="C88" i="10"/>
  <c r="C87" i="9"/>
  <c r="C88" i="8"/>
  <c r="C87" i="7"/>
  <c r="C87" i="6"/>
  <c r="F86" i="6"/>
  <c r="E86" i="6"/>
  <c r="H86" i="6"/>
  <c r="C88" i="5"/>
  <c r="C89" i="4"/>
  <c r="C88" i="3"/>
  <c r="C89" i="2"/>
  <c r="B85" i="18"/>
  <c r="D84" i="18"/>
  <c r="C88" i="18"/>
  <c r="F49" i="19"/>
  <c r="G49" i="19" s="1"/>
  <c r="E88" i="19"/>
  <c r="H88" i="19"/>
  <c r="F88" i="19"/>
  <c r="C89" i="19"/>
  <c r="B85" i="19"/>
  <c r="D84" i="19"/>
  <c r="E87" i="17"/>
  <c r="C88" i="17"/>
  <c r="F87" i="17"/>
  <c r="C88" i="15" l="1"/>
  <c r="C89" i="14"/>
  <c r="D86" i="14"/>
  <c r="B87" i="14"/>
  <c r="C89" i="13"/>
  <c r="C88" i="12"/>
  <c r="B87" i="12"/>
  <c r="D86" i="12"/>
  <c r="C89" i="11"/>
  <c r="C89" i="10"/>
  <c r="C88" i="9"/>
  <c r="C89" i="8"/>
  <c r="C88" i="7"/>
  <c r="E87" i="6"/>
  <c r="C88" i="6"/>
  <c r="F87" i="6"/>
  <c r="H87" i="6"/>
  <c r="C89" i="5"/>
  <c r="C90" i="4"/>
  <c r="C89" i="3"/>
  <c r="C90" i="2"/>
  <c r="B86" i="18"/>
  <c r="D85" i="18"/>
  <c r="C89" i="18"/>
  <c r="H49" i="19"/>
  <c r="E50" i="19"/>
  <c r="B86" i="19"/>
  <c r="D85" i="19"/>
  <c r="F89" i="19"/>
  <c r="E89" i="19"/>
  <c r="C90" i="19"/>
  <c r="H89" i="19"/>
  <c r="E88" i="17"/>
  <c r="C89" i="17"/>
  <c r="F88" i="17"/>
  <c r="C89" i="15" l="1"/>
  <c r="D87" i="14"/>
  <c r="B88" i="14"/>
  <c r="C90" i="14"/>
  <c r="C90" i="13"/>
  <c r="B88" i="12"/>
  <c r="D87" i="12"/>
  <c r="C89" i="12"/>
  <c r="C90" i="11"/>
  <c r="C90" i="10"/>
  <c r="C89" i="9"/>
  <c r="C90" i="8"/>
  <c r="C89" i="7"/>
  <c r="F88" i="6"/>
  <c r="E88" i="6"/>
  <c r="H88" i="6"/>
  <c r="C89" i="6"/>
  <c r="C90" i="5"/>
  <c r="C91" i="4"/>
  <c r="C90" i="3"/>
  <c r="C91" i="2"/>
  <c r="B87" i="18"/>
  <c r="D86" i="18"/>
  <c r="C90" i="18"/>
  <c r="F90" i="19"/>
  <c r="E90" i="19"/>
  <c r="C91" i="19"/>
  <c r="H90" i="19"/>
  <c r="B87" i="19"/>
  <c r="D86" i="19"/>
  <c r="F50" i="19"/>
  <c r="G50" i="19" s="1"/>
  <c r="E89" i="17"/>
  <c r="C90" i="17"/>
  <c r="F89" i="17"/>
  <c r="C90" i="15" l="1"/>
  <c r="C91" i="14"/>
  <c r="D88" i="14"/>
  <c r="B89" i="14"/>
  <c r="C91" i="13"/>
  <c r="C90" i="12"/>
  <c r="B89" i="12"/>
  <c r="D88" i="12"/>
  <c r="C91" i="11"/>
  <c r="C91" i="10"/>
  <c r="C90" i="9"/>
  <c r="C91" i="8"/>
  <c r="C90" i="7"/>
  <c r="E89" i="6"/>
  <c r="H89" i="6"/>
  <c r="F89" i="6"/>
  <c r="C90" i="6"/>
  <c r="C91" i="5"/>
  <c r="C92" i="4"/>
  <c r="C91" i="3"/>
  <c r="C92" i="2"/>
  <c r="C91" i="18"/>
  <c r="D87" i="18"/>
  <c r="B88" i="18"/>
  <c r="H91" i="19"/>
  <c r="F91" i="19"/>
  <c r="C92" i="19"/>
  <c r="E91" i="19"/>
  <c r="H50" i="19"/>
  <c r="E51" i="19" s="1"/>
  <c r="D87" i="19"/>
  <c r="B88" i="19"/>
  <c r="E90" i="17"/>
  <c r="C91" i="17"/>
  <c r="F90" i="17"/>
  <c r="C91" i="15" l="1"/>
  <c r="D89" i="14"/>
  <c r="B90" i="14"/>
  <c r="C92" i="14"/>
  <c r="C92" i="13"/>
  <c r="B90" i="12"/>
  <c r="D89" i="12"/>
  <c r="C91" i="12"/>
  <c r="C92" i="11"/>
  <c r="C92" i="10"/>
  <c r="C91" i="9"/>
  <c r="C92" i="8"/>
  <c r="C91" i="7"/>
  <c r="E90" i="6"/>
  <c r="C91" i="6"/>
  <c r="F90" i="6"/>
  <c r="H90" i="6"/>
  <c r="C92" i="5"/>
  <c r="C93" i="4"/>
  <c r="C92" i="3"/>
  <c r="C93" i="2"/>
  <c r="C92" i="18"/>
  <c r="D88" i="18"/>
  <c r="B89" i="18"/>
  <c r="F51" i="19"/>
  <c r="G51" i="19" s="1"/>
  <c r="H92" i="19"/>
  <c r="C93" i="19"/>
  <c r="F92" i="19"/>
  <c r="E92" i="19"/>
  <c r="D88" i="19"/>
  <c r="B89" i="19"/>
  <c r="E91" i="17"/>
  <c r="C92" i="17"/>
  <c r="F91" i="17"/>
  <c r="C92" i="15" l="1"/>
  <c r="C93" i="14"/>
  <c r="D90" i="14"/>
  <c r="B91" i="14"/>
  <c r="C93" i="13"/>
  <c r="C92" i="12"/>
  <c r="B91" i="12"/>
  <c r="D90" i="12"/>
  <c r="C93" i="11"/>
  <c r="C93" i="10"/>
  <c r="C92" i="9"/>
  <c r="C93" i="8"/>
  <c r="C92" i="7"/>
  <c r="E91" i="6"/>
  <c r="F91" i="6"/>
  <c r="C92" i="6"/>
  <c r="H91" i="6"/>
  <c r="C93" i="5"/>
  <c r="C94" i="4"/>
  <c r="C93" i="3"/>
  <c r="C94" i="2"/>
  <c r="D89" i="18"/>
  <c r="B90" i="18"/>
  <c r="C93" i="18"/>
  <c r="H51" i="19"/>
  <c r="E52" i="19" s="1"/>
  <c r="C94" i="19"/>
  <c r="H93" i="19"/>
  <c r="E93" i="19"/>
  <c r="F93" i="19"/>
  <c r="D89" i="19"/>
  <c r="B90" i="19"/>
  <c r="E92" i="17"/>
  <c r="C93" i="17"/>
  <c r="F92" i="17"/>
  <c r="C93" i="15" l="1"/>
  <c r="D91" i="14"/>
  <c r="B92" i="14"/>
  <c r="C94" i="14"/>
  <c r="C94" i="13"/>
  <c r="C93" i="12"/>
  <c r="B92" i="12"/>
  <c r="D91" i="12"/>
  <c r="C94" i="11"/>
  <c r="C94" i="10"/>
  <c r="C93" i="9"/>
  <c r="C94" i="8"/>
  <c r="C93" i="7"/>
  <c r="E92" i="6"/>
  <c r="C93" i="6"/>
  <c r="H92" i="6"/>
  <c r="F92" i="6"/>
  <c r="C94" i="5"/>
  <c r="C95" i="4"/>
  <c r="C94" i="3"/>
  <c r="C95" i="2"/>
  <c r="D90" i="18"/>
  <c r="B91" i="18"/>
  <c r="C94" i="18"/>
  <c r="F52" i="19"/>
  <c r="G52" i="19" s="1"/>
  <c r="C95" i="19"/>
  <c r="F94" i="19"/>
  <c r="H94" i="19"/>
  <c r="E94" i="19"/>
  <c r="D90" i="19"/>
  <c r="B91" i="19"/>
  <c r="E93" i="17"/>
  <c r="C94" i="17"/>
  <c r="F93" i="17"/>
  <c r="C94" i="15" l="1"/>
  <c r="C95" i="14"/>
  <c r="D92" i="14"/>
  <c r="B93" i="14"/>
  <c r="C95" i="13"/>
  <c r="C94" i="12"/>
  <c r="B93" i="12"/>
  <c r="D92" i="12"/>
  <c r="C95" i="11"/>
  <c r="C95" i="10"/>
  <c r="C94" i="9"/>
  <c r="C95" i="8"/>
  <c r="C94" i="7"/>
  <c r="E93" i="6"/>
  <c r="C94" i="6"/>
  <c r="H93" i="6"/>
  <c r="F93" i="6"/>
  <c r="C95" i="5"/>
  <c r="C96" i="4"/>
  <c r="C95" i="3"/>
  <c r="C96" i="2"/>
  <c r="C95" i="18"/>
  <c r="B92" i="18"/>
  <c r="D91" i="18"/>
  <c r="H52" i="19"/>
  <c r="E53" i="19"/>
  <c r="C96" i="19"/>
  <c r="E95" i="19"/>
  <c r="H95" i="19"/>
  <c r="F95" i="19"/>
  <c r="B92" i="19"/>
  <c r="D91" i="19"/>
  <c r="E94" i="17"/>
  <c r="C95" i="17"/>
  <c r="F94" i="17"/>
  <c r="C95" i="15" l="1"/>
  <c r="D93" i="14"/>
  <c r="B94" i="14"/>
  <c r="C96" i="14"/>
  <c r="C96" i="13"/>
  <c r="B94" i="12"/>
  <c r="D93" i="12"/>
  <c r="C95" i="12"/>
  <c r="C96" i="11"/>
  <c r="C96" i="10"/>
  <c r="C95" i="9"/>
  <c r="C96" i="8"/>
  <c r="C95" i="7"/>
  <c r="E94" i="6"/>
  <c r="C95" i="6"/>
  <c r="H94" i="6"/>
  <c r="F94" i="6"/>
  <c r="C96" i="5"/>
  <c r="C97" i="4"/>
  <c r="C96" i="3"/>
  <c r="C97" i="2"/>
  <c r="B93" i="18"/>
  <c r="D92" i="18"/>
  <c r="C96" i="18"/>
  <c r="E96" i="19"/>
  <c r="H96" i="19"/>
  <c r="C97" i="19"/>
  <c r="F96" i="19"/>
  <c r="F53" i="19"/>
  <c r="G53" i="19" s="1"/>
  <c r="B93" i="19"/>
  <c r="D92" i="19"/>
  <c r="F95" i="17"/>
  <c r="C96" i="17"/>
  <c r="E95" i="17"/>
  <c r="C96" i="15" l="1"/>
  <c r="C97" i="14"/>
  <c r="D94" i="14"/>
  <c r="B95" i="14"/>
  <c r="C97" i="13"/>
  <c r="C96" i="12"/>
  <c r="B95" i="12"/>
  <c r="D94" i="12"/>
  <c r="C97" i="11"/>
  <c r="C97" i="10"/>
  <c r="C96" i="9"/>
  <c r="C97" i="8"/>
  <c r="C96" i="7"/>
  <c r="E95" i="6"/>
  <c r="C96" i="6"/>
  <c r="H95" i="6"/>
  <c r="F95" i="6"/>
  <c r="C97" i="5"/>
  <c r="C98" i="4"/>
  <c r="C97" i="3"/>
  <c r="C98" i="2"/>
  <c r="C97" i="18"/>
  <c r="B94" i="18"/>
  <c r="D93" i="18"/>
  <c r="H53" i="19"/>
  <c r="E54" i="19"/>
  <c r="B94" i="19"/>
  <c r="D93" i="19"/>
  <c r="F97" i="19"/>
  <c r="E97" i="19"/>
  <c r="C98" i="19"/>
  <c r="H97" i="19"/>
  <c r="F96" i="17"/>
  <c r="C97" i="17"/>
  <c r="E96" i="17"/>
  <c r="C97" i="15" l="1"/>
  <c r="D95" i="14"/>
  <c r="B96" i="14"/>
  <c r="C98" i="14"/>
  <c r="C98" i="13"/>
  <c r="B96" i="12"/>
  <c r="D95" i="12"/>
  <c r="C97" i="12"/>
  <c r="C98" i="11"/>
  <c r="C98" i="10"/>
  <c r="C97" i="9"/>
  <c r="C98" i="8"/>
  <c r="C97" i="7"/>
  <c r="E96" i="6"/>
  <c r="C97" i="6"/>
  <c r="F96" i="6"/>
  <c r="H96" i="6"/>
  <c r="C98" i="5"/>
  <c r="C99" i="4"/>
  <c r="C98" i="3"/>
  <c r="C99" i="2"/>
  <c r="B95" i="18"/>
  <c r="D94" i="18"/>
  <c r="C98" i="18"/>
  <c r="F98" i="19"/>
  <c r="E98" i="19"/>
  <c r="C99" i="19"/>
  <c r="H98" i="19"/>
  <c r="B95" i="19"/>
  <c r="D94" i="19"/>
  <c r="F54" i="19"/>
  <c r="G54" i="19" s="1"/>
  <c r="E97" i="17"/>
  <c r="C98" i="17"/>
  <c r="F97" i="17"/>
  <c r="C98" i="15" l="1"/>
  <c r="C99" i="14"/>
  <c r="D96" i="14"/>
  <c r="B97" i="14"/>
  <c r="C99" i="13"/>
  <c r="C98" i="12"/>
  <c r="B97" i="12"/>
  <c r="D96" i="12"/>
  <c r="C99" i="11"/>
  <c r="C99" i="10"/>
  <c r="C98" i="9"/>
  <c r="C99" i="8"/>
  <c r="C98" i="7"/>
  <c r="E97" i="6"/>
  <c r="C98" i="6"/>
  <c r="H97" i="6"/>
  <c r="F97" i="6"/>
  <c r="C99" i="5"/>
  <c r="C100" i="4"/>
  <c r="C99" i="3"/>
  <c r="C100" i="2"/>
  <c r="C99" i="18"/>
  <c r="D95" i="18"/>
  <c r="B96" i="18"/>
  <c r="H99" i="19"/>
  <c r="F99" i="19"/>
  <c r="E99" i="19"/>
  <c r="C100" i="19"/>
  <c r="H54" i="19"/>
  <c r="E55" i="19" s="1"/>
  <c r="D95" i="19"/>
  <c r="B96" i="19"/>
  <c r="E98" i="17"/>
  <c r="C99" i="17"/>
  <c r="F98" i="17"/>
  <c r="C99" i="15" l="1"/>
  <c r="D97" i="14"/>
  <c r="B98" i="14"/>
  <c r="C100" i="14"/>
  <c r="C100" i="13"/>
  <c r="B98" i="12"/>
  <c r="D97" i="12"/>
  <c r="C99" i="12"/>
  <c r="C100" i="11"/>
  <c r="C100" i="10"/>
  <c r="C99" i="9"/>
  <c r="C100" i="8"/>
  <c r="C99" i="7"/>
  <c r="E98" i="6"/>
  <c r="C99" i="6"/>
  <c r="F98" i="6"/>
  <c r="H98" i="6"/>
  <c r="C100" i="5"/>
  <c r="C101" i="4"/>
  <c r="C100" i="3"/>
  <c r="C101" i="2"/>
  <c r="D96" i="18"/>
  <c r="B97" i="18"/>
  <c r="C100" i="18"/>
  <c r="F55" i="19"/>
  <c r="G55" i="19" s="1"/>
  <c r="H100" i="19"/>
  <c r="C101" i="19"/>
  <c r="E100" i="19"/>
  <c r="F100" i="19"/>
  <c r="D96" i="19"/>
  <c r="B97" i="19"/>
  <c r="F99" i="17"/>
  <c r="C100" i="17"/>
  <c r="E99" i="17"/>
  <c r="C100" i="15" l="1"/>
  <c r="C101" i="14"/>
  <c r="D98" i="14"/>
  <c r="B99" i="14"/>
  <c r="C101" i="13"/>
  <c r="C100" i="12"/>
  <c r="B99" i="12"/>
  <c r="D98" i="12"/>
  <c r="C101" i="11"/>
  <c r="C101" i="10"/>
  <c r="C100" i="9"/>
  <c r="C101" i="8"/>
  <c r="C100" i="7"/>
  <c r="E99" i="6"/>
  <c r="C100" i="6"/>
  <c r="H99" i="6"/>
  <c r="F99" i="6"/>
  <c r="C101" i="5"/>
  <c r="C102" i="4"/>
  <c r="C101" i="3"/>
  <c r="C102" i="2"/>
  <c r="D97" i="18"/>
  <c r="B98" i="18"/>
  <c r="C101" i="18"/>
  <c r="H55" i="19"/>
  <c r="E56" i="19" s="1"/>
  <c r="C102" i="19"/>
  <c r="H101" i="19"/>
  <c r="E101" i="19"/>
  <c r="F101" i="19"/>
  <c r="D97" i="19"/>
  <c r="B98" i="19"/>
  <c r="F100" i="17"/>
  <c r="E100" i="17"/>
  <c r="C101" i="17"/>
  <c r="C101" i="15" l="1"/>
  <c r="D99" i="14"/>
  <c r="B100" i="14"/>
  <c r="C102" i="14"/>
  <c r="C102" i="13"/>
  <c r="B100" i="12"/>
  <c r="D99" i="12"/>
  <c r="C101" i="12"/>
  <c r="C102" i="11"/>
  <c r="C102" i="10"/>
  <c r="C101" i="9"/>
  <c r="C102" i="8"/>
  <c r="C101" i="7"/>
  <c r="E100" i="6"/>
  <c r="C101" i="6"/>
  <c r="H100" i="6"/>
  <c r="F100" i="6"/>
  <c r="C102" i="5"/>
  <c r="C103" i="4"/>
  <c r="C102" i="3"/>
  <c r="C103" i="2"/>
  <c r="C102" i="18"/>
  <c r="D98" i="18"/>
  <c r="B99" i="18"/>
  <c r="F56" i="19"/>
  <c r="G56" i="19" s="1"/>
  <c r="C103" i="19"/>
  <c r="F102" i="19"/>
  <c r="E102" i="19"/>
  <c r="H102" i="19"/>
  <c r="B99" i="19"/>
  <c r="D98" i="19"/>
  <c r="E101" i="17"/>
  <c r="C102" i="17"/>
  <c r="F101" i="17"/>
  <c r="C102" i="15" l="1"/>
  <c r="C103" i="14"/>
  <c r="D100" i="14"/>
  <c r="B101" i="14"/>
  <c r="C103" i="13"/>
  <c r="B101" i="12"/>
  <c r="D100" i="12"/>
  <c r="C102" i="12"/>
  <c r="C103" i="11"/>
  <c r="C103" i="10"/>
  <c r="C102" i="9"/>
  <c r="C103" i="8"/>
  <c r="C102" i="7"/>
  <c r="E101" i="6"/>
  <c r="C102" i="6"/>
  <c r="H101" i="6"/>
  <c r="F101" i="6"/>
  <c r="C103" i="5"/>
  <c r="C104" i="4"/>
  <c r="C103" i="3"/>
  <c r="C104" i="2"/>
  <c r="F103" i="2"/>
  <c r="H103" i="2"/>
  <c r="E103" i="2"/>
  <c r="D99" i="18"/>
  <c r="B100" i="18"/>
  <c r="C103" i="18"/>
  <c r="H56" i="19"/>
  <c r="E57" i="19" s="1"/>
  <c r="B100" i="19"/>
  <c r="D99" i="19"/>
  <c r="C104" i="19"/>
  <c r="H103" i="19"/>
  <c r="F103" i="19"/>
  <c r="E103" i="19"/>
  <c r="E102" i="17"/>
  <c r="C103" i="17"/>
  <c r="F102" i="17"/>
  <c r="C103" i="15" l="1"/>
  <c r="D101" i="14"/>
  <c r="B102" i="14"/>
  <c r="C104" i="14"/>
  <c r="C104" i="13"/>
  <c r="C103" i="12"/>
  <c r="B102" i="12"/>
  <c r="D101" i="12"/>
  <c r="C104" i="11"/>
  <c r="C104" i="10"/>
  <c r="C103" i="9"/>
  <c r="C104" i="8"/>
  <c r="C103" i="7"/>
  <c r="E102" i="6"/>
  <c r="C103" i="6"/>
  <c r="H102" i="6"/>
  <c r="F102" i="6"/>
  <c r="C104" i="5"/>
  <c r="C105" i="4"/>
  <c r="C104" i="3"/>
  <c r="E104" i="2"/>
  <c r="C105" i="2"/>
  <c r="F104" i="2"/>
  <c r="H104" i="2"/>
  <c r="C104" i="18"/>
  <c r="B101" i="18"/>
  <c r="D100" i="18"/>
  <c r="F57" i="19"/>
  <c r="G57" i="19" s="1"/>
  <c r="E104" i="19"/>
  <c r="H104" i="19"/>
  <c r="F104" i="19"/>
  <c r="C105" i="19"/>
  <c r="B101" i="19"/>
  <c r="D100" i="19"/>
  <c r="F103" i="17"/>
  <c r="C104" i="17"/>
  <c r="E103" i="17"/>
  <c r="C104" i="15" l="1"/>
  <c r="C105" i="14"/>
  <c r="D102" i="14"/>
  <c r="B103" i="14"/>
  <c r="C105" i="13"/>
  <c r="C104" i="12"/>
  <c r="B103" i="12"/>
  <c r="D102" i="12"/>
  <c r="C105" i="11"/>
  <c r="C105" i="10"/>
  <c r="C104" i="9"/>
  <c r="C105" i="8"/>
  <c r="C104" i="7"/>
  <c r="E103" i="6"/>
  <c r="C104" i="6"/>
  <c r="H103" i="6"/>
  <c r="F103" i="6"/>
  <c r="C105" i="5"/>
  <c r="C106" i="4"/>
  <c r="C105" i="3"/>
  <c r="F105" i="2"/>
  <c r="E105" i="2"/>
  <c r="H105" i="2"/>
  <c r="C106" i="2"/>
  <c r="B102" i="18"/>
  <c r="D101" i="18"/>
  <c r="C105" i="18"/>
  <c r="H57" i="19"/>
  <c r="E58" i="19" s="1"/>
  <c r="F105" i="19"/>
  <c r="E105" i="19"/>
  <c r="C106" i="19"/>
  <c r="H105" i="19"/>
  <c r="B102" i="19"/>
  <c r="D101" i="19"/>
  <c r="F104" i="17"/>
  <c r="C105" i="17"/>
  <c r="E104" i="17"/>
  <c r="C105" i="15" l="1"/>
  <c r="D103" i="14"/>
  <c r="B104" i="14"/>
  <c r="C106" i="14"/>
  <c r="C106" i="13"/>
  <c r="B104" i="12"/>
  <c r="D103" i="12"/>
  <c r="C105" i="12"/>
  <c r="C106" i="11"/>
  <c r="C106" i="10"/>
  <c r="C105" i="9"/>
  <c r="C106" i="8"/>
  <c r="C105" i="7"/>
  <c r="E104" i="6"/>
  <c r="C105" i="6"/>
  <c r="F104" i="6"/>
  <c r="H104" i="6"/>
  <c r="C106" i="5"/>
  <c r="C107" i="4"/>
  <c r="C106" i="3"/>
  <c r="F106" i="2"/>
  <c r="E106" i="2"/>
  <c r="C107" i="2"/>
  <c r="H106" i="2"/>
  <c r="C106" i="18"/>
  <c r="B103" i="18"/>
  <c r="D102" i="18"/>
  <c r="F58" i="19"/>
  <c r="G58" i="19" s="1"/>
  <c r="F106" i="19"/>
  <c r="E106" i="19"/>
  <c r="C107" i="19"/>
  <c r="H106" i="19"/>
  <c r="B103" i="19"/>
  <c r="D102" i="19"/>
  <c r="F105" i="17"/>
  <c r="C106" i="17"/>
  <c r="E105" i="17"/>
  <c r="C106" i="15" l="1"/>
  <c r="C107" i="14"/>
  <c r="D104" i="14"/>
  <c r="B105" i="14"/>
  <c r="C107" i="13"/>
  <c r="C106" i="12"/>
  <c r="B105" i="12"/>
  <c r="D104" i="12"/>
  <c r="C107" i="11"/>
  <c r="C107" i="10"/>
  <c r="C106" i="9"/>
  <c r="C107" i="8"/>
  <c r="C106" i="7"/>
  <c r="E105" i="6"/>
  <c r="C106" i="6"/>
  <c r="H105" i="6"/>
  <c r="F105" i="6"/>
  <c r="C107" i="5"/>
  <c r="C108" i="4"/>
  <c r="C107" i="3"/>
  <c r="H107" i="2"/>
  <c r="F107" i="2"/>
  <c r="E107" i="2"/>
  <c r="C108" i="2"/>
  <c r="D103" i="18"/>
  <c r="B104" i="18"/>
  <c r="C107" i="18"/>
  <c r="H58" i="19"/>
  <c r="E59" i="19" s="1"/>
  <c r="D103" i="19"/>
  <c r="B104" i="19"/>
  <c r="H107" i="19"/>
  <c r="F107" i="19"/>
  <c r="C108" i="19"/>
  <c r="E107" i="19"/>
  <c r="F106" i="17"/>
  <c r="C107" i="17"/>
  <c r="E106" i="17"/>
  <c r="C107" i="15" l="1"/>
  <c r="D105" i="14"/>
  <c r="B106" i="14"/>
  <c r="C108" i="14"/>
  <c r="C108" i="13"/>
  <c r="B106" i="12"/>
  <c r="D105" i="12"/>
  <c r="C107" i="12"/>
  <c r="C108" i="11"/>
  <c r="C108" i="10"/>
  <c r="C107" i="9"/>
  <c r="C108" i="8"/>
  <c r="C107" i="7"/>
  <c r="E106" i="6"/>
  <c r="C107" i="6"/>
  <c r="F106" i="6"/>
  <c r="H106" i="6"/>
  <c r="C108" i="5"/>
  <c r="C109" i="4"/>
  <c r="C108" i="3"/>
  <c r="H108" i="2"/>
  <c r="F108" i="2"/>
  <c r="E108" i="2"/>
  <c r="C109" i="2"/>
  <c r="C108" i="18"/>
  <c r="D104" i="18"/>
  <c r="B105" i="18"/>
  <c r="F59" i="19"/>
  <c r="G59" i="19" s="1"/>
  <c r="H108" i="19"/>
  <c r="C109" i="19"/>
  <c r="F108" i="19"/>
  <c r="E108" i="19"/>
  <c r="D104" i="19"/>
  <c r="B105" i="19"/>
  <c r="F107" i="17"/>
  <c r="C108" i="17"/>
  <c r="E107" i="17"/>
  <c r="C108" i="15" l="1"/>
  <c r="C109" i="14"/>
  <c r="D106" i="14"/>
  <c r="B107" i="14"/>
  <c r="C109" i="13"/>
  <c r="C108" i="12"/>
  <c r="B107" i="12"/>
  <c r="D106" i="12"/>
  <c r="C109" i="11"/>
  <c r="C109" i="10"/>
  <c r="C108" i="9"/>
  <c r="C109" i="8"/>
  <c r="C108" i="7"/>
  <c r="E107" i="6"/>
  <c r="C108" i="6"/>
  <c r="H107" i="6"/>
  <c r="F107" i="6"/>
  <c r="C109" i="5"/>
  <c r="C110" i="4"/>
  <c r="C109" i="3"/>
  <c r="C110" i="2"/>
  <c r="H109" i="2"/>
  <c r="F109" i="2"/>
  <c r="E109" i="2"/>
  <c r="D105" i="18"/>
  <c r="B106" i="18"/>
  <c r="C109" i="18"/>
  <c r="H59" i="19"/>
  <c r="E60" i="19" s="1"/>
  <c r="C110" i="19"/>
  <c r="H109" i="19"/>
  <c r="E109" i="19"/>
  <c r="F109" i="19"/>
  <c r="D105" i="19"/>
  <c r="B106" i="19"/>
  <c r="F108" i="17"/>
  <c r="C109" i="17"/>
  <c r="E108" i="17"/>
  <c r="C109" i="15" l="1"/>
  <c r="D107" i="14"/>
  <c r="B108" i="14"/>
  <c r="C110" i="14"/>
  <c r="C110" i="13"/>
  <c r="C109" i="12"/>
  <c r="B108" i="12"/>
  <c r="D107" i="12"/>
  <c r="C110" i="11"/>
  <c r="C110" i="10"/>
  <c r="C109" i="9"/>
  <c r="C110" i="8"/>
  <c r="C109" i="7"/>
  <c r="E108" i="6"/>
  <c r="C109" i="6"/>
  <c r="H108" i="6"/>
  <c r="F108" i="6"/>
  <c r="C110" i="5"/>
  <c r="C111" i="4"/>
  <c r="C110" i="3"/>
  <c r="C111" i="2"/>
  <c r="H110" i="2"/>
  <c r="E110" i="2"/>
  <c r="F110" i="2"/>
  <c r="C110" i="18"/>
  <c r="D106" i="18"/>
  <c r="B107" i="18"/>
  <c r="F60" i="19"/>
  <c r="G60" i="19" s="1"/>
  <c r="C111" i="19"/>
  <c r="F110" i="19"/>
  <c r="H110" i="19"/>
  <c r="E110" i="19"/>
  <c r="D106" i="19"/>
  <c r="B107" i="19"/>
  <c r="F109" i="17"/>
  <c r="C110" i="17"/>
  <c r="E109" i="17"/>
  <c r="C110" i="15" l="1"/>
  <c r="C111" i="14"/>
  <c r="D108" i="14"/>
  <c r="B109" i="14"/>
  <c r="C111" i="13"/>
  <c r="B109" i="12"/>
  <c r="D108" i="12"/>
  <c r="C110" i="12"/>
  <c r="C111" i="11"/>
  <c r="C111" i="10"/>
  <c r="C110" i="9"/>
  <c r="C111" i="8"/>
  <c r="C110" i="7"/>
  <c r="E109" i="6"/>
  <c r="C110" i="6"/>
  <c r="H109" i="6"/>
  <c r="F109" i="6"/>
  <c r="C111" i="5"/>
  <c r="C112" i="4"/>
  <c r="C111" i="3"/>
  <c r="C112" i="2"/>
  <c r="F111" i="2"/>
  <c r="H111" i="2"/>
  <c r="E111" i="2"/>
  <c r="D107" i="18"/>
  <c r="B108" i="18"/>
  <c r="C111" i="18"/>
  <c r="H60" i="19"/>
  <c r="E61" i="19"/>
  <c r="C112" i="19"/>
  <c r="E111" i="19"/>
  <c r="H111" i="19"/>
  <c r="F111" i="19"/>
  <c r="B108" i="19"/>
  <c r="D107" i="19"/>
  <c r="F110" i="17"/>
  <c r="C111" i="17"/>
  <c r="E110" i="17"/>
  <c r="C111" i="15" l="1"/>
  <c r="D109" i="14"/>
  <c r="B110" i="14"/>
  <c r="C112" i="14"/>
  <c r="C112" i="13"/>
  <c r="C111" i="12"/>
  <c r="B110" i="12"/>
  <c r="D109" i="12"/>
  <c r="C112" i="11"/>
  <c r="C112" i="10"/>
  <c r="C111" i="9"/>
  <c r="C112" i="8"/>
  <c r="C111" i="7"/>
  <c r="E110" i="6"/>
  <c r="C111" i="6"/>
  <c r="H110" i="6"/>
  <c r="F110" i="6"/>
  <c r="C112" i="5"/>
  <c r="C113" i="4"/>
  <c r="C112" i="3"/>
  <c r="E112" i="2"/>
  <c r="C113" i="2"/>
  <c r="H112" i="2"/>
  <c r="F112" i="2"/>
  <c r="C112" i="18"/>
  <c r="B109" i="18"/>
  <c r="D108" i="18"/>
  <c r="B109" i="19"/>
  <c r="D108" i="19"/>
  <c r="E112" i="19"/>
  <c r="H112" i="19"/>
  <c r="C113" i="19"/>
  <c r="F112" i="19"/>
  <c r="F61" i="19"/>
  <c r="G61" i="19" s="1"/>
  <c r="F111" i="17"/>
  <c r="C112" i="17"/>
  <c r="E111" i="17"/>
  <c r="C112" i="15" l="1"/>
  <c r="C113" i="14"/>
  <c r="D110" i="14"/>
  <c r="B111" i="14"/>
  <c r="C113" i="13"/>
  <c r="C112" i="12"/>
  <c r="B111" i="12"/>
  <c r="D110" i="12"/>
  <c r="C113" i="11"/>
  <c r="C113" i="10"/>
  <c r="C112" i="9"/>
  <c r="C113" i="8"/>
  <c r="C112" i="7"/>
  <c r="E111" i="6"/>
  <c r="C112" i="6"/>
  <c r="H111" i="6"/>
  <c r="F111" i="6"/>
  <c r="C113" i="5"/>
  <c r="C114" i="4"/>
  <c r="C113" i="3"/>
  <c r="F113" i="2"/>
  <c r="E113" i="2"/>
  <c r="H113" i="2"/>
  <c r="C114" i="2"/>
  <c r="B110" i="18"/>
  <c r="D109" i="18"/>
  <c r="C113" i="18"/>
  <c r="F113" i="19"/>
  <c r="E113" i="19"/>
  <c r="C114" i="19"/>
  <c r="H113" i="19"/>
  <c r="H61" i="19"/>
  <c r="E62" i="19" s="1"/>
  <c r="B110" i="19"/>
  <c r="D109" i="19"/>
  <c r="F112" i="17"/>
  <c r="C113" i="17"/>
  <c r="E112" i="17"/>
  <c r="C113" i="15" l="1"/>
  <c r="D111" i="14"/>
  <c r="B112" i="14"/>
  <c r="C114" i="14"/>
  <c r="C114" i="13"/>
  <c r="B112" i="12"/>
  <c r="D111" i="12"/>
  <c r="C113" i="12"/>
  <c r="C114" i="11"/>
  <c r="C114" i="10"/>
  <c r="C113" i="9"/>
  <c r="C114" i="8"/>
  <c r="C113" i="7"/>
  <c r="E112" i="6"/>
  <c r="C113" i="6"/>
  <c r="F112" i="6"/>
  <c r="H112" i="6"/>
  <c r="C114" i="5"/>
  <c r="C115" i="4"/>
  <c r="C114" i="3"/>
  <c r="F114" i="2"/>
  <c r="E114" i="2"/>
  <c r="H114" i="2"/>
  <c r="C115" i="2"/>
  <c r="C114" i="18"/>
  <c r="B111" i="18"/>
  <c r="D110" i="18"/>
  <c r="F62" i="19"/>
  <c r="G62" i="19" s="1"/>
  <c r="B111" i="19"/>
  <c r="D110" i="19"/>
  <c r="F114" i="19"/>
  <c r="E114" i="19"/>
  <c r="C115" i="19"/>
  <c r="H114" i="19"/>
  <c r="F113" i="17"/>
  <c r="C114" i="17"/>
  <c r="E113" i="17"/>
  <c r="C114" i="15" l="1"/>
  <c r="C115" i="14"/>
  <c r="D112" i="14"/>
  <c r="B113" i="14"/>
  <c r="C115" i="13"/>
  <c r="C114" i="12"/>
  <c r="B113" i="12"/>
  <c r="D112" i="12"/>
  <c r="C115" i="11"/>
  <c r="C115" i="10"/>
  <c r="C114" i="9"/>
  <c r="C115" i="8"/>
  <c r="C114" i="7"/>
  <c r="E113" i="6"/>
  <c r="C114" i="6"/>
  <c r="H113" i="6"/>
  <c r="F113" i="6"/>
  <c r="C115" i="5"/>
  <c r="C116" i="4"/>
  <c r="C115" i="3"/>
  <c r="C116" i="2"/>
  <c r="H115" i="2"/>
  <c r="F115" i="2"/>
  <c r="E115" i="2"/>
  <c r="C115" i="18"/>
  <c r="D111" i="18"/>
  <c r="B112" i="18"/>
  <c r="H62" i="19"/>
  <c r="E63" i="19" s="1"/>
  <c r="D111" i="19"/>
  <c r="B112" i="19"/>
  <c r="H115" i="19"/>
  <c r="F115" i="19"/>
  <c r="E115" i="19"/>
  <c r="C116" i="19"/>
  <c r="F114" i="17"/>
  <c r="C115" i="17"/>
  <c r="E114" i="17"/>
  <c r="C115" i="15" l="1"/>
  <c r="D113" i="14"/>
  <c r="B114" i="14"/>
  <c r="C116" i="14"/>
  <c r="C116" i="13"/>
  <c r="C115" i="12"/>
  <c r="B114" i="12"/>
  <c r="D113" i="12"/>
  <c r="C116" i="11"/>
  <c r="C116" i="10"/>
  <c r="C115" i="9"/>
  <c r="C116" i="8"/>
  <c r="C115" i="7"/>
  <c r="E114" i="6"/>
  <c r="C115" i="6"/>
  <c r="F114" i="6"/>
  <c r="H114" i="6"/>
  <c r="C116" i="5"/>
  <c r="C117" i="4"/>
  <c r="C116" i="3"/>
  <c r="H116" i="2"/>
  <c r="E116" i="2"/>
  <c r="C117" i="2"/>
  <c r="F116" i="2"/>
  <c r="D112" i="18"/>
  <c r="B113" i="18"/>
  <c r="C116" i="18"/>
  <c r="F63" i="19"/>
  <c r="G63" i="19" s="1"/>
  <c r="D112" i="19"/>
  <c r="B113" i="19"/>
  <c r="F116" i="19"/>
  <c r="E116" i="19"/>
  <c r="C117" i="19"/>
  <c r="H116" i="19"/>
  <c r="F115" i="17"/>
  <c r="C116" i="17"/>
  <c r="E115" i="17"/>
  <c r="C116" i="15" l="1"/>
  <c r="C117" i="14"/>
  <c r="D114" i="14"/>
  <c r="B115" i="14"/>
  <c r="C117" i="13"/>
  <c r="B115" i="12"/>
  <c r="D114" i="12"/>
  <c r="C116" i="12"/>
  <c r="C117" i="11"/>
  <c r="C117" i="10"/>
  <c r="C116" i="9"/>
  <c r="C117" i="8"/>
  <c r="C116" i="7"/>
  <c r="E115" i="6"/>
  <c r="C116" i="6"/>
  <c r="F115" i="6"/>
  <c r="H115" i="6"/>
  <c r="C117" i="5"/>
  <c r="C118" i="4"/>
  <c r="C117" i="3"/>
  <c r="F117" i="2"/>
  <c r="C118" i="2"/>
  <c r="H117" i="2"/>
  <c r="E117" i="2"/>
  <c r="D113" i="18"/>
  <c r="B114" i="18"/>
  <c r="C117" i="18"/>
  <c r="H63" i="19"/>
  <c r="E64" i="19" s="1"/>
  <c r="D113" i="19"/>
  <c r="B114" i="19"/>
  <c r="C118" i="19"/>
  <c r="H117" i="19"/>
  <c r="F117" i="19"/>
  <c r="E117" i="19"/>
  <c r="F116" i="17"/>
  <c r="C117" i="17"/>
  <c r="E116" i="17"/>
  <c r="C117" i="15" l="1"/>
  <c r="D115" i="14"/>
  <c r="B116" i="14"/>
  <c r="C118" i="14"/>
  <c r="C118" i="13"/>
  <c r="C117" i="12"/>
  <c r="B116" i="12"/>
  <c r="D115" i="12"/>
  <c r="C118" i="11"/>
  <c r="C118" i="10"/>
  <c r="C117" i="9"/>
  <c r="C118" i="8"/>
  <c r="C117" i="7"/>
  <c r="E116" i="6"/>
  <c r="C117" i="6"/>
  <c r="H116" i="6"/>
  <c r="F116" i="6"/>
  <c r="C118" i="5"/>
  <c r="C119" i="4"/>
  <c r="C118" i="3"/>
  <c r="C119" i="2"/>
  <c r="F118" i="2"/>
  <c r="H118" i="2"/>
  <c r="E118" i="2"/>
  <c r="B115" i="18"/>
  <c r="D114" i="18"/>
  <c r="C118" i="18"/>
  <c r="H118" i="19"/>
  <c r="E118" i="19"/>
  <c r="C119" i="19"/>
  <c r="F118" i="19"/>
  <c r="F64" i="19"/>
  <c r="G64" i="19" s="1"/>
  <c r="B115" i="19"/>
  <c r="D114" i="19"/>
  <c r="F117" i="17"/>
  <c r="C118" i="17"/>
  <c r="E117" i="17"/>
  <c r="C118" i="15" l="1"/>
  <c r="C119" i="14"/>
  <c r="D116" i="14"/>
  <c r="B117" i="14"/>
  <c r="C119" i="13"/>
  <c r="B117" i="12"/>
  <c r="D116" i="12"/>
  <c r="C118" i="12"/>
  <c r="C119" i="11"/>
  <c r="C119" i="10"/>
  <c r="C118" i="9"/>
  <c r="C119" i="8"/>
  <c r="C118" i="7"/>
  <c r="E117" i="6"/>
  <c r="C118" i="6"/>
  <c r="H117" i="6"/>
  <c r="F117" i="6"/>
  <c r="C119" i="5"/>
  <c r="C120" i="4"/>
  <c r="C119" i="3"/>
  <c r="H119" i="2"/>
  <c r="E119" i="2"/>
  <c r="F119" i="2"/>
  <c r="C120" i="2"/>
  <c r="C119" i="18"/>
  <c r="D115" i="18"/>
  <c r="B116" i="18"/>
  <c r="H64" i="19"/>
  <c r="E65" i="19" s="1"/>
  <c r="D115" i="19"/>
  <c r="B116" i="19"/>
  <c r="C120" i="19"/>
  <c r="H119" i="19"/>
  <c r="F119" i="19"/>
  <c r="E119" i="19"/>
  <c r="F118" i="17"/>
  <c r="C119" i="17"/>
  <c r="E118" i="17"/>
  <c r="C119" i="15" l="1"/>
  <c r="D117" i="14"/>
  <c r="B118" i="14"/>
  <c r="C120" i="14"/>
  <c r="C120" i="13"/>
  <c r="C119" i="12"/>
  <c r="B118" i="12"/>
  <c r="D117" i="12"/>
  <c r="C120" i="11"/>
  <c r="C120" i="10"/>
  <c r="C119" i="9"/>
  <c r="C120" i="8"/>
  <c r="C119" i="7"/>
  <c r="E118" i="6"/>
  <c r="C119" i="6"/>
  <c r="H118" i="6"/>
  <c r="F118" i="6"/>
  <c r="C120" i="5"/>
  <c r="C121" i="4"/>
  <c r="C120" i="3"/>
  <c r="F120" i="2"/>
  <c r="C121" i="2"/>
  <c r="E120" i="2"/>
  <c r="H120" i="2"/>
  <c r="B117" i="18"/>
  <c r="D116" i="18"/>
  <c r="C120" i="18"/>
  <c r="F65" i="19"/>
  <c r="G65" i="19" s="1"/>
  <c r="E120" i="19"/>
  <c r="C121" i="19"/>
  <c r="H120" i="19"/>
  <c r="F120" i="19"/>
  <c r="B117" i="19"/>
  <c r="D116" i="19"/>
  <c r="F119" i="17"/>
  <c r="C120" i="17"/>
  <c r="E119" i="17"/>
  <c r="C120" i="15" l="1"/>
  <c r="C121" i="14"/>
  <c r="D118" i="14"/>
  <c r="B119" i="14"/>
  <c r="C121" i="13"/>
  <c r="B119" i="12"/>
  <c r="D118" i="12"/>
  <c r="C120" i="12"/>
  <c r="C121" i="11"/>
  <c r="C121" i="10"/>
  <c r="C120" i="9"/>
  <c r="C121" i="8"/>
  <c r="C120" i="7"/>
  <c r="E119" i="6"/>
  <c r="C120" i="6"/>
  <c r="H119" i="6"/>
  <c r="F119" i="6"/>
  <c r="C121" i="5"/>
  <c r="C122" i="4"/>
  <c r="C121" i="3"/>
  <c r="E121" i="2"/>
  <c r="C122" i="2"/>
  <c r="H121" i="2"/>
  <c r="F121" i="2"/>
  <c r="C121" i="18"/>
  <c r="B118" i="18"/>
  <c r="D117" i="18"/>
  <c r="H65" i="19"/>
  <c r="E66" i="19"/>
  <c r="D117" i="19"/>
  <c r="B118" i="19"/>
  <c r="F121" i="19"/>
  <c r="C122" i="19"/>
  <c r="H121" i="19"/>
  <c r="E121" i="19"/>
  <c r="F120" i="17"/>
  <c r="C121" i="17"/>
  <c r="E120" i="17"/>
  <c r="C121" i="15" l="1"/>
  <c r="D119" i="14"/>
  <c r="B120" i="14"/>
  <c r="C122" i="14"/>
  <c r="C122" i="13"/>
  <c r="C121" i="12"/>
  <c r="B120" i="12"/>
  <c r="D119" i="12"/>
  <c r="C122" i="11"/>
  <c r="C122" i="10"/>
  <c r="C121" i="9"/>
  <c r="C122" i="8"/>
  <c r="C121" i="7"/>
  <c r="E120" i="6"/>
  <c r="C121" i="6"/>
  <c r="F120" i="6"/>
  <c r="H120" i="6"/>
  <c r="C122" i="5"/>
  <c r="C123" i="4"/>
  <c r="C122" i="3"/>
  <c r="F122" i="2"/>
  <c r="H122" i="2"/>
  <c r="C123" i="2"/>
  <c r="E122" i="2"/>
  <c r="B119" i="18"/>
  <c r="D118" i="18"/>
  <c r="C122" i="18"/>
  <c r="E122" i="19"/>
  <c r="C123" i="19"/>
  <c r="H122" i="19"/>
  <c r="F122" i="19"/>
  <c r="F66" i="19"/>
  <c r="G66" i="19" s="1"/>
  <c r="B119" i="19"/>
  <c r="D118" i="19"/>
  <c r="F121" i="17"/>
  <c r="C122" i="17"/>
  <c r="E121" i="17"/>
  <c r="C122" i="15" l="1"/>
  <c r="C123" i="14"/>
  <c r="D120" i="14"/>
  <c r="B121" i="14"/>
  <c r="C123" i="13"/>
  <c r="B121" i="12"/>
  <c r="D120" i="12"/>
  <c r="C122" i="12"/>
  <c r="C123" i="11"/>
  <c r="C123" i="10"/>
  <c r="C122" i="9"/>
  <c r="C123" i="8"/>
  <c r="C122" i="7"/>
  <c r="E121" i="6"/>
  <c r="C122" i="6"/>
  <c r="H121" i="6"/>
  <c r="F121" i="6"/>
  <c r="C123" i="5"/>
  <c r="C124" i="4"/>
  <c r="C123" i="3"/>
  <c r="F123" i="2"/>
  <c r="E123" i="2"/>
  <c r="C124" i="2"/>
  <c r="H123" i="2"/>
  <c r="C123" i="18"/>
  <c r="D119" i="18"/>
  <c r="B120" i="18"/>
  <c r="H66" i="19"/>
  <c r="E67" i="19"/>
  <c r="D119" i="19"/>
  <c r="B120" i="19"/>
  <c r="H123" i="19"/>
  <c r="F123" i="19"/>
  <c r="E123" i="19"/>
  <c r="C124" i="19"/>
  <c r="F122" i="17"/>
  <c r="C123" i="17"/>
  <c r="E122" i="17"/>
  <c r="C123" i="15" l="1"/>
  <c r="D121" i="14"/>
  <c r="B122" i="14"/>
  <c r="C124" i="14"/>
  <c r="C124" i="13"/>
  <c r="C123" i="12"/>
  <c r="B122" i="12"/>
  <c r="D121" i="12"/>
  <c r="C124" i="11"/>
  <c r="C124" i="10"/>
  <c r="C123" i="9"/>
  <c r="C124" i="8"/>
  <c r="C123" i="7"/>
  <c r="E122" i="6"/>
  <c r="C123" i="6"/>
  <c r="F122" i="6"/>
  <c r="H122" i="6"/>
  <c r="C124" i="5"/>
  <c r="C125" i="4"/>
  <c r="C124" i="3"/>
  <c r="H124" i="2"/>
  <c r="E124" i="2"/>
  <c r="C125" i="2"/>
  <c r="F124" i="2"/>
  <c r="C124" i="18"/>
  <c r="D120" i="18"/>
  <c r="B121" i="18"/>
  <c r="F124" i="19"/>
  <c r="E124" i="19"/>
  <c r="C125" i="19"/>
  <c r="H124" i="19"/>
  <c r="B121" i="19"/>
  <c r="D120" i="19"/>
  <c r="F67" i="19"/>
  <c r="G67" i="19" s="1"/>
  <c r="F123" i="17"/>
  <c r="C124" i="17"/>
  <c r="E123" i="17"/>
  <c r="C124" i="15" l="1"/>
  <c r="C125" i="14"/>
  <c r="D122" i="14"/>
  <c r="B123" i="14"/>
  <c r="C125" i="13"/>
  <c r="B123" i="12"/>
  <c r="D122" i="12"/>
  <c r="C124" i="12"/>
  <c r="C125" i="11"/>
  <c r="C125" i="10"/>
  <c r="C124" i="9"/>
  <c r="C125" i="8"/>
  <c r="C124" i="7"/>
  <c r="E123" i="6"/>
  <c r="C124" i="6"/>
  <c r="H123" i="6"/>
  <c r="F123" i="6"/>
  <c r="C125" i="5"/>
  <c r="C126" i="4"/>
  <c r="C125" i="3"/>
  <c r="F125" i="2"/>
  <c r="E125" i="2"/>
  <c r="H125" i="2"/>
  <c r="C126" i="2"/>
  <c r="D121" i="18"/>
  <c r="B122" i="18"/>
  <c r="C125" i="18"/>
  <c r="H67" i="19"/>
  <c r="G68" i="19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D121" i="19"/>
  <c r="B122" i="19"/>
  <c r="C126" i="19"/>
  <c r="H125" i="19"/>
  <c r="F125" i="19"/>
  <c r="E125" i="19"/>
  <c r="F124" i="17"/>
  <c r="C125" i="17"/>
  <c r="E124" i="17"/>
  <c r="C125" i="15" l="1"/>
  <c r="D123" i="14"/>
  <c r="B124" i="14"/>
  <c r="C126" i="14"/>
  <c r="C126" i="13"/>
  <c r="C125" i="12"/>
  <c r="B124" i="12"/>
  <c r="D123" i="12"/>
  <c r="C126" i="11"/>
  <c r="C126" i="10"/>
  <c r="C125" i="9"/>
  <c r="C126" i="8"/>
  <c r="C125" i="7"/>
  <c r="H124" i="7"/>
  <c r="E124" i="7"/>
  <c r="F124" i="7"/>
  <c r="E124" i="6"/>
  <c r="C125" i="6"/>
  <c r="H124" i="6"/>
  <c r="F124" i="6"/>
  <c r="C126" i="5"/>
  <c r="C127" i="4"/>
  <c r="C126" i="3"/>
  <c r="C127" i="2"/>
  <c r="H126" i="2"/>
  <c r="F126" i="2"/>
  <c r="E126" i="2"/>
  <c r="C126" i="18"/>
  <c r="D122" i="18"/>
  <c r="B123" i="18"/>
  <c r="C127" i="19"/>
  <c r="H126" i="19"/>
  <c r="G126" i="19"/>
  <c r="F126" i="19"/>
  <c r="E126" i="19"/>
  <c r="D122" i="19"/>
  <c r="B123" i="19"/>
  <c r="F125" i="17"/>
  <c r="C126" i="17"/>
  <c r="E125" i="17"/>
  <c r="C126" i="15" l="1"/>
  <c r="C127" i="14"/>
  <c r="D124" i="14"/>
  <c r="B125" i="14"/>
  <c r="C127" i="13"/>
  <c r="B125" i="12"/>
  <c r="D124" i="12"/>
  <c r="C126" i="12"/>
  <c r="C127" i="11"/>
  <c r="C127" i="10"/>
  <c r="C126" i="9"/>
  <c r="C127" i="8"/>
  <c r="C126" i="7"/>
  <c r="H125" i="7"/>
  <c r="E125" i="7"/>
  <c r="F125" i="7"/>
  <c r="E125" i="6"/>
  <c r="C126" i="6"/>
  <c r="H125" i="6"/>
  <c r="F125" i="6"/>
  <c r="C127" i="5"/>
  <c r="C128" i="4"/>
  <c r="C127" i="3"/>
  <c r="H127" i="2"/>
  <c r="E127" i="2"/>
  <c r="F127" i="2"/>
  <c r="C128" i="2"/>
  <c r="D123" i="18"/>
  <c r="B124" i="18"/>
  <c r="C127" i="18"/>
  <c r="D123" i="19"/>
  <c r="B124" i="19"/>
  <c r="C128" i="19"/>
  <c r="H127" i="19"/>
  <c r="G127" i="19"/>
  <c r="F127" i="19"/>
  <c r="E127" i="19"/>
  <c r="C127" i="17"/>
  <c r="F126" i="17"/>
  <c r="E126" i="17"/>
  <c r="C127" i="15" l="1"/>
  <c r="D125" i="14"/>
  <c r="B126" i="14"/>
  <c r="C128" i="14"/>
  <c r="C128" i="13"/>
  <c r="C127" i="12"/>
  <c r="B126" i="12"/>
  <c r="D125" i="12"/>
  <c r="C128" i="11"/>
  <c r="C128" i="10"/>
  <c r="C127" i="9"/>
  <c r="C128" i="8"/>
  <c r="C127" i="7"/>
  <c r="H126" i="7"/>
  <c r="E126" i="7"/>
  <c r="F126" i="7"/>
  <c r="C127" i="6"/>
  <c r="E126" i="6"/>
  <c r="H126" i="6"/>
  <c r="F126" i="6"/>
  <c r="C128" i="5"/>
  <c r="C129" i="4"/>
  <c r="C128" i="3"/>
  <c r="F128" i="2"/>
  <c r="C129" i="2"/>
  <c r="H128" i="2"/>
  <c r="E128" i="2"/>
  <c r="C128" i="18"/>
  <c r="B125" i="18"/>
  <c r="D124" i="18"/>
  <c r="E128" i="19"/>
  <c r="C129" i="19"/>
  <c r="H128" i="19"/>
  <c r="G128" i="19"/>
  <c r="F128" i="19"/>
  <c r="B125" i="19"/>
  <c r="D124" i="19"/>
  <c r="F127" i="17"/>
  <c r="E127" i="17"/>
  <c r="C128" i="17"/>
  <c r="C128" i="15" l="1"/>
  <c r="C129" i="14"/>
  <c r="D126" i="14"/>
  <c r="B127" i="14"/>
  <c r="C129" i="13"/>
  <c r="B127" i="12"/>
  <c r="D126" i="12"/>
  <c r="C128" i="12"/>
  <c r="C129" i="11"/>
  <c r="C129" i="10"/>
  <c r="C128" i="9"/>
  <c r="C129" i="8"/>
  <c r="H127" i="7"/>
  <c r="F127" i="7"/>
  <c r="E127" i="7"/>
  <c r="C128" i="7"/>
  <c r="F127" i="6"/>
  <c r="C128" i="6"/>
  <c r="H127" i="6"/>
  <c r="E127" i="6"/>
  <c r="C129" i="5"/>
  <c r="C130" i="4"/>
  <c r="C129" i="3"/>
  <c r="E129" i="2"/>
  <c r="C130" i="2"/>
  <c r="F129" i="2"/>
  <c r="H129" i="2"/>
  <c r="B126" i="18"/>
  <c r="D125" i="18"/>
  <c r="C129" i="18"/>
  <c r="B126" i="19"/>
  <c r="D125" i="19"/>
  <c r="F129" i="19"/>
  <c r="E129" i="19"/>
  <c r="C130" i="19"/>
  <c r="H129" i="19"/>
  <c r="G129" i="19"/>
  <c r="F128" i="17"/>
  <c r="E128" i="17"/>
  <c r="C129" i="17"/>
  <c r="C129" i="15" l="1"/>
  <c r="C130" i="14"/>
  <c r="B128" i="14"/>
  <c r="D127" i="14"/>
  <c r="C130" i="13"/>
  <c r="C129" i="12"/>
  <c r="D127" i="12"/>
  <c r="B128" i="12"/>
  <c r="C130" i="11"/>
  <c r="C130" i="10"/>
  <c r="C129" i="9"/>
  <c r="C130" i="8"/>
  <c r="H128" i="7"/>
  <c r="F128" i="7"/>
  <c r="E128" i="7"/>
  <c r="C129" i="7"/>
  <c r="F128" i="6"/>
  <c r="C129" i="6"/>
  <c r="H128" i="6"/>
  <c r="E128" i="6"/>
  <c r="C130" i="5"/>
  <c r="C131" i="4"/>
  <c r="C130" i="3"/>
  <c r="F130" i="2"/>
  <c r="H130" i="2"/>
  <c r="E130" i="2"/>
  <c r="C131" i="2"/>
  <c r="C130" i="18"/>
  <c r="B127" i="18"/>
  <c r="D126" i="18"/>
  <c r="B127" i="19"/>
  <c r="D126" i="19"/>
  <c r="G130" i="19"/>
  <c r="F130" i="19"/>
  <c r="E130" i="19"/>
  <c r="C131" i="19"/>
  <c r="H130" i="19"/>
  <c r="F129" i="17"/>
  <c r="E129" i="17"/>
  <c r="C130" i="17"/>
  <c r="C130" i="15" l="1"/>
  <c r="B129" i="14"/>
  <c r="D128" i="14"/>
  <c r="C131" i="14"/>
  <c r="C131" i="13"/>
  <c r="C130" i="12"/>
  <c r="D128" i="12"/>
  <c r="B129" i="12"/>
  <c r="C131" i="11"/>
  <c r="C131" i="10"/>
  <c r="C130" i="9"/>
  <c r="C131" i="8"/>
  <c r="H129" i="7"/>
  <c r="F129" i="7"/>
  <c r="E129" i="7"/>
  <c r="C130" i="7"/>
  <c r="F129" i="6"/>
  <c r="C130" i="6"/>
  <c r="H129" i="6"/>
  <c r="E129" i="6"/>
  <c r="C131" i="5"/>
  <c r="C132" i="4"/>
  <c r="C131" i="3"/>
  <c r="C132" i="2"/>
  <c r="E131" i="2"/>
  <c r="H131" i="2"/>
  <c r="F131" i="2"/>
  <c r="C131" i="18"/>
  <c r="D127" i="18"/>
  <c r="B128" i="18"/>
  <c r="H131" i="19"/>
  <c r="G131" i="19"/>
  <c r="F131" i="19"/>
  <c r="E131" i="19"/>
  <c r="C132" i="19"/>
  <c r="D127" i="19"/>
  <c r="B128" i="19"/>
  <c r="F130" i="17"/>
  <c r="E130" i="17"/>
  <c r="C131" i="17"/>
  <c r="C131" i="15" l="1"/>
  <c r="C132" i="14"/>
  <c r="B130" i="14"/>
  <c r="D129" i="14"/>
  <c r="C132" i="13"/>
  <c r="C131" i="12"/>
  <c r="D129" i="12"/>
  <c r="B130" i="12"/>
  <c r="C132" i="11"/>
  <c r="C132" i="10"/>
  <c r="C131" i="9"/>
  <c r="C132" i="8"/>
  <c r="H130" i="7"/>
  <c r="F130" i="7"/>
  <c r="E130" i="7"/>
  <c r="C131" i="7"/>
  <c r="F130" i="6"/>
  <c r="C131" i="6"/>
  <c r="H130" i="6"/>
  <c r="E130" i="6"/>
  <c r="C132" i="5"/>
  <c r="C133" i="4"/>
  <c r="H131" i="3"/>
  <c r="F131" i="3"/>
  <c r="E131" i="3"/>
  <c r="C132" i="3"/>
  <c r="H132" i="2"/>
  <c r="E132" i="2"/>
  <c r="C133" i="2"/>
  <c r="F132" i="2"/>
  <c r="D128" i="18"/>
  <c r="B129" i="18"/>
  <c r="C132" i="18"/>
  <c r="D128" i="19"/>
  <c r="B129" i="19"/>
  <c r="H132" i="19"/>
  <c r="G132" i="19"/>
  <c r="F132" i="19"/>
  <c r="E132" i="19"/>
  <c r="C133" i="19"/>
  <c r="F131" i="17"/>
  <c r="E131" i="17"/>
  <c r="C132" i="17"/>
  <c r="C132" i="15" l="1"/>
  <c r="C133" i="14"/>
  <c r="B131" i="14"/>
  <c r="D130" i="14"/>
  <c r="C133" i="13"/>
  <c r="C132" i="12"/>
  <c r="D130" i="12"/>
  <c r="B131" i="12"/>
  <c r="C133" i="11"/>
  <c r="C133" i="10"/>
  <c r="C132" i="9"/>
  <c r="C133" i="8"/>
  <c r="H131" i="7"/>
  <c r="F131" i="7"/>
  <c r="E131" i="7"/>
  <c r="C132" i="7"/>
  <c r="F131" i="6"/>
  <c r="C132" i="6"/>
  <c r="H131" i="6"/>
  <c r="E131" i="6"/>
  <c r="C133" i="5"/>
  <c r="C134" i="4"/>
  <c r="H132" i="3"/>
  <c r="F132" i="3"/>
  <c r="E132" i="3"/>
  <c r="C133" i="3"/>
  <c r="F133" i="2"/>
  <c r="C134" i="2"/>
  <c r="H133" i="2"/>
  <c r="E133" i="2"/>
  <c r="C133" i="18"/>
  <c r="D129" i="18"/>
  <c r="B130" i="18"/>
  <c r="C134" i="19"/>
  <c r="H133" i="19"/>
  <c r="G133" i="19"/>
  <c r="F133" i="19"/>
  <c r="E133" i="19"/>
  <c r="D129" i="19"/>
  <c r="B130" i="19"/>
  <c r="F132" i="17"/>
  <c r="E132" i="17"/>
  <c r="C133" i="17"/>
  <c r="C133" i="15" l="1"/>
  <c r="C134" i="14"/>
  <c r="B132" i="14"/>
  <c r="D131" i="14"/>
  <c r="C134" i="13"/>
  <c r="C133" i="12"/>
  <c r="D131" i="12"/>
  <c r="B132" i="12"/>
  <c r="C134" i="11"/>
  <c r="C134" i="10"/>
  <c r="C133" i="9"/>
  <c r="C134" i="8"/>
  <c r="H132" i="7"/>
  <c r="F132" i="7"/>
  <c r="E132" i="7"/>
  <c r="C133" i="7"/>
  <c r="F132" i="6"/>
  <c r="C133" i="6"/>
  <c r="E132" i="6"/>
  <c r="H132" i="6"/>
  <c r="C134" i="5"/>
  <c r="C135" i="4"/>
  <c r="C134" i="3"/>
  <c r="H133" i="3"/>
  <c r="F133" i="3"/>
  <c r="E133" i="3"/>
  <c r="C135" i="2"/>
  <c r="F134" i="2"/>
  <c r="E134" i="2"/>
  <c r="H134" i="2"/>
  <c r="D130" i="18"/>
  <c r="B131" i="18"/>
  <c r="C134" i="18"/>
  <c r="D130" i="19"/>
  <c r="B131" i="19"/>
  <c r="C135" i="19"/>
  <c r="H134" i="19"/>
  <c r="G134" i="19"/>
  <c r="F134" i="19"/>
  <c r="E134" i="19"/>
  <c r="F133" i="17"/>
  <c r="E133" i="17"/>
  <c r="C134" i="17"/>
  <c r="C134" i="15" l="1"/>
  <c r="C135" i="14"/>
  <c r="B133" i="14"/>
  <c r="D132" i="14"/>
  <c r="C135" i="13"/>
  <c r="C134" i="12"/>
  <c r="D132" i="12"/>
  <c r="B133" i="12"/>
  <c r="C135" i="11"/>
  <c r="C135" i="10"/>
  <c r="C134" i="9"/>
  <c r="C135" i="8"/>
  <c r="H133" i="7"/>
  <c r="F133" i="7"/>
  <c r="E133" i="7"/>
  <c r="C134" i="7"/>
  <c r="F133" i="6"/>
  <c r="C134" i="6"/>
  <c r="H133" i="6"/>
  <c r="E133" i="6"/>
  <c r="C135" i="5"/>
  <c r="C136" i="4"/>
  <c r="C135" i="3"/>
  <c r="H134" i="3"/>
  <c r="F134" i="3"/>
  <c r="E134" i="3"/>
  <c r="H135" i="2"/>
  <c r="E135" i="2"/>
  <c r="C136" i="2"/>
  <c r="F135" i="2"/>
  <c r="C135" i="18"/>
  <c r="D131" i="18"/>
  <c r="B132" i="18"/>
  <c r="C136" i="19"/>
  <c r="H135" i="19"/>
  <c r="G135" i="19"/>
  <c r="F135" i="19"/>
  <c r="E135" i="19"/>
  <c r="D131" i="19"/>
  <c r="B132" i="19"/>
  <c r="F134" i="17"/>
  <c r="E134" i="17"/>
  <c r="C135" i="17"/>
  <c r="C135" i="15" l="1"/>
  <c r="B134" i="14"/>
  <c r="D133" i="14"/>
  <c r="C136" i="14"/>
  <c r="C136" i="13"/>
  <c r="C135" i="12"/>
  <c r="D133" i="12"/>
  <c r="B134" i="12"/>
  <c r="C136" i="11"/>
  <c r="C136" i="10"/>
  <c r="C135" i="9"/>
  <c r="C136" i="8"/>
  <c r="H134" i="7"/>
  <c r="F134" i="7"/>
  <c r="E134" i="7"/>
  <c r="C135" i="7"/>
  <c r="F134" i="6"/>
  <c r="C135" i="6"/>
  <c r="E134" i="6"/>
  <c r="H134" i="6"/>
  <c r="C136" i="5"/>
  <c r="C137" i="4"/>
  <c r="C136" i="3"/>
  <c r="H135" i="3"/>
  <c r="F135" i="3"/>
  <c r="E135" i="3"/>
  <c r="F136" i="2"/>
  <c r="E136" i="2"/>
  <c r="H136" i="2"/>
  <c r="C137" i="2"/>
  <c r="B133" i="18"/>
  <c r="D132" i="18"/>
  <c r="C136" i="18"/>
  <c r="E136" i="19"/>
  <c r="C137" i="19"/>
  <c r="H136" i="19"/>
  <c r="G136" i="19"/>
  <c r="F136" i="19"/>
  <c r="B133" i="19"/>
  <c r="D132" i="19"/>
  <c r="F135" i="17"/>
  <c r="E135" i="17"/>
  <c r="C136" i="17"/>
  <c r="C136" i="15" l="1"/>
  <c r="C137" i="14"/>
  <c r="B135" i="14"/>
  <c r="D134" i="14"/>
  <c r="C137" i="13"/>
  <c r="C136" i="12"/>
  <c r="D134" i="12"/>
  <c r="B135" i="12"/>
  <c r="C137" i="11"/>
  <c r="C137" i="10"/>
  <c r="C136" i="9"/>
  <c r="C137" i="8"/>
  <c r="H135" i="7"/>
  <c r="F135" i="7"/>
  <c r="E135" i="7"/>
  <c r="C136" i="7"/>
  <c r="F135" i="6"/>
  <c r="C136" i="6"/>
  <c r="H135" i="6"/>
  <c r="E135" i="6"/>
  <c r="C137" i="5"/>
  <c r="C138" i="4"/>
  <c r="E136" i="3"/>
  <c r="C137" i="3"/>
  <c r="H136" i="3"/>
  <c r="F136" i="3"/>
  <c r="E137" i="2"/>
  <c r="C138" i="2"/>
  <c r="H137" i="2"/>
  <c r="F137" i="2"/>
  <c r="C137" i="18"/>
  <c r="B134" i="18"/>
  <c r="D133" i="18"/>
  <c r="B134" i="19"/>
  <c r="D133" i="19"/>
  <c r="F137" i="19"/>
  <c r="E137" i="19"/>
  <c r="C138" i="19"/>
  <c r="H137" i="19"/>
  <c r="G137" i="19"/>
  <c r="F136" i="17"/>
  <c r="E136" i="17"/>
  <c r="C137" i="17"/>
  <c r="C137" i="15" l="1"/>
  <c r="C138" i="14"/>
  <c r="B136" i="14"/>
  <c r="D135" i="14"/>
  <c r="C138" i="13"/>
  <c r="C137" i="12"/>
  <c r="D135" i="12"/>
  <c r="B136" i="12"/>
  <c r="C138" i="11"/>
  <c r="C138" i="10"/>
  <c r="C137" i="9"/>
  <c r="C138" i="8"/>
  <c r="H136" i="7"/>
  <c r="F136" i="7"/>
  <c r="E136" i="7"/>
  <c r="C137" i="7"/>
  <c r="F136" i="6"/>
  <c r="C137" i="6"/>
  <c r="H136" i="6"/>
  <c r="E136" i="6"/>
  <c r="C138" i="5"/>
  <c r="F138" i="4"/>
  <c r="C139" i="4"/>
  <c r="E138" i="4"/>
  <c r="H138" i="4"/>
  <c r="F137" i="3"/>
  <c r="E137" i="3"/>
  <c r="C138" i="3"/>
  <c r="H137" i="3"/>
  <c r="F138" i="2"/>
  <c r="H138" i="2"/>
  <c r="C139" i="2"/>
  <c r="E138" i="2"/>
  <c r="B135" i="18"/>
  <c r="D134" i="18"/>
  <c r="C138" i="18"/>
  <c r="G138" i="19"/>
  <c r="F138" i="19"/>
  <c r="E138" i="19"/>
  <c r="C139" i="19"/>
  <c r="H138" i="19"/>
  <c r="B135" i="19"/>
  <c r="D134" i="19"/>
  <c r="F137" i="17"/>
  <c r="E137" i="17"/>
  <c r="C138" i="17"/>
  <c r="C138" i="15" l="1"/>
  <c r="B137" i="14"/>
  <c r="D136" i="14"/>
  <c r="C139" i="14"/>
  <c r="C139" i="13"/>
  <c r="C138" i="12"/>
  <c r="D136" i="12"/>
  <c r="B137" i="12"/>
  <c r="C139" i="11"/>
  <c r="C139" i="10"/>
  <c r="C138" i="9"/>
  <c r="C139" i="8"/>
  <c r="H137" i="7"/>
  <c r="F137" i="7"/>
  <c r="E137" i="7"/>
  <c r="C138" i="7"/>
  <c r="F137" i="6"/>
  <c r="C138" i="6"/>
  <c r="H137" i="6"/>
  <c r="E137" i="6"/>
  <c r="C139" i="5"/>
  <c r="E139" i="4"/>
  <c r="C140" i="4"/>
  <c r="H139" i="4"/>
  <c r="F139" i="4"/>
  <c r="F138" i="3"/>
  <c r="E138" i="3"/>
  <c r="C139" i="3"/>
  <c r="H138" i="3"/>
  <c r="C140" i="2"/>
  <c r="H139" i="2"/>
  <c r="F139" i="2"/>
  <c r="E139" i="2"/>
  <c r="C139" i="18"/>
  <c r="D135" i="18"/>
  <c r="B136" i="18"/>
  <c r="D135" i="19"/>
  <c r="B136" i="19"/>
  <c r="H139" i="19"/>
  <c r="G139" i="19"/>
  <c r="F139" i="19"/>
  <c r="E139" i="19"/>
  <c r="C140" i="19"/>
  <c r="F138" i="17"/>
  <c r="E138" i="17"/>
  <c r="C139" i="17"/>
  <c r="C139" i="15" l="1"/>
  <c r="C140" i="14"/>
  <c r="B138" i="14"/>
  <c r="D137" i="14"/>
  <c r="C140" i="13"/>
  <c r="C139" i="12"/>
  <c r="D137" i="12"/>
  <c r="B138" i="12"/>
  <c r="C140" i="11"/>
  <c r="C140" i="10"/>
  <c r="C139" i="9"/>
  <c r="C140" i="8"/>
  <c r="H138" i="7"/>
  <c r="F138" i="7"/>
  <c r="E138" i="7"/>
  <c r="C139" i="7"/>
  <c r="F138" i="6"/>
  <c r="C139" i="6"/>
  <c r="H138" i="6"/>
  <c r="E138" i="6"/>
  <c r="C140" i="5"/>
  <c r="H140" i="4"/>
  <c r="F140" i="4"/>
  <c r="E140" i="4"/>
  <c r="C141" i="4"/>
  <c r="H139" i="3"/>
  <c r="F139" i="3"/>
  <c r="E139" i="3"/>
  <c r="C140" i="3"/>
  <c r="H140" i="2"/>
  <c r="E140" i="2"/>
  <c r="C141" i="2"/>
  <c r="F140" i="2"/>
  <c r="D136" i="18"/>
  <c r="B137" i="18"/>
  <c r="C140" i="18"/>
  <c r="D136" i="19"/>
  <c r="B137" i="19"/>
  <c r="H140" i="19"/>
  <c r="G140" i="19"/>
  <c r="F140" i="19"/>
  <c r="E140" i="19"/>
  <c r="C141" i="19"/>
  <c r="F139" i="17"/>
  <c r="E139" i="17"/>
  <c r="C140" i="17"/>
  <c r="C140" i="15" l="1"/>
  <c r="B139" i="14"/>
  <c r="D138" i="14"/>
  <c r="C141" i="14"/>
  <c r="C141" i="13"/>
  <c r="C140" i="12"/>
  <c r="D138" i="12"/>
  <c r="B139" i="12"/>
  <c r="C141" i="11"/>
  <c r="C141" i="10"/>
  <c r="C140" i="9"/>
  <c r="C141" i="8"/>
  <c r="H139" i="7"/>
  <c r="F139" i="7"/>
  <c r="E139" i="7"/>
  <c r="C140" i="7"/>
  <c r="F139" i="6"/>
  <c r="C140" i="6"/>
  <c r="H139" i="6"/>
  <c r="E139" i="6"/>
  <c r="C141" i="5"/>
  <c r="F141" i="4"/>
  <c r="E141" i="4"/>
  <c r="C142" i="4"/>
  <c r="H141" i="4"/>
  <c r="H140" i="3"/>
  <c r="F140" i="3"/>
  <c r="E140" i="3"/>
  <c r="C141" i="3"/>
  <c r="F141" i="2"/>
  <c r="H141" i="2"/>
  <c r="E141" i="2"/>
  <c r="C142" i="2"/>
  <c r="C141" i="18"/>
  <c r="D137" i="18"/>
  <c r="B138" i="18"/>
  <c r="C142" i="19"/>
  <c r="H141" i="19"/>
  <c r="G141" i="19"/>
  <c r="F141" i="19"/>
  <c r="E141" i="19"/>
  <c r="D137" i="19"/>
  <c r="B138" i="19"/>
  <c r="F140" i="17"/>
  <c r="E140" i="17"/>
  <c r="C141" i="17"/>
  <c r="C141" i="15" l="1"/>
  <c r="C142" i="14"/>
  <c r="B140" i="14"/>
  <c r="D139" i="14"/>
  <c r="C142" i="13"/>
  <c r="C141" i="12"/>
  <c r="D139" i="12"/>
  <c r="B140" i="12"/>
  <c r="C142" i="11"/>
  <c r="C142" i="10"/>
  <c r="C141" i="9"/>
  <c r="C142" i="8"/>
  <c r="H140" i="7"/>
  <c r="F140" i="7"/>
  <c r="E140" i="7"/>
  <c r="C141" i="7"/>
  <c r="F140" i="6"/>
  <c r="C141" i="6"/>
  <c r="E140" i="6"/>
  <c r="H140" i="6"/>
  <c r="C142" i="5"/>
  <c r="C143" i="4"/>
  <c r="H142" i="4"/>
  <c r="F142" i="4"/>
  <c r="E142" i="4"/>
  <c r="C142" i="3"/>
  <c r="H141" i="3"/>
  <c r="F141" i="3"/>
  <c r="E141" i="3"/>
  <c r="C143" i="2"/>
  <c r="E142" i="2"/>
  <c r="F142" i="2"/>
  <c r="H142" i="2"/>
  <c r="D138" i="18"/>
  <c r="B139" i="18"/>
  <c r="C142" i="18"/>
  <c r="D138" i="19"/>
  <c r="B139" i="19"/>
  <c r="C143" i="19"/>
  <c r="H142" i="19"/>
  <c r="G142" i="19"/>
  <c r="F142" i="19"/>
  <c r="E142" i="19"/>
  <c r="F141" i="17"/>
  <c r="E141" i="17"/>
  <c r="C142" i="17"/>
  <c r="C142" i="15" l="1"/>
  <c r="C143" i="14"/>
  <c r="B141" i="14"/>
  <c r="D140" i="14"/>
  <c r="C143" i="13"/>
  <c r="C142" i="12"/>
  <c r="D140" i="12"/>
  <c r="B141" i="12"/>
  <c r="C143" i="11"/>
  <c r="C143" i="10"/>
  <c r="C142" i="9"/>
  <c r="C143" i="8"/>
  <c r="H141" i="7"/>
  <c r="F141" i="7"/>
  <c r="E141" i="7"/>
  <c r="C142" i="7"/>
  <c r="F141" i="6"/>
  <c r="C142" i="6"/>
  <c r="H141" i="6"/>
  <c r="E141" i="6"/>
  <c r="C143" i="5"/>
  <c r="H143" i="4"/>
  <c r="F143" i="4"/>
  <c r="C144" i="4"/>
  <c r="E143" i="4"/>
  <c r="C143" i="3"/>
  <c r="H142" i="3"/>
  <c r="F142" i="3"/>
  <c r="E142" i="3"/>
  <c r="H143" i="2"/>
  <c r="E143" i="2"/>
  <c r="F143" i="2"/>
  <c r="C144" i="2"/>
  <c r="C143" i="18"/>
  <c r="D139" i="18"/>
  <c r="B140" i="18"/>
  <c r="D139" i="19"/>
  <c r="B140" i="19"/>
  <c r="C144" i="19"/>
  <c r="H143" i="19"/>
  <c r="G143" i="19"/>
  <c r="F143" i="19"/>
  <c r="E143" i="19"/>
  <c r="F142" i="17"/>
  <c r="E142" i="17"/>
  <c r="C143" i="17"/>
  <c r="C143" i="15" l="1"/>
  <c r="C144" i="14"/>
  <c r="B142" i="14"/>
  <c r="D141" i="14"/>
  <c r="C144" i="13"/>
  <c r="C143" i="12"/>
  <c r="D141" i="12"/>
  <c r="B142" i="12"/>
  <c r="C144" i="11"/>
  <c r="C144" i="10"/>
  <c r="C143" i="9"/>
  <c r="C144" i="8"/>
  <c r="H142" i="7"/>
  <c r="F142" i="7"/>
  <c r="E142" i="7"/>
  <c r="C143" i="7"/>
  <c r="F142" i="6"/>
  <c r="C143" i="6"/>
  <c r="E142" i="6"/>
  <c r="H142" i="6"/>
  <c r="C144" i="5"/>
  <c r="C145" i="4"/>
  <c r="H144" i="4"/>
  <c r="F144" i="4"/>
  <c r="E144" i="4"/>
  <c r="C144" i="3"/>
  <c r="H143" i="3"/>
  <c r="F143" i="3"/>
  <c r="E143" i="3"/>
  <c r="F144" i="2"/>
  <c r="C145" i="2"/>
  <c r="H144" i="2"/>
  <c r="E144" i="2"/>
  <c r="B141" i="18"/>
  <c r="D140" i="18"/>
  <c r="C144" i="18"/>
  <c r="E144" i="19"/>
  <c r="C145" i="19"/>
  <c r="H144" i="19"/>
  <c r="G144" i="19"/>
  <c r="F144" i="19"/>
  <c r="B141" i="19"/>
  <c r="D140" i="19"/>
  <c r="F143" i="17"/>
  <c r="E143" i="17"/>
  <c r="C144" i="17"/>
  <c r="C144" i="15" l="1"/>
  <c r="B143" i="14"/>
  <c r="D142" i="14"/>
  <c r="C145" i="14"/>
  <c r="C145" i="13"/>
  <c r="C144" i="12"/>
  <c r="D142" i="12"/>
  <c r="B143" i="12"/>
  <c r="C145" i="11"/>
  <c r="C145" i="10"/>
  <c r="C144" i="9"/>
  <c r="C145" i="8"/>
  <c r="H143" i="7"/>
  <c r="F143" i="7"/>
  <c r="E143" i="7"/>
  <c r="C144" i="7"/>
  <c r="F143" i="6"/>
  <c r="C144" i="6"/>
  <c r="H143" i="6"/>
  <c r="E143" i="6"/>
  <c r="C145" i="5"/>
  <c r="E145" i="4"/>
  <c r="C146" i="4"/>
  <c r="F145" i="4"/>
  <c r="H145" i="4"/>
  <c r="E144" i="3"/>
  <c r="C145" i="3"/>
  <c r="H144" i="3"/>
  <c r="F144" i="3"/>
  <c r="E145" i="2"/>
  <c r="C146" i="2"/>
  <c r="F145" i="2"/>
  <c r="H145" i="2"/>
  <c r="C145" i="18"/>
  <c r="B142" i="18"/>
  <c r="D141" i="18"/>
  <c r="B142" i="19"/>
  <c r="D141" i="19"/>
  <c r="F145" i="19"/>
  <c r="E145" i="19"/>
  <c r="C146" i="19"/>
  <c r="H145" i="19"/>
  <c r="G145" i="19"/>
  <c r="F144" i="17"/>
  <c r="E144" i="17"/>
  <c r="C145" i="17"/>
  <c r="C145" i="15" l="1"/>
  <c r="C146" i="14"/>
  <c r="B144" i="14"/>
  <c r="D143" i="14"/>
  <c r="C146" i="13"/>
  <c r="C145" i="12"/>
  <c r="D143" i="12"/>
  <c r="B144" i="12"/>
  <c r="C146" i="11"/>
  <c r="C146" i="10"/>
  <c r="C145" i="9"/>
  <c r="C146" i="8"/>
  <c r="H144" i="7"/>
  <c r="F144" i="7"/>
  <c r="E144" i="7"/>
  <c r="C145" i="7"/>
  <c r="F144" i="6"/>
  <c r="C145" i="6"/>
  <c r="H144" i="6"/>
  <c r="E144" i="6"/>
  <c r="C146" i="5"/>
  <c r="F146" i="4"/>
  <c r="C147" i="4"/>
  <c r="H146" i="4"/>
  <c r="E146" i="4"/>
  <c r="F145" i="3"/>
  <c r="E145" i="3"/>
  <c r="C146" i="3"/>
  <c r="H145" i="3"/>
  <c r="F146" i="2"/>
  <c r="H146" i="2"/>
  <c r="C147" i="2"/>
  <c r="E146" i="2"/>
  <c r="C146" i="18"/>
  <c r="B143" i="18"/>
  <c r="D142" i="18"/>
  <c r="G146" i="19"/>
  <c r="F146" i="19"/>
  <c r="E146" i="19"/>
  <c r="C147" i="19"/>
  <c r="H146" i="19"/>
  <c r="B143" i="19"/>
  <c r="D142" i="19"/>
  <c r="F145" i="17"/>
  <c r="E145" i="17"/>
  <c r="C146" i="17"/>
  <c r="C146" i="15" l="1"/>
  <c r="B145" i="14"/>
  <c r="D144" i="14"/>
  <c r="C147" i="14"/>
  <c r="C147" i="13"/>
  <c r="C146" i="12"/>
  <c r="D144" i="12"/>
  <c r="B145" i="12"/>
  <c r="C147" i="11"/>
  <c r="C147" i="10"/>
  <c r="C146" i="9"/>
  <c r="C147" i="8"/>
  <c r="H145" i="7"/>
  <c r="F145" i="7"/>
  <c r="E145" i="7"/>
  <c r="C146" i="7"/>
  <c r="F145" i="6"/>
  <c r="C146" i="6"/>
  <c r="H145" i="6"/>
  <c r="E145" i="6"/>
  <c r="C147" i="5"/>
  <c r="E147" i="4"/>
  <c r="H147" i="4"/>
  <c r="F147" i="4"/>
  <c r="C148" i="4"/>
  <c r="F146" i="3"/>
  <c r="E146" i="3"/>
  <c r="C147" i="3"/>
  <c r="H146" i="3"/>
  <c r="E147" i="2"/>
  <c r="H147" i="2"/>
  <c r="C148" i="2"/>
  <c r="F147" i="2"/>
  <c r="D143" i="18"/>
  <c r="B144" i="18"/>
  <c r="C147" i="18"/>
  <c r="D143" i="19"/>
  <c r="B144" i="19"/>
  <c r="H147" i="19"/>
  <c r="G147" i="19"/>
  <c r="F147" i="19"/>
  <c r="E147" i="19"/>
  <c r="C148" i="19"/>
  <c r="F146" i="17"/>
  <c r="E146" i="17"/>
  <c r="C147" i="17"/>
  <c r="C147" i="15" l="1"/>
  <c r="C148" i="14"/>
  <c r="B146" i="14"/>
  <c r="D145" i="14"/>
  <c r="C148" i="13"/>
  <c r="C147" i="12"/>
  <c r="D145" i="12"/>
  <c r="B146" i="12"/>
  <c r="C148" i="11"/>
  <c r="C148" i="10"/>
  <c r="C147" i="9"/>
  <c r="C148" i="8"/>
  <c r="H146" i="7"/>
  <c r="F146" i="7"/>
  <c r="E146" i="7"/>
  <c r="C147" i="7"/>
  <c r="F146" i="6"/>
  <c r="C147" i="6"/>
  <c r="H146" i="6"/>
  <c r="E146" i="6"/>
  <c r="C148" i="5"/>
  <c r="H148" i="4"/>
  <c r="F148" i="4"/>
  <c r="E148" i="4"/>
  <c r="C149" i="4"/>
  <c r="H147" i="3"/>
  <c r="F147" i="3"/>
  <c r="E147" i="3"/>
  <c r="C148" i="3"/>
  <c r="H148" i="2"/>
  <c r="E148" i="2"/>
  <c r="C149" i="2"/>
  <c r="F148" i="2"/>
  <c r="C148" i="18"/>
  <c r="D144" i="18"/>
  <c r="B145" i="18"/>
  <c r="H148" i="19"/>
  <c r="G148" i="19"/>
  <c r="F148" i="19"/>
  <c r="E148" i="19"/>
  <c r="C149" i="19"/>
  <c r="D144" i="19"/>
  <c r="B145" i="19"/>
  <c r="F147" i="17"/>
  <c r="E147" i="17"/>
  <c r="C148" i="17"/>
  <c r="C148" i="15" l="1"/>
  <c r="C149" i="14"/>
  <c r="B147" i="14"/>
  <c r="D146" i="14"/>
  <c r="C149" i="13"/>
  <c r="C148" i="12"/>
  <c r="D146" i="12"/>
  <c r="B147" i="12"/>
  <c r="C149" i="11"/>
  <c r="C149" i="10"/>
  <c r="C148" i="9"/>
  <c r="C149" i="8"/>
  <c r="H147" i="7"/>
  <c r="F147" i="7"/>
  <c r="E147" i="7"/>
  <c r="C148" i="7"/>
  <c r="F147" i="6"/>
  <c r="C148" i="6"/>
  <c r="H147" i="6"/>
  <c r="E147" i="6"/>
  <c r="C149" i="5"/>
  <c r="F149" i="4"/>
  <c r="E149" i="4"/>
  <c r="C150" i="4"/>
  <c r="H149" i="4"/>
  <c r="H148" i="3"/>
  <c r="F148" i="3"/>
  <c r="E148" i="3"/>
  <c r="C149" i="3"/>
  <c r="F149" i="2"/>
  <c r="C150" i="2"/>
  <c r="H149" i="2"/>
  <c r="E149" i="2"/>
  <c r="D145" i="18"/>
  <c r="B146" i="18"/>
  <c r="C149" i="18"/>
  <c r="D145" i="19"/>
  <c r="B146" i="19"/>
  <c r="C150" i="19"/>
  <c r="H149" i="19"/>
  <c r="G149" i="19"/>
  <c r="F149" i="19"/>
  <c r="E149" i="19"/>
  <c r="F148" i="17"/>
  <c r="E148" i="17"/>
  <c r="C149" i="17"/>
  <c r="C149" i="15" l="1"/>
  <c r="B148" i="14"/>
  <c r="D147" i="14"/>
  <c r="C150" i="14"/>
  <c r="C150" i="13"/>
  <c r="C149" i="12"/>
  <c r="D147" i="12"/>
  <c r="B148" i="12"/>
  <c r="C150" i="11"/>
  <c r="C150" i="10"/>
  <c r="C149" i="9"/>
  <c r="C150" i="8"/>
  <c r="H148" i="7"/>
  <c r="F148" i="7"/>
  <c r="E148" i="7"/>
  <c r="C149" i="7"/>
  <c r="F148" i="6"/>
  <c r="C149" i="6"/>
  <c r="E148" i="6"/>
  <c r="H148" i="6"/>
  <c r="C150" i="5"/>
  <c r="C151" i="4"/>
  <c r="H150" i="4"/>
  <c r="F150" i="4"/>
  <c r="E150" i="4"/>
  <c r="C150" i="3"/>
  <c r="H149" i="3"/>
  <c r="F149" i="3"/>
  <c r="E149" i="3"/>
  <c r="C151" i="2"/>
  <c r="H150" i="2"/>
  <c r="F150" i="2"/>
  <c r="E150" i="2"/>
  <c r="C150" i="18"/>
  <c r="D146" i="18"/>
  <c r="B147" i="18"/>
  <c r="C151" i="19"/>
  <c r="H150" i="19"/>
  <c r="G150" i="19"/>
  <c r="F150" i="19"/>
  <c r="E150" i="19"/>
  <c r="D146" i="19"/>
  <c r="B147" i="19"/>
  <c r="F149" i="17"/>
  <c r="E149" i="17"/>
  <c r="C150" i="17"/>
  <c r="C150" i="15" l="1"/>
  <c r="C151" i="14"/>
  <c r="B149" i="14"/>
  <c r="D148" i="14"/>
  <c r="C151" i="13"/>
  <c r="C150" i="12"/>
  <c r="D148" i="12"/>
  <c r="B149" i="12"/>
  <c r="C151" i="11"/>
  <c r="C151" i="10"/>
  <c r="C150" i="9"/>
  <c r="C151" i="8"/>
  <c r="H149" i="7"/>
  <c r="F149" i="7"/>
  <c r="E149" i="7"/>
  <c r="C150" i="7"/>
  <c r="F149" i="6"/>
  <c r="C150" i="6"/>
  <c r="H149" i="6"/>
  <c r="E149" i="6"/>
  <c r="C151" i="5"/>
  <c r="H151" i="4"/>
  <c r="C152" i="4"/>
  <c r="F151" i="4"/>
  <c r="E151" i="4"/>
  <c r="C151" i="3"/>
  <c r="H150" i="3"/>
  <c r="F150" i="3"/>
  <c r="E150" i="3"/>
  <c r="H151" i="2"/>
  <c r="E151" i="2"/>
  <c r="C152" i="2"/>
  <c r="F151" i="2"/>
  <c r="D147" i="18"/>
  <c r="B148" i="18"/>
  <c r="C151" i="18"/>
  <c r="D147" i="19"/>
  <c r="B148" i="19"/>
  <c r="C152" i="19"/>
  <c r="H151" i="19"/>
  <c r="G151" i="19"/>
  <c r="F151" i="19"/>
  <c r="E151" i="19"/>
  <c r="F150" i="17"/>
  <c r="E150" i="17"/>
  <c r="C151" i="17"/>
  <c r="C151" i="15" l="1"/>
  <c r="C152" i="14"/>
  <c r="B150" i="14"/>
  <c r="D149" i="14"/>
  <c r="C152" i="13"/>
  <c r="C151" i="12"/>
  <c r="D149" i="12"/>
  <c r="B150" i="12"/>
  <c r="C152" i="11"/>
  <c r="C152" i="10"/>
  <c r="C151" i="9"/>
  <c r="C152" i="8"/>
  <c r="H150" i="7"/>
  <c r="F150" i="7"/>
  <c r="E150" i="7"/>
  <c r="C151" i="7"/>
  <c r="F150" i="6"/>
  <c r="C151" i="6"/>
  <c r="E150" i="6"/>
  <c r="H150" i="6"/>
  <c r="C152" i="5"/>
  <c r="C153" i="4"/>
  <c r="H152" i="4"/>
  <c r="E152" i="4"/>
  <c r="F152" i="4"/>
  <c r="C152" i="3"/>
  <c r="H151" i="3"/>
  <c r="F151" i="3"/>
  <c r="E151" i="3"/>
  <c r="F152" i="2"/>
  <c r="H152" i="2"/>
  <c r="E152" i="2"/>
  <c r="C153" i="2"/>
  <c r="C152" i="18"/>
  <c r="B149" i="18"/>
  <c r="D148" i="18"/>
  <c r="E152" i="19"/>
  <c r="C153" i="19"/>
  <c r="H152" i="19"/>
  <c r="G152" i="19"/>
  <c r="F152" i="19"/>
  <c r="B149" i="19"/>
  <c r="D148" i="19"/>
  <c r="F151" i="17"/>
  <c r="E151" i="17"/>
  <c r="C152" i="17"/>
  <c r="C152" i="15" l="1"/>
  <c r="C153" i="14"/>
  <c r="B151" i="14"/>
  <c r="D150" i="14"/>
  <c r="C153" i="13"/>
  <c r="C152" i="12"/>
  <c r="D150" i="12"/>
  <c r="B151" i="12"/>
  <c r="C153" i="11"/>
  <c r="C153" i="10"/>
  <c r="C152" i="9"/>
  <c r="H152" i="8"/>
  <c r="F152" i="8"/>
  <c r="E152" i="8"/>
  <c r="C153" i="8"/>
  <c r="H151" i="7"/>
  <c r="F151" i="7"/>
  <c r="E151" i="7"/>
  <c r="C152" i="7"/>
  <c r="F151" i="6"/>
  <c r="C152" i="6"/>
  <c r="H151" i="6"/>
  <c r="E151" i="6"/>
  <c r="C153" i="5"/>
  <c r="E153" i="4"/>
  <c r="C154" i="4"/>
  <c r="H153" i="4"/>
  <c r="F153" i="4"/>
  <c r="E152" i="3"/>
  <c r="C153" i="3"/>
  <c r="H152" i="3"/>
  <c r="F152" i="3"/>
  <c r="E153" i="2"/>
  <c r="C154" i="2"/>
  <c r="F153" i="2"/>
  <c r="H153" i="2"/>
  <c r="B150" i="18"/>
  <c r="D149" i="18"/>
  <c r="C153" i="18"/>
  <c r="B150" i="19"/>
  <c r="D149" i="19"/>
  <c r="F153" i="19"/>
  <c r="E153" i="19"/>
  <c r="C154" i="19"/>
  <c r="H153" i="19"/>
  <c r="G153" i="19"/>
  <c r="F152" i="17"/>
  <c r="E152" i="17"/>
  <c r="C153" i="17"/>
  <c r="C153" i="15" l="1"/>
  <c r="C154" i="14"/>
  <c r="B152" i="14"/>
  <c r="D151" i="14"/>
  <c r="C154" i="13"/>
  <c r="C153" i="12"/>
  <c r="D151" i="12"/>
  <c r="B152" i="12"/>
  <c r="C154" i="11"/>
  <c r="C154" i="10"/>
  <c r="C153" i="9"/>
  <c r="H153" i="8"/>
  <c r="F153" i="8"/>
  <c r="E153" i="8"/>
  <c r="C154" i="8"/>
  <c r="H152" i="7"/>
  <c r="F152" i="7"/>
  <c r="E152" i="7"/>
  <c r="C153" i="7"/>
  <c r="F152" i="6"/>
  <c r="C153" i="6"/>
  <c r="H152" i="6"/>
  <c r="E152" i="6"/>
  <c r="C154" i="5"/>
  <c r="F154" i="4"/>
  <c r="C155" i="4"/>
  <c r="E154" i="4"/>
  <c r="H154" i="4"/>
  <c r="F153" i="3"/>
  <c r="E153" i="3"/>
  <c r="C154" i="3"/>
  <c r="H153" i="3"/>
  <c r="F154" i="2"/>
  <c r="H154" i="2"/>
  <c r="E154" i="2"/>
  <c r="C155" i="2"/>
  <c r="C154" i="18"/>
  <c r="B151" i="18"/>
  <c r="D150" i="18"/>
  <c r="G154" i="19"/>
  <c r="F154" i="19"/>
  <c r="E154" i="19"/>
  <c r="C155" i="19"/>
  <c r="H154" i="19"/>
  <c r="B151" i="19"/>
  <c r="D150" i="19"/>
  <c r="F153" i="17"/>
  <c r="E153" i="17"/>
  <c r="C154" i="17"/>
  <c r="C154" i="15" l="1"/>
  <c r="B153" i="14"/>
  <c r="D152" i="14"/>
  <c r="C155" i="14"/>
  <c r="C155" i="13"/>
  <c r="C154" i="12"/>
  <c r="D152" i="12"/>
  <c r="B153" i="12"/>
  <c r="C155" i="11"/>
  <c r="C155" i="10"/>
  <c r="C154" i="9"/>
  <c r="H154" i="8"/>
  <c r="F154" i="8"/>
  <c r="E154" i="8"/>
  <c r="C155" i="8"/>
  <c r="H153" i="7"/>
  <c r="F153" i="7"/>
  <c r="E153" i="7"/>
  <c r="C154" i="7"/>
  <c r="F153" i="6"/>
  <c r="C154" i="6"/>
  <c r="H153" i="6"/>
  <c r="E153" i="6"/>
  <c r="C155" i="5"/>
  <c r="E155" i="4"/>
  <c r="C156" i="4"/>
  <c r="H155" i="4"/>
  <c r="F155" i="4"/>
  <c r="F154" i="3"/>
  <c r="E154" i="3"/>
  <c r="C155" i="3"/>
  <c r="H154" i="3"/>
  <c r="C156" i="2"/>
  <c r="H155" i="2"/>
  <c r="F155" i="2"/>
  <c r="E155" i="2"/>
  <c r="D151" i="18"/>
  <c r="B152" i="18"/>
  <c r="C155" i="18"/>
  <c r="D151" i="19"/>
  <c r="B152" i="19"/>
  <c r="H155" i="19"/>
  <c r="G155" i="19"/>
  <c r="F155" i="19"/>
  <c r="E155" i="19"/>
  <c r="C156" i="19"/>
  <c r="F154" i="17"/>
  <c r="E154" i="17"/>
  <c r="C155" i="17"/>
  <c r="C155" i="15" l="1"/>
  <c r="C156" i="14"/>
  <c r="B154" i="14"/>
  <c r="D153" i="14"/>
  <c r="C156" i="13"/>
  <c r="C155" i="12"/>
  <c r="D153" i="12"/>
  <c r="B154" i="12"/>
  <c r="C156" i="11"/>
  <c r="C156" i="10"/>
  <c r="C155" i="9"/>
  <c r="H155" i="8"/>
  <c r="F155" i="8"/>
  <c r="E155" i="8"/>
  <c r="C156" i="8"/>
  <c r="H154" i="7"/>
  <c r="F154" i="7"/>
  <c r="E154" i="7"/>
  <c r="C155" i="7"/>
  <c r="F154" i="6"/>
  <c r="C155" i="6"/>
  <c r="H154" i="6"/>
  <c r="E154" i="6"/>
  <c r="C156" i="5"/>
  <c r="H156" i="4"/>
  <c r="F156" i="4"/>
  <c r="E156" i="4"/>
  <c r="C157" i="4"/>
  <c r="H155" i="3"/>
  <c r="F155" i="3"/>
  <c r="E155" i="3"/>
  <c r="C156" i="3"/>
  <c r="H156" i="2"/>
  <c r="E156" i="2"/>
  <c r="C157" i="2"/>
  <c r="F156" i="2"/>
  <c r="C156" i="18"/>
  <c r="D152" i="18"/>
  <c r="B153" i="18"/>
  <c r="H156" i="19"/>
  <c r="G156" i="19"/>
  <c r="F156" i="19"/>
  <c r="E156" i="19"/>
  <c r="C157" i="19"/>
  <c r="D152" i="19"/>
  <c r="B153" i="19"/>
  <c r="F155" i="17"/>
  <c r="E155" i="17"/>
  <c r="C156" i="17"/>
  <c r="C156" i="15" l="1"/>
  <c r="B155" i="14"/>
  <c r="D154" i="14"/>
  <c r="C157" i="14"/>
  <c r="C157" i="13"/>
  <c r="C156" i="12"/>
  <c r="D154" i="12"/>
  <c r="B155" i="12"/>
  <c r="C157" i="11"/>
  <c r="C157" i="10"/>
  <c r="C156" i="9"/>
  <c r="H156" i="8"/>
  <c r="F156" i="8"/>
  <c r="E156" i="8"/>
  <c r="C157" i="8"/>
  <c r="H155" i="7"/>
  <c r="F155" i="7"/>
  <c r="E155" i="7"/>
  <c r="C156" i="7"/>
  <c r="F155" i="6"/>
  <c r="C156" i="6"/>
  <c r="H155" i="6"/>
  <c r="E155" i="6"/>
  <c r="C157" i="5"/>
  <c r="F157" i="4"/>
  <c r="E157" i="4"/>
  <c r="C158" i="4"/>
  <c r="H157" i="4"/>
  <c r="H156" i="3"/>
  <c r="F156" i="3"/>
  <c r="E156" i="3"/>
  <c r="C157" i="3"/>
  <c r="F157" i="2"/>
  <c r="C158" i="2"/>
  <c r="H157" i="2"/>
  <c r="E157" i="2"/>
  <c r="D153" i="18"/>
  <c r="B154" i="18"/>
  <c r="C157" i="18"/>
  <c r="D153" i="19"/>
  <c r="B154" i="19"/>
  <c r="C158" i="19"/>
  <c r="H157" i="19"/>
  <c r="G157" i="19"/>
  <c r="F157" i="19"/>
  <c r="E157" i="19"/>
  <c r="F156" i="17"/>
  <c r="E156" i="17"/>
  <c r="C157" i="17"/>
  <c r="C157" i="15" l="1"/>
  <c r="C158" i="14"/>
  <c r="B156" i="14"/>
  <c r="D155" i="14"/>
  <c r="C158" i="13"/>
  <c r="C157" i="12"/>
  <c r="D155" i="12"/>
  <c r="B156" i="12"/>
  <c r="C158" i="11"/>
  <c r="C158" i="10"/>
  <c r="C157" i="9"/>
  <c r="H157" i="8"/>
  <c r="F157" i="8"/>
  <c r="E157" i="8"/>
  <c r="C158" i="8"/>
  <c r="H156" i="7"/>
  <c r="F156" i="7"/>
  <c r="E156" i="7"/>
  <c r="C157" i="7"/>
  <c r="F156" i="6"/>
  <c r="C157" i="6"/>
  <c r="E156" i="6"/>
  <c r="H156" i="6"/>
  <c r="C158" i="5"/>
  <c r="C159" i="4"/>
  <c r="H158" i="4"/>
  <c r="F158" i="4"/>
  <c r="E158" i="4"/>
  <c r="C158" i="3"/>
  <c r="H157" i="3"/>
  <c r="F157" i="3"/>
  <c r="E157" i="3"/>
  <c r="C159" i="2"/>
  <c r="E158" i="2"/>
  <c r="H158" i="2"/>
  <c r="F158" i="2"/>
  <c r="C158" i="18"/>
  <c r="D154" i="18"/>
  <c r="B155" i="18"/>
  <c r="C159" i="19"/>
  <c r="H158" i="19"/>
  <c r="G158" i="19"/>
  <c r="F158" i="19"/>
  <c r="E158" i="19"/>
  <c r="D154" i="19"/>
  <c r="B155" i="19"/>
  <c r="F157" i="17"/>
  <c r="E157" i="17"/>
  <c r="C158" i="17"/>
  <c r="C158" i="15" l="1"/>
  <c r="C159" i="14"/>
  <c r="B157" i="14"/>
  <c r="D156" i="14"/>
  <c r="C159" i="13"/>
  <c r="C158" i="12"/>
  <c r="D156" i="12"/>
  <c r="B157" i="12"/>
  <c r="C159" i="11"/>
  <c r="C159" i="10"/>
  <c r="C158" i="9"/>
  <c r="H158" i="8"/>
  <c r="F158" i="8"/>
  <c r="E158" i="8"/>
  <c r="C159" i="8"/>
  <c r="H157" i="7"/>
  <c r="F157" i="7"/>
  <c r="E157" i="7"/>
  <c r="C158" i="7"/>
  <c r="F157" i="6"/>
  <c r="C158" i="6"/>
  <c r="H157" i="6"/>
  <c r="E157" i="6"/>
  <c r="C159" i="5"/>
  <c r="H159" i="4"/>
  <c r="F159" i="4"/>
  <c r="C160" i="4"/>
  <c r="E159" i="4"/>
  <c r="C159" i="3"/>
  <c r="H158" i="3"/>
  <c r="F158" i="3"/>
  <c r="E158" i="3"/>
  <c r="H159" i="2"/>
  <c r="E159" i="2"/>
  <c r="C160" i="2"/>
  <c r="F159" i="2"/>
  <c r="D155" i="18"/>
  <c r="B156" i="18"/>
  <c r="C159" i="18"/>
  <c r="D155" i="19"/>
  <c r="B156" i="19"/>
  <c r="C160" i="19"/>
  <c r="H159" i="19"/>
  <c r="G159" i="19"/>
  <c r="F159" i="19"/>
  <c r="E159" i="19"/>
  <c r="F158" i="17"/>
  <c r="E158" i="17"/>
  <c r="C159" i="17"/>
  <c r="C159" i="15" l="1"/>
  <c r="C160" i="14"/>
  <c r="B158" i="14"/>
  <c r="D157" i="14"/>
  <c r="C160" i="13"/>
  <c r="C159" i="12"/>
  <c r="D157" i="12"/>
  <c r="B158" i="12"/>
  <c r="C160" i="11"/>
  <c r="C160" i="10"/>
  <c r="C159" i="9"/>
  <c r="H159" i="8"/>
  <c r="F159" i="8"/>
  <c r="E159" i="8"/>
  <c r="C160" i="8"/>
  <c r="H158" i="7"/>
  <c r="F158" i="7"/>
  <c r="E158" i="7"/>
  <c r="C159" i="7"/>
  <c r="F158" i="6"/>
  <c r="C159" i="6"/>
  <c r="E158" i="6"/>
  <c r="H158" i="6"/>
  <c r="C160" i="5"/>
  <c r="H159" i="5"/>
  <c r="F159" i="5"/>
  <c r="E159" i="5"/>
  <c r="C161" i="4"/>
  <c r="H160" i="4"/>
  <c r="F160" i="4"/>
  <c r="E160" i="4"/>
  <c r="C160" i="3"/>
  <c r="H159" i="3"/>
  <c r="F159" i="3"/>
  <c r="E159" i="3"/>
  <c r="F160" i="2"/>
  <c r="C161" i="2"/>
  <c r="H160" i="2"/>
  <c r="E160" i="2"/>
  <c r="C160" i="18"/>
  <c r="B157" i="18"/>
  <c r="D156" i="18"/>
  <c r="B157" i="19"/>
  <c r="D156" i="19"/>
  <c r="E160" i="19"/>
  <c r="C161" i="19"/>
  <c r="H160" i="19"/>
  <c r="G160" i="19"/>
  <c r="F160" i="19"/>
  <c r="F159" i="17"/>
  <c r="E159" i="17"/>
  <c r="C160" i="17"/>
  <c r="C160" i="15" l="1"/>
  <c r="C161" i="14"/>
  <c r="B159" i="14"/>
  <c r="D158" i="14"/>
  <c r="C161" i="13"/>
  <c r="C160" i="12"/>
  <c r="D158" i="12"/>
  <c r="B159" i="12"/>
  <c r="C161" i="11"/>
  <c r="C161" i="10"/>
  <c r="C160" i="9"/>
  <c r="H160" i="8"/>
  <c r="F160" i="8"/>
  <c r="E160" i="8"/>
  <c r="C161" i="8"/>
  <c r="H159" i="7"/>
  <c r="F159" i="7"/>
  <c r="E159" i="7"/>
  <c r="C160" i="7"/>
  <c r="F159" i="6"/>
  <c r="E159" i="6"/>
  <c r="C160" i="6"/>
  <c r="H159" i="6"/>
  <c r="E160" i="5"/>
  <c r="C161" i="5"/>
  <c r="H160" i="5"/>
  <c r="F160" i="5"/>
  <c r="E161" i="4"/>
  <c r="C162" i="4"/>
  <c r="F161" i="4"/>
  <c r="H161" i="4"/>
  <c r="E160" i="3"/>
  <c r="C161" i="3"/>
  <c r="H160" i="3"/>
  <c r="F160" i="3"/>
  <c r="E161" i="2"/>
  <c r="C162" i="2"/>
  <c r="H161" i="2"/>
  <c r="F161" i="2"/>
  <c r="B158" i="18"/>
  <c r="D157" i="18"/>
  <c r="C161" i="18"/>
  <c r="F161" i="19"/>
  <c r="E161" i="19"/>
  <c r="C162" i="19"/>
  <c r="H161" i="19"/>
  <c r="G161" i="19"/>
  <c r="B158" i="19"/>
  <c r="D157" i="19"/>
  <c r="F160" i="17"/>
  <c r="E160" i="17"/>
  <c r="C161" i="17"/>
  <c r="C161" i="15" l="1"/>
  <c r="B160" i="14"/>
  <c r="D159" i="14"/>
  <c r="C162" i="14"/>
  <c r="C162" i="13"/>
  <c r="C161" i="12"/>
  <c r="D159" i="12"/>
  <c r="B160" i="12"/>
  <c r="C162" i="11"/>
  <c r="C162" i="10"/>
  <c r="C161" i="9"/>
  <c r="H161" i="8"/>
  <c r="F161" i="8"/>
  <c r="E161" i="8"/>
  <c r="C162" i="8"/>
  <c r="H160" i="7"/>
  <c r="F160" i="7"/>
  <c r="E160" i="7"/>
  <c r="C161" i="7"/>
  <c r="F160" i="6"/>
  <c r="E160" i="6"/>
  <c r="C161" i="6"/>
  <c r="H160" i="6"/>
  <c r="F161" i="5"/>
  <c r="E161" i="5"/>
  <c r="C162" i="5"/>
  <c r="H161" i="5"/>
  <c r="F162" i="4"/>
  <c r="C163" i="4"/>
  <c r="H162" i="4"/>
  <c r="E162" i="4"/>
  <c r="F161" i="3"/>
  <c r="E161" i="3"/>
  <c r="C162" i="3"/>
  <c r="H161" i="3"/>
  <c r="F162" i="2"/>
  <c r="H162" i="2"/>
  <c r="C163" i="2"/>
  <c r="E162" i="2"/>
  <c r="C162" i="18"/>
  <c r="B159" i="18"/>
  <c r="D158" i="18"/>
  <c r="B159" i="19"/>
  <c r="D158" i="19"/>
  <c r="G162" i="19"/>
  <c r="F162" i="19"/>
  <c r="E162" i="19"/>
  <c r="C163" i="19"/>
  <c r="H162" i="19"/>
  <c r="F161" i="17"/>
  <c r="E161" i="17"/>
  <c r="C162" i="17"/>
  <c r="C162" i="15" l="1"/>
  <c r="C163" i="14"/>
  <c r="B161" i="14"/>
  <c r="D160" i="14"/>
  <c r="C163" i="13"/>
  <c r="C162" i="12"/>
  <c r="D160" i="12"/>
  <c r="B161" i="12"/>
  <c r="C163" i="11"/>
  <c r="C163" i="10"/>
  <c r="C162" i="9"/>
  <c r="H162" i="8"/>
  <c r="F162" i="8"/>
  <c r="E162" i="8"/>
  <c r="C163" i="8"/>
  <c r="H161" i="7"/>
  <c r="F161" i="7"/>
  <c r="E161" i="7"/>
  <c r="C162" i="7"/>
  <c r="F161" i="6"/>
  <c r="E161" i="6"/>
  <c r="C162" i="6"/>
  <c r="H161" i="6"/>
  <c r="F162" i="5"/>
  <c r="E162" i="5"/>
  <c r="C163" i="5"/>
  <c r="H162" i="5"/>
  <c r="E163" i="4"/>
  <c r="H163" i="4"/>
  <c r="F163" i="4"/>
  <c r="C164" i="4"/>
  <c r="F162" i="3"/>
  <c r="E162" i="3"/>
  <c r="C163" i="3"/>
  <c r="H162" i="3"/>
  <c r="H163" i="2"/>
  <c r="F163" i="2"/>
  <c r="E163" i="2"/>
  <c r="C164" i="2"/>
  <c r="D159" i="18"/>
  <c r="B160" i="18"/>
  <c r="C163" i="18"/>
  <c r="H163" i="19"/>
  <c r="G163" i="19"/>
  <c r="F163" i="19"/>
  <c r="E163" i="19"/>
  <c r="C164" i="19"/>
  <c r="D159" i="19"/>
  <c r="B160" i="19"/>
  <c r="F162" i="17"/>
  <c r="E162" i="17"/>
  <c r="C163" i="17"/>
  <c r="C163" i="15" l="1"/>
  <c r="B162" i="14"/>
  <c r="D161" i="14"/>
  <c r="C164" i="14"/>
  <c r="C164" i="13"/>
  <c r="C163" i="12"/>
  <c r="D161" i="12"/>
  <c r="B162" i="12"/>
  <c r="C164" i="11"/>
  <c r="C164" i="10"/>
  <c r="C163" i="9"/>
  <c r="H163" i="8"/>
  <c r="F163" i="8"/>
  <c r="E163" i="8"/>
  <c r="C164" i="8"/>
  <c r="H162" i="7"/>
  <c r="F162" i="7"/>
  <c r="E162" i="7"/>
  <c r="C163" i="7"/>
  <c r="F162" i="6"/>
  <c r="E162" i="6"/>
  <c r="C163" i="6"/>
  <c r="H162" i="6"/>
  <c r="H163" i="5"/>
  <c r="F163" i="5"/>
  <c r="E163" i="5"/>
  <c r="C164" i="5"/>
  <c r="H164" i="4"/>
  <c r="F164" i="4"/>
  <c r="E164" i="4"/>
  <c r="C165" i="4"/>
  <c r="H163" i="3"/>
  <c r="F163" i="3"/>
  <c r="E163" i="3"/>
  <c r="C164" i="3"/>
  <c r="H164" i="2"/>
  <c r="E164" i="2"/>
  <c r="C165" i="2"/>
  <c r="F164" i="2"/>
  <c r="D160" i="18"/>
  <c r="B161" i="18"/>
  <c r="C164" i="18"/>
  <c r="D160" i="19"/>
  <c r="B161" i="19"/>
  <c r="H164" i="19"/>
  <c r="G164" i="19"/>
  <c r="F164" i="19"/>
  <c r="E164" i="19"/>
  <c r="C165" i="19"/>
  <c r="F163" i="17"/>
  <c r="E163" i="17"/>
  <c r="C164" i="17"/>
  <c r="C164" i="15" l="1"/>
  <c r="C165" i="14"/>
  <c r="B163" i="14"/>
  <c r="D162" i="14"/>
  <c r="C165" i="13"/>
  <c r="C164" i="12"/>
  <c r="D162" i="12"/>
  <c r="B163" i="12"/>
  <c r="C165" i="11"/>
  <c r="C165" i="10"/>
  <c r="C164" i="9"/>
  <c r="H164" i="8"/>
  <c r="F164" i="8"/>
  <c r="E164" i="8"/>
  <c r="C165" i="8"/>
  <c r="H163" i="7"/>
  <c r="F163" i="7"/>
  <c r="E163" i="7"/>
  <c r="C164" i="7"/>
  <c r="F163" i="6"/>
  <c r="E163" i="6"/>
  <c r="C164" i="6"/>
  <c r="H163" i="6"/>
  <c r="H164" i="5"/>
  <c r="F164" i="5"/>
  <c r="E164" i="5"/>
  <c r="C165" i="5"/>
  <c r="F165" i="4"/>
  <c r="E165" i="4"/>
  <c r="C166" i="4"/>
  <c r="H165" i="4"/>
  <c r="H164" i="3"/>
  <c r="F164" i="3"/>
  <c r="E164" i="3"/>
  <c r="C165" i="3"/>
  <c r="F165" i="2"/>
  <c r="E165" i="2"/>
  <c r="C166" i="2"/>
  <c r="H165" i="2"/>
  <c r="C165" i="18"/>
  <c r="D161" i="18"/>
  <c r="B162" i="18"/>
  <c r="D161" i="19"/>
  <c r="B162" i="19"/>
  <c r="C166" i="19"/>
  <c r="H165" i="19"/>
  <c r="G165" i="19"/>
  <c r="F165" i="19"/>
  <c r="E165" i="19"/>
  <c r="F164" i="17"/>
  <c r="E164" i="17"/>
  <c r="C165" i="17"/>
  <c r="C165" i="15" l="1"/>
  <c r="C166" i="14"/>
  <c r="B164" i="14"/>
  <c r="D163" i="14"/>
  <c r="C166" i="13"/>
  <c r="C165" i="12"/>
  <c r="D163" i="12"/>
  <c r="B164" i="12"/>
  <c r="C166" i="11"/>
  <c r="C166" i="10"/>
  <c r="C165" i="9"/>
  <c r="H165" i="8"/>
  <c r="F165" i="8"/>
  <c r="E165" i="8"/>
  <c r="C166" i="8"/>
  <c r="H164" i="7"/>
  <c r="F164" i="7"/>
  <c r="E164" i="7"/>
  <c r="C165" i="7"/>
  <c r="F164" i="6"/>
  <c r="E164" i="6"/>
  <c r="C165" i="6"/>
  <c r="H164" i="6"/>
  <c r="C166" i="5"/>
  <c r="H165" i="5"/>
  <c r="F165" i="5"/>
  <c r="E165" i="5"/>
  <c r="C167" i="4"/>
  <c r="H166" i="4"/>
  <c r="F166" i="4"/>
  <c r="E166" i="4"/>
  <c r="C166" i="3"/>
  <c r="H165" i="3"/>
  <c r="F165" i="3"/>
  <c r="E165" i="3"/>
  <c r="C167" i="2"/>
  <c r="H166" i="2"/>
  <c r="E166" i="2"/>
  <c r="F166" i="2"/>
  <c r="D162" i="18"/>
  <c r="B163" i="18"/>
  <c r="C166" i="18"/>
  <c r="H165" i="18"/>
  <c r="E165" i="18"/>
  <c r="D162" i="19"/>
  <c r="B163" i="19"/>
  <c r="C167" i="19"/>
  <c r="H166" i="19"/>
  <c r="G166" i="19"/>
  <c r="F166" i="19"/>
  <c r="E166" i="19"/>
  <c r="F165" i="17"/>
  <c r="E165" i="17"/>
  <c r="C166" i="17"/>
  <c r="C166" i="15" l="1"/>
  <c r="B165" i="14"/>
  <c r="D164" i="14"/>
  <c r="C167" i="14"/>
  <c r="C167" i="13"/>
  <c r="C166" i="12"/>
  <c r="D164" i="12"/>
  <c r="B165" i="12"/>
  <c r="C167" i="11"/>
  <c r="C167" i="10"/>
  <c r="C166" i="9"/>
  <c r="H166" i="8"/>
  <c r="F166" i="8"/>
  <c r="E166" i="8"/>
  <c r="C167" i="8"/>
  <c r="H165" i="7"/>
  <c r="F165" i="7"/>
  <c r="E165" i="7"/>
  <c r="C166" i="7"/>
  <c r="F165" i="6"/>
  <c r="E165" i="6"/>
  <c r="C166" i="6"/>
  <c r="H165" i="6"/>
  <c r="C167" i="5"/>
  <c r="H166" i="5"/>
  <c r="F166" i="5"/>
  <c r="E166" i="5"/>
  <c r="H167" i="4"/>
  <c r="C168" i="4"/>
  <c r="F167" i="4"/>
  <c r="E167" i="4"/>
  <c r="C167" i="3"/>
  <c r="H166" i="3"/>
  <c r="F166" i="3"/>
  <c r="E166" i="3"/>
  <c r="H167" i="2"/>
  <c r="E167" i="2"/>
  <c r="F167" i="2"/>
  <c r="C168" i="2"/>
  <c r="C167" i="18"/>
  <c r="H166" i="18"/>
  <c r="E166" i="18"/>
  <c r="D163" i="18"/>
  <c r="B164" i="18"/>
  <c r="C168" i="19"/>
  <c r="H167" i="19"/>
  <c r="G167" i="19"/>
  <c r="F167" i="19"/>
  <c r="E167" i="19"/>
  <c r="D163" i="19"/>
  <c r="B164" i="19"/>
  <c r="F166" i="17"/>
  <c r="E166" i="17"/>
  <c r="C167" i="17"/>
  <c r="C167" i="15" l="1"/>
  <c r="C168" i="14"/>
  <c r="B166" i="14"/>
  <c r="D165" i="14"/>
  <c r="C168" i="13"/>
  <c r="C167" i="12"/>
  <c r="D165" i="12"/>
  <c r="B166" i="12"/>
  <c r="C168" i="11"/>
  <c r="C168" i="10"/>
  <c r="H166" i="9"/>
  <c r="F166" i="9"/>
  <c r="C167" i="9"/>
  <c r="E166" i="9"/>
  <c r="H167" i="8"/>
  <c r="F167" i="8"/>
  <c r="E167" i="8"/>
  <c r="C168" i="8"/>
  <c r="H166" i="7"/>
  <c r="F166" i="7"/>
  <c r="E166" i="7"/>
  <c r="C167" i="7"/>
  <c r="F166" i="6"/>
  <c r="E166" i="6"/>
  <c r="C167" i="6"/>
  <c r="H166" i="6"/>
  <c r="C168" i="5"/>
  <c r="H167" i="5"/>
  <c r="F167" i="5"/>
  <c r="E167" i="5"/>
  <c r="C169" i="4"/>
  <c r="H168" i="4"/>
  <c r="E168" i="4"/>
  <c r="F168" i="4"/>
  <c r="C168" i="3"/>
  <c r="H167" i="3"/>
  <c r="F167" i="3"/>
  <c r="E167" i="3"/>
  <c r="F168" i="2"/>
  <c r="C169" i="2"/>
  <c r="H168" i="2"/>
  <c r="E168" i="2"/>
  <c r="B165" i="18"/>
  <c r="D164" i="18"/>
  <c r="C168" i="18"/>
  <c r="H167" i="18"/>
  <c r="E167" i="18"/>
  <c r="B165" i="19"/>
  <c r="D164" i="19"/>
  <c r="E168" i="19"/>
  <c r="C169" i="19"/>
  <c r="H168" i="19"/>
  <c r="G168" i="19"/>
  <c r="F168" i="19"/>
  <c r="F167" i="17"/>
  <c r="E167" i="17"/>
  <c r="C168" i="17"/>
  <c r="C168" i="15" l="1"/>
  <c r="C169" i="14"/>
  <c r="B167" i="14"/>
  <c r="D166" i="14"/>
  <c r="C169" i="13"/>
  <c r="C168" i="12"/>
  <c r="D166" i="12"/>
  <c r="B167" i="12"/>
  <c r="C169" i="11"/>
  <c r="C169" i="10"/>
  <c r="H167" i="9"/>
  <c r="F167" i="9"/>
  <c r="C168" i="9"/>
  <c r="E167" i="9"/>
  <c r="H168" i="8"/>
  <c r="F168" i="8"/>
  <c r="E168" i="8"/>
  <c r="C169" i="8"/>
  <c r="H167" i="7"/>
  <c r="F167" i="7"/>
  <c r="E167" i="7"/>
  <c r="C168" i="7"/>
  <c r="F167" i="6"/>
  <c r="E167" i="6"/>
  <c r="C168" i="6"/>
  <c r="H167" i="6"/>
  <c r="E168" i="5"/>
  <c r="C169" i="5"/>
  <c r="H168" i="5"/>
  <c r="F168" i="5"/>
  <c r="E169" i="4"/>
  <c r="C170" i="4"/>
  <c r="H169" i="4"/>
  <c r="F169" i="4"/>
  <c r="E168" i="3"/>
  <c r="C169" i="3"/>
  <c r="H168" i="3"/>
  <c r="F168" i="3"/>
  <c r="E169" i="2"/>
  <c r="C170" i="2"/>
  <c r="H169" i="2"/>
  <c r="F169" i="2"/>
  <c r="E168" i="18"/>
  <c r="C169" i="18"/>
  <c r="H168" i="18"/>
  <c r="B166" i="18"/>
  <c r="D165" i="18"/>
  <c r="F169" i="19"/>
  <c r="E169" i="19"/>
  <c r="C170" i="19"/>
  <c r="H169" i="19"/>
  <c r="G169" i="19"/>
  <c r="B166" i="19"/>
  <c r="D165" i="19"/>
  <c r="F168" i="17"/>
  <c r="E168" i="17"/>
  <c r="C169" i="17"/>
  <c r="C169" i="15" l="1"/>
  <c r="B168" i="14"/>
  <c r="D167" i="14"/>
  <c r="C170" i="14"/>
  <c r="C170" i="13"/>
  <c r="C169" i="12"/>
  <c r="D167" i="12"/>
  <c r="B168" i="12"/>
  <c r="C170" i="11"/>
  <c r="C170" i="10"/>
  <c r="H168" i="9"/>
  <c r="F168" i="9"/>
  <c r="C169" i="9"/>
  <c r="E168" i="9"/>
  <c r="H169" i="8"/>
  <c r="F169" i="8"/>
  <c r="E169" i="8"/>
  <c r="C170" i="8"/>
  <c r="H168" i="7"/>
  <c r="F168" i="7"/>
  <c r="E168" i="7"/>
  <c r="C169" i="7"/>
  <c r="F168" i="6"/>
  <c r="E168" i="6"/>
  <c r="C169" i="6"/>
  <c r="H168" i="6"/>
  <c r="F169" i="5"/>
  <c r="E169" i="5"/>
  <c r="C170" i="5"/>
  <c r="H169" i="5"/>
  <c r="F170" i="4"/>
  <c r="C171" i="4"/>
  <c r="E170" i="4"/>
  <c r="H170" i="4"/>
  <c r="F169" i="3"/>
  <c r="E169" i="3"/>
  <c r="C170" i="3"/>
  <c r="H169" i="3"/>
  <c r="F170" i="2"/>
  <c r="H170" i="2"/>
  <c r="C171" i="2"/>
  <c r="E170" i="2"/>
  <c r="B167" i="18"/>
  <c r="D166" i="18"/>
  <c r="E169" i="18"/>
  <c r="C170" i="18"/>
  <c r="H169" i="18"/>
  <c r="G170" i="19"/>
  <c r="F170" i="19"/>
  <c r="E170" i="19"/>
  <c r="C171" i="19"/>
  <c r="H170" i="19"/>
  <c r="B167" i="19"/>
  <c r="D166" i="19"/>
  <c r="F169" i="17"/>
  <c r="E169" i="17"/>
  <c r="C170" i="17"/>
  <c r="C170" i="15" l="1"/>
  <c r="C171" i="14"/>
  <c r="B169" i="14"/>
  <c r="D168" i="14"/>
  <c r="C171" i="13"/>
  <c r="C170" i="12"/>
  <c r="D168" i="12"/>
  <c r="B169" i="12"/>
  <c r="C171" i="11"/>
  <c r="C171" i="10"/>
  <c r="H169" i="9"/>
  <c r="F169" i="9"/>
  <c r="C170" i="9"/>
  <c r="E169" i="9"/>
  <c r="H170" i="8"/>
  <c r="F170" i="8"/>
  <c r="E170" i="8"/>
  <c r="C171" i="8"/>
  <c r="H169" i="7"/>
  <c r="F169" i="7"/>
  <c r="E169" i="7"/>
  <c r="C170" i="7"/>
  <c r="F169" i="6"/>
  <c r="E169" i="6"/>
  <c r="C170" i="6"/>
  <c r="H169" i="6"/>
  <c r="F170" i="5"/>
  <c r="E170" i="5"/>
  <c r="C171" i="5"/>
  <c r="H170" i="5"/>
  <c r="E171" i="4"/>
  <c r="C172" i="4"/>
  <c r="H171" i="4"/>
  <c r="F171" i="4"/>
  <c r="F170" i="3"/>
  <c r="E170" i="3"/>
  <c r="C171" i="3"/>
  <c r="H170" i="3"/>
  <c r="F171" i="2"/>
  <c r="E171" i="2"/>
  <c r="C172" i="2"/>
  <c r="H171" i="2"/>
  <c r="E170" i="18"/>
  <c r="C171" i="18"/>
  <c r="H170" i="18"/>
  <c r="D167" i="18"/>
  <c r="B168" i="18"/>
  <c r="H171" i="19"/>
  <c r="G171" i="19"/>
  <c r="F171" i="19"/>
  <c r="E171" i="19"/>
  <c r="C172" i="19"/>
  <c r="D167" i="19"/>
  <c r="B168" i="19"/>
  <c r="F170" i="17"/>
  <c r="E170" i="17"/>
  <c r="C171" i="17"/>
  <c r="C171" i="15" l="1"/>
  <c r="B170" i="14"/>
  <c r="D169" i="14"/>
  <c r="C172" i="14"/>
  <c r="C172" i="13"/>
  <c r="C171" i="12"/>
  <c r="D169" i="12"/>
  <c r="B170" i="12"/>
  <c r="C172" i="11"/>
  <c r="C172" i="10"/>
  <c r="H170" i="9"/>
  <c r="F170" i="9"/>
  <c r="C171" i="9"/>
  <c r="E170" i="9"/>
  <c r="H171" i="8"/>
  <c r="F171" i="8"/>
  <c r="E171" i="8"/>
  <c r="C172" i="8"/>
  <c r="H170" i="7"/>
  <c r="F170" i="7"/>
  <c r="E170" i="7"/>
  <c r="C171" i="7"/>
  <c r="F170" i="6"/>
  <c r="E170" i="6"/>
  <c r="C171" i="6"/>
  <c r="H170" i="6"/>
  <c r="H171" i="5"/>
  <c r="F171" i="5"/>
  <c r="E171" i="5"/>
  <c r="C172" i="5"/>
  <c r="H172" i="4"/>
  <c r="F172" i="4"/>
  <c r="E172" i="4"/>
  <c r="C173" i="4"/>
  <c r="H171" i="3"/>
  <c r="F171" i="3"/>
  <c r="E171" i="3"/>
  <c r="C172" i="3"/>
  <c r="H172" i="2"/>
  <c r="E172" i="2"/>
  <c r="C173" i="2"/>
  <c r="F172" i="2"/>
  <c r="D168" i="18"/>
  <c r="B169" i="18"/>
  <c r="H171" i="18"/>
  <c r="E171" i="18"/>
  <c r="C172" i="18"/>
  <c r="D168" i="19"/>
  <c r="B169" i="19"/>
  <c r="H172" i="19"/>
  <c r="G172" i="19"/>
  <c r="F172" i="19"/>
  <c r="E172" i="19"/>
  <c r="C173" i="19"/>
  <c r="F171" i="17"/>
  <c r="E171" i="17"/>
  <c r="C172" i="17"/>
  <c r="C172" i="15" l="1"/>
  <c r="C173" i="14"/>
  <c r="B171" i="14"/>
  <c r="D170" i="14"/>
  <c r="C173" i="13"/>
  <c r="C172" i="12"/>
  <c r="D170" i="12"/>
  <c r="B171" i="12"/>
  <c r="C173" i="11"/>
  <c r="C173" i="10"/>
  <c r="H171" i="9"/>
  <c r="F171" i="9"/>
  <c r="C172" i="9"/>
  <c r="E171" i="9"/>
  <c r="H172" i="8"/>
  <c r="F172" i="8"/>
  <c r="E172" i="8"/>
  <c r="C173" i="8"/>
  <c r="H171" i="7"/>
  <c r="F171" i="7"/>
  <c r="E171" i="7"/>
  <c r="C172" i="7"/>
  <c r="F171" i="6"/>
  <c r="E171" i="6"/>
  <c r="C172" i="6"/>
  <c r="H171" i="6"/>
  <c r="H172" i="5"/>
  <c r="F172" i="5"/>
  <c r="E172" i="5"/>
  <c r="C173" i="5"/>
  <c r="F173" i="4"/>
  <c r="E173" i="4"/>
  <c r="C174" i="4"/>
  <c r="H173" i="4"/>
  <c r="H172" i="3"/>
  <c r="F172" i="3"/>
  <c r="E172" i="3"/>
  <c r="C173" i="3"/>
  <c r="F173" i="2"/>
  <c r="C174" i="2"/>
  <c r="E173" i="2"/>
  <c r="H173" i="2"/>
  <c r="H172" i="18"/>
  <c r="E172" i="18"/>
  <c r="C173" i="18"/>
  <c r="D169" i="18"/>
  <c r="B170" i="18"/>
  <c r="C174" i="19"/>
  <c r="H173" i="19"/>
  <c r="G173" i="19"/>
  <c r="F173" i="19"/>
  <c r="E173" i="19"/>
  <c r="D169" i="19"/>
  <c r="B170" i="19"/>
  <c r="F172" i="17"/>
  <c r="E172" i="17"/>
  <c r="C173" i="17"/>
  <c r="C173" i="15" l="1"/>
  <c r="C174" i="14"/>
  <c r="B172" i="14"/>
  <c r="D171" i="14"/>
  <c r="C174" i="13"/>
  <c r="C173" i="12"/>
  <c r="D171" i="12"/>
  <c r="B172" i="12"/>
  <c r="C174" i="11"/>
  <c r="C174" i="10"/>
  <c r="H172" i="9"/>
  <c r="F172" i="9"/>
  <c r="C173" i="9"/>
  <c r="E172" i="9"/>
  <c r="H173" i="8"/>
  <c r="F173" i="8"/>
  <c r="E173" i="8"/>
  <c r="C174" i="8"/>
  <c r="H172" i="7"/>
  <c r="F172" i="7"/>
  <c r="E172" i="7"/>
  <c r="C173" i="7"/>
  <c r="F172" i="6"/>
  <c r="E172" i="6"/>
  <c r="C173" i="6"/>
  <c r="H172" i="6"/>
  <c r="C174" i="5"/>
  <c r="H173" i="5"/>
  <c r="F173" i="5"/>
  <c r="E173" i="5"/>
  <c r="C175" i="4"/>
  <c r="H174" i="4"/>
  <c r="F174" i="4"/>
  <c r="E174" i="4"/>
  <c r="C174" i="3"/>
  <c r="H173" i="3"/>
  <c r="F173" i="3"/>
  <c r="E173" i="3"/>
  <c r="C175" i="2"/>
  <c r="H174" i="2"/>
  <c r="F174" i="2"/>
  <c r="E174" i="2"/>
  <c r="D170" i="18"/>
  <c r="B171" i="18"/>
  <c r="C174" i="18"/>
  <c r="H173" i="18"/>
  <c r="E173" i="18"/>
  <c r="D170" i="19"/>
  <c r="B171" i="19"/>
  <c r="C175" i="19"/>
  <c r="H174" i="19"/>
  <c r="G174" i="19"/>
  <c r="F174" i="19"/>
  <c r="E174" i="19"/>
  <c r="F173" i="17"/>
  <c r="E173" i="17"/>
  <c r="C174" i="17"/>
  <c r="C174" i="15" l="1"/>
  <c r="B173" i="14"/>
  <c r="D172" i="14"/>
  <c r="C175" i="14"/>
  <c r="C175" i="13"/>
  <c r="C174" i="12"/>
  <c r="D172" i="12"/>
  <c r="B173" i="12"/>
  <c r="C175" i="11"/>
  <c r="C175" i="10"/>
  <c r="H173" i="9"/>
  <c r="F173" i="9"/>
  <c r="C174" i="9"/>
  <c r="E173" i="9"/>
  <c r="H174" i="8"/>
  <c r="F174" i="8"/>
  <c r="E174" i="8"/>
  <c r="C175" i="8"/>
  <c r="H173" i="7"/>
  <c r="F173" i="7"/>
  <c r="E173" i="7"/>
  <c r="C174" i="7"/>
  <c r="F173" i="6"/>
  <c r="E173" i="6"/>
  <c r="C174" i="6"/>
  <c r="H173" i="6"/>
  <c r="C175" i="5"/>
  <c r="H174" i="5"/>
  <c r="F174" i="5"/>
  <c r="E174" i="5"/>
  <c r="H175" i="4"/>
  <c r="F175" i="4"/>
  <c r="C176" i="4"/>
  <c r="E175" i="4"/>
  <c r="C175" i="3"/>
  <c r="H174" i="3"/>
  <c r="F174" i="3"/>
  <c r="E174" i="3"/>
  <c r="H175" i="2"/>
  <c r="E175" i="2"/>
  <c r="C176" i="2"/>
  <c r="F175" i="2"/>
  <c r="C175" i="18"/>
  <c r="H174" i="18"/>
  <c r="E174" i="18"/>
  <c r="D171" i="18"/>
  <c r="B172" i="18"/>
  <c r="C176" i="19"/>
  <c r="H175" i="19"/>
  <c r="G175" i="19"/>
  <c r="F175" i="19"/>
  <c r="E175" i="19"/>
  <c r="D171" i="19"/>
  <c r="B172" i="19"/>
  <c r="F174" i="17"/>
  <c r="E174" i="17"/>
  <c r="C175" i="17"/>
  <c r="C175" i="15" l="1"/>
  <c r="C176" i="14"/>
  <c r="B174" i="14"/>
  <c r="D173" i="14"/>
  <c r="C176" i="13"/>
  <c r="C175" i="12"/>
  <c r="D173" i="12"/>
  <c r="B174" i="12"/>
  <c r="C176" i="11"/>
  <c r="C176" i="10"/>
  <c r="H174" i="9"/>
  <c r="F174" i="9"/>
  <c r="C175" i="9"/>
  <c r="E174" i="9"/>
  <c r="H175" i="8"/>
  <c r="F175" i="8"/>
  <c r="E175" i="8"/>
  <c r="C176" i="8"/>
  <c r="H174" i="7"/>
  <c r="F174" i="7"/>
  <c r="E174" i="7"/>
  <c r="C175" i="7"/>
  <c r="F174" i="6"/>
  <c r="E174" i="6"/>
  <c r="C175" i="6"/>
  <c r="H174" i="6"/>
  <c r="C176" i="5"/>
  <c r="H175" i="5"/>
  <c r="F175" i="5"/>
  <c r="E175" i="5"/>
  <c r="C177" i="4"/>
  <c r="H176" i="4"/>
  <c r="F176" i="4"/>
  <c r="E176" i="4"/>
  <c r="C176" i="3"/>
  <c r="H175" i="3"/>
  <c r="F175" i="3"/>
  <c r="E175" i="3"/>
  <c r="F176" i="2"/>
  <c r="E176" i="2"/>
  <c r="C177" i="2"/>
  <c r="H176" i="2"/>
  <c r="B173" i="18"/>
  <c r="D172" i="18"/>
  <c r="C176" i="18"/>
  <c r="H175" i="18"/>
  <c r="E175" i="18"/>
  <c r="B173" i="19"/>
  <c r="D172" i="19"/>
  <c r="E176" i="19"/>
  <c r="C177" i="19"/>
  <c r="H176" i="19"/>
  <c r="G176" i="19"/>
  <c r="F176" i="19"/>
  <c r="F175" i="17"/>
  <c r="E175" i="17"/>
  <c r="C176" i="17"/>
  <c r="C176" i="15" l="1"/>
  <c r="B175" i="14"/>
  <c r="D174" i="14"/>
  <c r="C177" i="14"/>
  <c r="C177" i="13"/>
  <c r="C176" i="12"/>
  <c r="D174" i="12"/>
  <c r="B175" i="12"/>
  <c r="C177" i="11"/>
  <c r="C177" i="10"/>
  <c r="H175" i="9"/>
  <c r="F175" i="9"/>
  <c r="C176" i="9"/>
  <c r="E175" i="9"/>
  <c r="H176" i="8"/>
  <c r="F176" i="8"/>
  <c r="E176" i="8"/>
  <c r="C177" i="8"/>
  <c r="H175" i="7"/>
  <c r="F175" i="7"/>
  <c r="E175" i="7"/>
  <c r="C176" i="7"/>
  <c r="F175" i="6"/>
  <c r="E175" i="6"/>
  <c r="C176" i="6"/>
  <c r="H175" i="6"/>
  <c r="E176" i="5"/>
  <c r="C177" i="5"/>
  <c r="H176" i="5"/>
  <c r="F176" i="5"/>
  <c r="E177" i="4"/>
  <c r="C178" i="4"/>
  <c r="F177" i="4"/>
  <c r="H177" i="4"/>
  <c r="E176" i="3"/>
  <c r="C177" i="3"/>
  <c r="H176" i="3"/>
  <c r="F176" i="3"/>
  <c r="E177" i="2"/>
  <c r="C178" i="2"/>
  <c r="H177" i="2"/>
  <c r="F177" i="2"/>
  <c r="E176" i="18"/>
  <c r="C177" i="18"/>
  <c r="H176" i="18"/>
  <c r="B174" i="18"/>
  <c r="D173" i="18"/>
  <c r="F177" i="19"/>
  <c r="E177" i="19"/>
  <c r="C178" i="19"/>
  <c r="H177" i="19"/>
  <c r="G177" i="19"/>
  <c r="B174" i="19"/>
  <c r="D173" i="19"/>
  <c r="F176" i="17"/>
  <c r="E176" i="17"/>
  <c r="C177" i="17"/>
  <c r="C177" i="15" l="1"/>
  <c r="C178" i="14"/>
  <c r="B176" i="14"/>
  <c r="D175" i="14"/>
  <c r="C178" i="13"/>
  <c r="C177" i="12"/>
  <c r="D175" i="12"/>
  <c r="B176" i="12"/>
  <c r="C178" i="11"/>
  <c r="C178" i="10"/>
  <c r="H176" i="9"/>
  <c r="F176" i="9"/>
  <c r="C177" i="9"/>
  <c r="E176" i="9"/>
  <c r="H177" i="8"/>
  <c r="F177" i="8"/>
  <c r="E177" i="8"/>
  <c r="C178" i="8"/>
  <c r="H176" i="7"/>
  <c r="F176" i="7"/>
  <c r="E176" i="7"/>
  <c r="C177" i="7"/>
  <c r="F176" i="6"/>
  <c r="E176" i="6"/>
  <c r="C177" i="6"/>
  <c r="H176" i="6"/>
  <c r="F177" i="5"/>
  <c r="E177" i="5"/>
  <c r="C178" i="5"/>
  <c r="H177" i="5"/>
  <c r="F178" i="4"/>
  <c r="C179" i="4"/>
  <c r="H178" i="4"/>
  <c r="E178" i="4"/>
  <c r="F177" i="3"/>
  <c r="E177" i="3"/>
  <c r="C178" i="3"/>
  <c r="H177" i="3"/>
  <c r="F178" i="2"/>
  <c r="H178" i="2"/>
  <c r="E178" i="2"/>
  <c r="C179" i="2"/>
  <c r="B175" i="18"/>
  <c r="D174" i="18"/>
  <c r="E177" i="18"/>
  <c r="C178" i="18"/>
  <c r="H177" i="18"/>
  <c r="B175" i="19"/>
  <c r="D174" i="19"/>
  <c r="G178" i="19"/>
  <c r="F178" i="19"/>
  <c r="E178" i="19"/>
  <c r="C179" i="19"/>
  <c r="H178" i="19"/>
  <c r="F177" i="17"/>
  <c r="E177" i="17"/>
  <c r="C178" i="17"/>
  <c r="C178" i="15" l="1"/>
  <c r="C179" i="14"/>
  <c r="B177" i="14"/>
  <c r="D176" i="14"/>
  <c r="C179" i="13"/>
  <c r="C178" i="12"/>
  <c r="D176" i="12"/>
  <c r="B177" i="12"/>
  <c r="C179" i="11"/>
  <c r="C179" i="10"/>
  <c r="H177" i="9"/>
  <c r="F177" i="9"/>
  <c r="C178" i="9"/>
  <c r="E177" i="9"/>
  <c r="H178" i="8"/>
  <c r="F178" i="8"/>
  <c r="E178" i="8"/>
  <c r="C179" i="8"/>
  <c r="H177" i="7"/>
  <c r="F177" i="7"/>
  <c r="E177" i="7"/>
  <c r="C178" i="7"/>
  <c r="F177" i="6"/>
  <c r="E177" i="6"/>
  <c r="C178" i="6"/>
  <c r="H177" i="6"/>
  <c r="F178" i="5"/>
  <c r="E178" i="5"/>
  <c r="C179" i="5"/>
  <c r="H178" i="5"/>
  <c r="E179" i="4"/>
  <c r="H179" i="4"/>
  <c r="F179" i="4"/>
  <c r="C180" i="4"/>
  <c r="F178" i="3"/>
  <c r="E178" i="3"/>
  <c r="C179" i="3"/>
  <c r="H178" i="3"/>
  <c r="C180" i="2"/>
  <c r="H179" i="2"/>
  <c r="F179" i="2"/>
  <c r="E179" i="2"/>
  <c r="E178" i="18"/>
  <c r="C179" i="18"/>
  <c r="H178" i="18"/>
  <c r="D175" i="18"/>
  <c r="B176" i="18"/>
  <c r="H179" i="19"/>
  <c r="G179" i="19"/>
  <c r="F179" i="19"/>
  <c r="E179" i="19"/>
  <c r="C180" i="19"/>
  <c r="D175" i="19"/>
  <c r="B176" i="19"/>
  <c r="F178" i="17"/>
  <c r="E178" i="17"/>
  <c r="C179" i="17"/>
  <c r="C179" i="15" l="1"/>
  <c r="B178" i="14"/>
  <c r="D177" i="14"/>
  <c r="C180" i="14"/>
  <c r="C180" i="13"/>
  <c r="C179" i="12"/>
  <c r="D177" i="12"/>
  <c r="B178" i="12"/>
  <c r="C180" i="11"/>
  <c r="C180" i="10"/>
  <c r="H178" i="9"/>
  <c r="F178" i="9"/>
  <c r="C179" i="9"/>
  <c r="E178" i="9"/>
  <c r="H179" i="8"/>
  <c r="F179" i="8"/>
  <c r="E179" i="8"/>
  <c r="C180" i="8"/>
  <c r="H178" i="7"/>
  <c r="F178" i="7"/>
  <c r="E178" i="7"/>
  <c r="C179" i="7"/>
  <c r="F178" i="6"/>
  <c r="E178" i="6"/>
  <c r="C179" i="6"/>
  <c r="H178" i="6"/>
  <c r="H179" i="5"/>
  <c r="F179" i="5"/>
  <c r="E179" i="5"/>
  <c r="C180" i="5"/>
  <c r="H180" i="4"/>
  <c r="F180" i="4"/>
  <c r="E180" i="4"/>
  <c r="C181" i="4"/>
  <c r="H179" i="3"/>
  <c r="F179" i="3"/>
  <c r="E179" i="3"/>
  <c r="C180" i="3"/>
  <c r="H180" i="2"/>
  <c r="E180" i="2"/>
  <c r="C181" i="2"/>
  <c r="F180" i="2"/>
  <c r="D176" i="18"/>
  <c r="B177" i="18"/>
  <c r="H179" i="18"/>
  <c r="E179" i="18"/>
  <c r="C180" i="18"/>
  <c r="D176" i="19"/>
  <c r="B177" i="19"/>
  <c r="H180" i="19"/>
  <c r="G180" i="19"/>
  <c r="F180" i="19"/>
  <c r="E180" i="19"/>
  <c r="C181" i="19"/>
  <c r="F179" i="17"/>
  <c r="E179" i="17"/>
  <c r="C180" i="17"/>
  <c r="C180" i="15" l="1"/>
  <c r="C181" i="14"/>
  <c r="B179" i="14"/>
  <c r="D178" i="14"/>
  <c r="C181" i="13"/>
  <c r="C180" i="12"/>
  <c r="D178" i="12"/>
  <c r="B179" i="12"/>
  <c r="C181" i="11"/>
  <c r="H180" i="10"/>
  <c r="F180" i="10"/>
  <c r="E180" i="10"/>
  <c r="C181" i="10"/>
  <c r="H179" i="9"/>
  <c r="F179" i="9"/>
  <c r="C180" i="9"/>
  <c r="E179" i="9"/>
  <c r="H180" i="8"/>
  <c r="F180" i="8"/>
  <c r="E180" i="8"/>
  <c r="C181" i="8"/>
  <c r="H179" i="7"/>
  <c r="F179" i="7"/>
  <c r="E179" i="7"/>
  <c r="C180" i="7"/>
  <c r="F179" i="6"/>
  <c r="E179" i="6"/>
  <c r="C180" i="6"/>
  <c r="H179" i="6"/>
  <c r="H180" i="5"/>
  <c r="F180" i="5"/>
  <c r="E180" i="5"/>
  <c r="C181" i="5"/>
  <c r="F181" i="4"/>
  <c r="E181" i="4"/>
  <c r="C182" i="4"/>
  <c r="H181" i="4"/>
  <c r="H180" i="3"/>
  <c r="F180" i="3"/>
  <c r="E180" i="3"/>
  <c r="C181" i="3"/>
  <c r="F181" i="2"/>
  <c r="C182" i="2"/>
  <c r="H181" i="2"/>
  <c r="E181" i="2"/>
  <c r="H180" i="18"/>
  <c r="E180" i="18"/>
  <c r="C181" i="18"/>
  <c r="D177" i="18"/>
  <c r="B178" i="18"/>
  <c r="C182" i="19"/>
  <c r="H181" i="19"/>
  <c r="G181" i="19"/>
  <c r="F181" i="19"/>
  <c r="E181" i="19"/>
  <c r="D177" i="19"/>
  <c r="B178" i="19"/>
  <c r="F180" i="17"/>
  <c r="E180" i="17"/>
  <c r="C181" i="17"/>
  <c r="C181" i="15" l="1"/>
  <c r="B180" i="14"/>
  <c r="D179" i="14"/>
  <c r="C182" i="14"/>
  <c r="C182" i="13"/>
  <c r="C181" i="12"/>
  <c r="D179" i="12"/>
  <c r="B180" i="12"/>
  <c r="C182" i="11"/>
  <c r="H181" i="10"/>
  <c r="F181" i="10"/>
  <c r="E181" i="10"/>
  <c r="C182" i="10"/>
  <c r="H180" i="9"/>
  <c r="F180" i="9"/>
  <c r="C181" i="9"/>
  <c r="E180" i="9"/>
  <c r="H181" i="8"/>
  <c r="F181" i="8"/>
  <c r="E181" i="8"/>
  <c r="C182" i="8"/>
  <c r="H180" i="7"/>
  <c r="F180" i="7"/>
  <c r="E180" i="7"/>
  <c r="C181" i="7"/>
  <c r="F180" i="6"/>
  <c r="E180" i="6"/>
  <c r="C181" i="6"/>
  <c r="H180" i="6"/>
  <c r="C182" i="5"/>
  <c r="H181" i="5"/>
  <c r="F181" i="5"/>
  <c r="E181" i="5"/>
  <c r="C183" i="4"/>
  <c r="H182" i="4"/>
  <c r="F182" i="4"/>
  <c r="E182" i="4"/>
  <c r="C182" i="3"/>
  <c r="H181" i="3"/>
  <c r="F181" i="3"/>
  <c r="E181" i="3"/>
  <c r="C183" i="2"/>
  <c r="F182" i="2"/>
  <c r="H182" i="2"/>
  <c r="E182" i="2"/>
  <c r="D178" i="18"/>
  <c r="B179" i="18"/>
  <c r="C182" i="18"/>
  <c r="H181" i="18"/>
  <c r="E181" i="18"/>
  <c r="D178" i="19"/>
  <c r="B179" i="19"/>
  <c r="C183" i="19"/>
  <c r="H182" i="19"/>
  <c r="G182" i="19"/>
  <c r="F182" i="19"/>
  <c r="E182" i="19"/>
  <c r="F181" i="17"/>
  <c r="E181" i="17"/>
  <c r="C182" i="17"/>
  <c r="C182" i="15" l="1"/>
  <c r="C183" i="14"/>
  <c r="B181" i="14"/>
  <c r="D180" i="14"/>
  <c r="C183" i="13"/>
  <c r="C182" i="12"/>
  <c r="D180" i="12"/>
  <c r="B181" i="12"/>
  <c r="C183" i="11"/>
  <c r="H182" i="10"/>
  <c r="F182" i="10"/>
  <c r="E182" i="10"/>
  <c r="C183" i="10"/>
  <c r="H181" i="9"/>
  <c r="F181" i="9"/>
  <c r="C182" i="9"/>
  <c r="E181" i="9"/>
  <c r="H182" i="8"/>
  <c r="F182" i="8"/>
  <c r="E182" i="8"/>
  <c r="C183" i="8"/>
  <c r="H181" i="7"/>
  <c r="F181" i="7"/>
  <c r="E181" i="7"/>
  <c r="C182" i="7"/>
  <c r="F181" i="6"/>
  <c r="E181" i="6"/>
  <c r="C182" i="6"/>
  <c r="H181" i="6"/>
  <c r="C183" i="5"/>
  <c r="H182" i="5"/>
  <c r="F182" i="5"/>
  <c r="E182" i="5"/>
  <c r="H183" i="4"/>
  <c r="C184" i="4"/>
  <c r="F183" i="4"/>
  <c r="E183" i="4"/>
  <c r="C183" i="3"/>
  <c r="H182" i="3"/>
  <c r="F182" i="3"/>
  <c r="E182" i="3"/>
  <c r="H183" i="2"/>
  <c r="E183" i="2"/>
  <c r="F183" i="2"/>
  <c r="C184" i="2"/>
  <c r="C183" i="18"/>
  <c r="H182" i="18"/>
  <c r="E182" i="18"/>
  <c r="D179" i="18"/>
  <c r="B180" i="18"/>
  <c r="D179" i="19"/>
  <c r="B180" i="19"/>
  <c r="C184" i="19"/>
  <c r="H183" i="19"/>
  <c r="G183" i="19"/>
  <c r="F183" i="19"/>
  <c r="E183" i="19"/>
  <c r="F182" i="17"/>
  <c r="E182" i="17"/>
  <c r="C183" i="17"/>
  <c r="C183" i="15" l="1"/>
  <c r="B182" i="14"/>
  <c r="D181" i="14"/>
  <c r="C184" i="14"/>
  <c r="C184" i="13"/>
  <c r="C183" i="12"/>
  <c r="D181" i="12"/>
  <c r="B182" i="12"/>
  <c r="C184" i="11"/>
  <c r="H183" i="10"/>
  <c r="F183" i="10"/>
  <c r="E183" i="10"/>
  <c r="C184" i="10"/>
  <c r="H182" i="9"/>
  <c r="F182" i="9"/>
  <c r="C183" i="9"/>
  <c r="E182" i="9"/>
  <c r="H183" i="8"/>
  <c r="F183" i="8"/>
  <c r="E183" i="8"/>
  <c r="C184" i="8"/>
  <c r="H182" i="7"/>
  <c r="F182" i="7"/>
  <c r="E182" i="7"/>
  <c r="C183" i="7"/>
  <c r="F182" i="6"/>
  <c r="E182" i="6"/>
  <c r="C183" i="6"/>
  <c r="H182" i="6"/>
  <c r="C184" i="5"/>
  <c r="H183" i="5"/>
  <c r="F183" i="5"/>
  <c r="E183" i="5"/>
  <c r="C185" i="4"/>
  <c r="H184" i="4"/>
  <c r="E184" i="4"/>
  <c r="F184" i="4"/>
  <c r="C184" i="3"/>
  <c r="H183" i="3"/>
  <c r="F183" i="3"/>
  <c r="E183" i="3"/>
  <c r="F184" i="2"/>
  <c r="C185" i="2"/>
  <c r="H184" i="2"/>
  <c r="E184" i="2"/>
  <c r="B181" i="18"/>
  <c r="D180" i="18"/>
  <c r="C184" i="18"/>
  <c r="H183" i="18"/>
  <c r="E183" i="18"/>
  <c r="B181" i="19"/>
  <c r="D180" i="19"/>
  <c r="E184" i="19"/>
  <c r="C185" i="19"/>
  <c r="H184" i="19"/>
  <c r="G184" i="19"/>
  <c r="F184" i="19"/>
  <c r="F183" i="17"/>
  <c r="E183" i="17"/>
  <c r="C184" i="17"/>
  <c r="C184" i="15" l="1"/>
  <c r="C185" i="14"/>
  <c r="B183" i="14"/>
  <c r="D182" i="14"/>
  <c r="C185" i="13"/>
  <c r="C184" i="12"/>
  <c r="D182" i="12"/>
  <c r="B183" i="12"/>
  <c r="C185" i="11"/>
  <c r="H184" i="10"/>
  <c r="F184" i="10"/>
  <c r="E184" i="10"/>
  <c r="C185" i="10"/>
  <c r="H183" i="9"/>
  <c r="F183" i="9"/>
  <c r="C184" i="9"/>
  <c r="E183" i="9"/>
  <c r="H184" i="8"/>
  <c r="F184" i="8"/>
  <c r="E184" i="8"/>
  <c r="C185" i="8"/>
  <c r="H183" i="7"/>
  <c r="F183" i="7"/>
  <c r="E183" i="7"/>
  <c r="C184" i="7"/>
  <c r="F183" i="6"/>
  <c r="E183" i="6"/>
  <c r="C184" i="6"/>
  <c r="H183" i="6"/>
  <c r="E184" i="5"/>
  <c r="C185" i="5"/>
  <c r="H184" i="5"/>
  <c r="F184" i="5"/>
  <c r="E185" i="4"/>
  <c r="C186" i="4"/>
  <c r="H185" i="4"/>
  <c r="F185" i="4"/>
  <c r="E184" i="3"/>
  <c r="C185" i="3"/>
  <c r="H184" i="3"/>
  <c r="F184" i="3"/>
  <c r="E185" i="2"/>
  <c r="C186" i="2"/>
  <c r="H185" i="2"/>
  <c r="F185" i="2"/>
  <c r="E184" i="18"/>
  <c r="C185" i="18"/>
  <c r="H184" i="18"/>
  <c r="B182" i="18"/>
  <c r="D181" i="18"/>
  <c r="F185" i="19"/>
  <c r="E185" i="19"/>
  <c r="C186" i="19"/>
  <c r="H185" i="19"/>
  <c r="G185" i="19"/>
  <c r="B182" i="19"/>
  <c r="D181" i="19"/>
  <c r="F184" i="17"/>
  <c r="E184" i="17"/>
  <c r="C185" i="17"/>
  <c r="C185" i="15" l="1"/>
  <c r="C186" i="14"/>
  <c r="B184" i="14"/>
  <c r="D183" i="14"/>
  <c r="C186" i="13"/>
  <c r="C185" i="12"/>
  <c r="D183" i="12"/>
  <c r="B184" i="12"/>
  <c r="C186" i="11"/>
  <c r="H185" i="10"/>
  <c r="F185" i="10"/>
  <c r="E185" i="10"/>
  <c r="C186" i="10"/>
  <c r="H184" i="9"/>
  <c r="F184" i="9"/>
  <c r="C185" i="9"/>
  <c r="E184" i="9"/>
  <c r="H185" i="8"/>
  <c r="F185" i="8"/>
  <c r="E185" i="8"/>
  <c r="C186" i="8"/>
  <c r="H184" i="7"/>
  <c r="F184" i="7"/>
  <c r="E184" i="7"/>
  <c r="C185" i="7"/>
  <c r="F184" i="6"/>
  <c r="E184" i="6"/>
  <c r="C185" i="6"/>
  <c r="H184" i="6"/>
  <c r="F185" i="5"/>
  <c r="E185" i="5"/>
  <c r="C186" i="5"/>
  <c r="H185" i="5"/>
  <c r="F186" i="4"/>
  <c r="C187" i="4"/>
  <c r="E186" i="4"/>
  <c r="H186" i="4"/>
  <c r="F185" i="3"/>
  <c r="E185" i="3"/>
  <c r="C186" i="3"/>
  <c r="H185" i="3"/>
  <c r="F186" i="2"/>
  <c r="H186" i="2"/>
  <c r="C187" i="2"/>
  <c r="E186" i="2"/>
  <c r="E185" i="18"/>
  <c r="C186" i="18"/>
  <c r="H185" i="18"/>
  <c r="B183" i="18"/>
  <c r="D182" i="18"/>
  <c r="B183" i="19"/>
  <c r="D182" i="19"/>
  <c r="G186" i="19"/>
  <c r="F186" i="19"/>
  <c r="E186" i="19"/>
  <c r="C187" i="19"/>
  <c r="H186" i="19"/>
  <c r="F185" i="17"/>
  <c r="E185" i="17"/>
  <c r="C186" i="17"/>
  <c r="C186" i="15" l="1"/>
  <c r="B185" i="14"/>
  <c r="D184" i="14"/>
  <c r="C187" i="14"/>
  <c r="C187" i="13"/>
  <c r="C186" i="12"/>
  <c r="D184" i="12"/>
  <c r="B185" i="12"/>
  <c r="C187" i="11"/>
  <c r="H186" i="10"/>
  <c r="F186" i="10"/>
  <c r="E186" i="10"/>
  <c r="C187" i="10"/>
  <c r="H185" i="9"/>
  <c r="F185" i="9"/>
  <c r="C186" i="9"/>
  <c r="E185" i="9"/>
  <c r="H186" i="8"/>
  <c r="F186" i="8"/>
  <c r="E186" i="8"/>
  <c r="C187" i="8"/>
  <c r="H185" i="7"/>
  <c r="F185" i="7"/>
  <c r="E185" i="7"/>
  <c r="C186" i="7"/>
  <c r="F185" i="6"/>
  <c r="E185" i="6"/>
  <c r="C186" i="6"/>
  <c r="H185" i="6"/>
  <c r="F186" i="5"/>
  <c r="E186" i="5"/>
  <c r="C187" i="5"/>
  <c r="H186" i="5"/>
  <c r="E187" i="4"/>
  <c r="C188" i="4"/>
  <c r="H187" i="4"/>
  <c r="F187" i="4"/>
  <c r="F186" i="3"/>
  <c r="E186" i="3"/>
  <c r="C187" i="3"/>
  <c r="H186" i="3"/>
  <c r="F187" i="2"/>
  <c r="E187" i="2"/>
  <c r="C188" i="2"/>
  <c r="H187" i="2"/>
  <c r="E186" i="18"/>
  <c r="C187" i="18"/>
  <c r="H186" i="18"/>
  <c r="D183" i="18"/>
  <c r="B184" i="18"/>
  <c r="H187" i="19"/>
  <c r="G187" i="19"/>
  <c r="F187" i="19"/>
  <c r="E187" i="19"/>
  <c r="C188" i="19"/>
  <c r="D183" i="19"/>
  <c r="B184" i="19"/>
  <c r="F186" i="17"/>
  <c r="E186" i="17"/>
  <c r="C187" i="17"/>
  <c r="C187" i="15" l="1"/>
  <c r="C188" i="14"/>
  <c r="B186" i="14"/>
  <c r="D185" i="14"/>
  <c r="C188" i="13"/>
  <c r="C187" i="12"/>
  <c r="D185" i="12"/>
  <c r="B186" i="12"/>
  <c r="C188" i="11"/>
  <c r="H187" i="10"/>
  <c r="F187" i="10"/>
  <c r="E187" i="10"/>
  <c r="C188" i="10"/>
  <c r="H186" i="9"/>
  <c r="F186" i="9"/>
  <c r="C187" i="9"/>
  <c r="E186" i="9"/>
  <c r="H187" i="8"/>
  <c r="F187" i="8"/>
  <c r="E187" i="8"/>
  <c r="C188" i="8"/>
  <c r="H186" i="7"/>
  <c r="F186" i="7"/>
  <c r="E186" i="7"/>
  <c r="C187" i="7"/>
  <c r="F186" i="6"/>
  <c r="E186" i="6"/>
  <c r="C187" i="6"/>
  <c r="H186" i="6"/>
  <c r="H187" i="5"/>
  <c r="F187" i="5"/>
  <c r="E187" i="5"/>
  <c r="C188" i="5"/>
  <c r="H188" i="4"/>
  <c r="F188" i="4"/>
  <c r="E188" i="4"/>
  <c r="C189" i="4"/>
  <c r="H187" i="3"/>
  <c r="F187" i="3"/>
  <c r="E187" i="3"/>
  <c r="C188" i="3"/>
  <c r="H188" i="2"/>
  <c r="E188" i="2"/>
  <c r="C189" i="2"/>
  <c r="F188" i="2"/>
  <c r="D184" i="18"/>
  <c r="B185" i="18"/>
  <c r="H187" i="18"/>
  <c r="E187" i="18"/>
  <c r="C188" i="18"/>
  <c r="D184" i="19"/>
  <c r="B185" i="19"/>
  <c r="H188" i="19"/>
  <c r="G188" i="19"/>
  <c r="F188" i="19"/>
  <c r="E188" i="19"/>
  <c r="C189" i="19"/>
  <c r="F187" i="17"/>
  <c r="E187" i="17"/>
  <c r="C188" i="17"/>
  <c r="C188" i="15" l="1"/>
  <c r="B187" i="14"/>
  <c r="D186" i="14"/>
  <c r="C189" i="14"/>
  <c r="C189" i="13"/>
  <c r="D186" i="12"/>
  <c r="B187" i="12"/>
  <c r="C188" i="12"/>
  <c r="C189" i="11"/>
  <c r="H188" i="10"/>
  <c r="F188" i="10"/>
  <c r="E188" i="10"/>
  <c r="C189" i="10"/>
  <c r="H187" i="9"/>
  <c r="F187" i="9"/>
  <c r="C188" i="9"/>
  <c r="E187" i="9"/>
  <c r="H188" i="8"/>
  <c r="F188" i="8"/>
  <c r="E188" i="8"/>
  <c r="C189" i="8"/>
  <c r="H187" i="7"/>
  <c r="F187" i="7"/>
  <c r="E187" i="7"/>
  <c r="C188" i="7"/>
  <c r="F187" i="6"/>
  <c r="E187" i="6"/>
  <c r="C188" i="6"/>
  <c r="H187" i="6"/>
  <c r="H188" i="5"/>
  <c r="F188" i="5"/>
  <c r="E188" i="5"/>
  <c r="C189" i="5"/>
  <c r="F189" i="4"/>
  <c r="E189" i="4"/>
  <c r="C190" i="4"/>
  <c r="H189" i="4"/>
  <c r="H188" i="3"/>
  <c r="F188" i="3"/>
  <c r="E188" i="3"/>
  <c r="C189" i="3"/>
  <c r="F189" i="2"/>
  <c r="E189" i="2"/>
  <c r="H189" i="2"/>
  <c r="C190" i="2"/>
  <c r="H188" i="18"/>
  <c r="E188" i="18"/>
  <c r="C189" i="18"/>
  <c r="D185" i="18"/>
  <c r="B186" i="18"/>
  <c r="C190" i="19"/>
  <c r="H189" i="19"/>
  <c r="G189" i="19"/>
  <c r="F189" i="19"/>
  <c r="E189" i="19"/>
  <c r="D185" i="19"/>
  <c r="B186" i="19"/>
  <c r="F188" i="17"/>
  <c r="E188" i="17"/>
  <c r="C189" i="17"/>
  <c r="C189" i="15" l="1"/>
  <c r="C190" i="14"/>
  <c r="B188" i="14"/>
  <c r="D187" i="14"/>
  <c r="C190" i="13"/>
  <c r="C189" i="12"/>
  <c r="D187" i="12"/>
  <c r="B188" i="12"/>
  <c r="C190" i="11"/>
  <c r="H189" i="10"/>
  <c r="F189" i="10"/>
  <c r="E189" i="10"/>
  <c r="C190" i="10"/>
  <c r="H188" i="9"/>
  <c r="F188" i="9"/>
  <c r="C189" i="9"/>
  <c r="E188" i="9"/>
  <c r="H189" i="8"/>
  <c r="F189" i="8"/>
  <c r="E189" i="8"/>
  <c r="C190" i="8"/>
  <c r="H188" i="7"/>
  <c r="F188" i="7"/>
  <c r="E188" i="7"/>
  <c r="C189" i="7"/>
  <c r="F188" i="6"/>
  <c r="E188" i="6"/>
  <c r="C189" i="6"/>
  <c r="H188" i="6"/>
  <c r="C190" i="5"/>
  <c r="H189" i="5"/>
  <c r="F189" i="5"/>
  <c r="E189" i="5"/>
  <c r="C191" i="4"/>
  <c r="H190" i="4"/>
  <c r="F190" i="4"/>
  <c r="E190" i="4"/>
  <c r="C190" i="3"/>
  <c r="H189" i="3"/>
  <c r="F189" i="3"/>
  <c r="E189" i="3"/>
  <c r="C191" i="2"/>
  <c r="H190" i="2"/>
  <c r="F190" i="2"/>
  <c r="E190" i="2"/>
  <c r="D186" i="18"/>
  <c r="B187" i="18"/>
  <c r="C190" i="18"/>
  <c r="H189" i="18"/>
  <c r="E189" i="18"/>
  <c r="D186" i="19"/>
  <c r="B187" i="19"/>
  <c r="C191" i="19"/>
  <c r="H190" i="19"/>
  <c r="G190" i="19"/>
  <c r="F190" i="19"/>
  <c r="E190" i="19"/>
  <c r="F189" i="17"/>
  <c r="E189" i="17"/>
  <c r="C190" i="17"/>
  <c r="C190" i="15" l="1"/>
  <c r="B189" i="14"/>
  <c r="D188" i="14"/>
  <c r="C191" i="14"/>
  <c r="C191" i="13"/>
  <c r="C190" i="12"/>
  <c r="D188" i="12"/>
  <c r="B189" i="12"/>
  <c r="C191" i="11"/>
  <c r="H190" i="10"/>
  <c r="F190" i="10"/>
  <c r="E190" i="10"/>
  <c r="C191" i="10"/>
  <c r="H189" i="9"/>
  <c r="F189" i="9"/>
  <c r="C190" i="9"/>
  <c r="E189" i="9"/>
  <c r="H190" i="8"/>
  <c r="F190" i="8"/>
  <c r="E190" i="8"/>
  <c r="C191" i="8"/>
  <c r="H189" i="7"/>
  <c r="F189" i="7"/>
  <c r="E189" i="7"/>
  <c r="C190" i="7"/>
  <c r="F189" i="6"/>
  <c r="E189" i="6"/>
  <c r="C190" i="6"/>
  <c r="H189" i="6"/>
  <c r="C191" i="5"/>
  <c r="H190" i="5"/>
  <c r="F190" i="5"/>
  <c r="E190" i="5"/>
  <c r="H191" i="4"/>
  <c r="F191" i="4"/>
  <c r="C192" i="4"/>
  <c r="E191" i="4"/>
  <c r="C191" i="3"/>
  <c r="H190" i="3"/>
  <c r="F190" i="3"/>
  <c r="E190" i="3"/>
  <c r="H191" i="2"/>
  <c r="E191" i="2"/>
  <c r="C192" i="2"/>
  <c r="F191" i="2"/>
  <c r="C191" i="18"/>
  <c r="H190" i="18"/>
  <c r="E190" i="18"/>
  <c r="D187" i="18"/>
  <c r="B188" i="18"/>
  <c r="C192" i="19"/>
  <c r="H191" i="19"/>
  <c r="G191" i="19"/>
  <c r="F191" i="19"/>
  <c r="E191" i="19"/>
  <c r="D187" i="19"/>
  <c r="B188" i="19"/>
  <c r="F190" i="17"/>
  <c r="E190" i="17"/>
  <c r="C191" i="17"/>
  <c r="C191" i="15" l="1"/>
  <c r="C192" i="14"/>
  <c r="B190" i="14"/>
  <c r="D189" i="14"/>
  <c r="C192" i="13"/>
  <c r="C191" i="12"/>
  <c r="D189" i="12"/>
  <c r="B190" i="12"/>
  <c r="C192" i="11"/>
  <c r="H191" i="10"/>
  <c r="F191" i="10"/>
  <c r="E191" i="10"/>
  <c r="C192" i="10"/>
  <c r="H190" i="9"/>
  <c r="F190" i="9"/>
  <c r="C191" i="9"/>
  <c r="E190" i="9"/>
  <c r="H191" i="8"/>
  <c r="F191" i="8"/>
  <c r="E191" i="8"/>
  <c r="C192" i="8"/>
  <c r="H190" i="7"/>
  <c r="F190" i="7"/>
  <c r="E190" i="7"/>
  <c r="C191" i="7"/>
  <c r="F190" i="6"/>
  <c r="E190" i="6"/>
  <c r="C191" i="6"/>
  <c r="H190" i="6"/>
  <c r="C192" i="5"/>
  <c r="H191" i="5"/>
  <c r="F191" i="5"/>
  <c r="E191" i="5"/>
  <c r="C193" i="4"/>
  <c r="H192" i="4"/>
  <c r="F192" i="4"/>
  <c r="E192" i="4"/>
  <c r="C192" i="3"/>
  <c r="H191" i="3"/>
  <c r="F191" i="3"/>
  <c r="E191" i="3"/>
  <c r="F192" i="2"/>
  <c r="C193" i="2"/>
  <c r="H192" i="2"/>
  <c r="E192" i="2"/>
  <c r="B189" i="18"/>
  <c r="D188" i="18"/>
  <c r="C192" i="18"/>
  <c r="H191" i="18"/>
  <c r="E191" i="18"/>
  <c r="B189" i="19"/>
  <c r="D188" i="19"/>
  <c r="E192" i="19"/>
  <c r="C193" i="19"/>
  <c r="H192" i="19"/>
  <c r="G192" i="19"/>
  <c r="F192" i="19"/>
  <c r="F191" i="17"/>
  <c r="E191" i="17"/>
  <c r="C192" i="17"/>
  <c r="C192" i="15" l="1"/>
  <c r="B191" i="14"/>
  <c r="D190" i="14"/>
  <c r="C193" i="14"/>
  <c r="C193" i="13"/>
  <c r="C192" i="12"/>
  <c r="D190" i="12"/>
  <c r="B191" i="12"/>
  <c r="C193" i="11"/>
  <c r="H192" i="10"/>
  <c r="F192" i="10"/>
  <c r="E192" i="10"/>
  <c r="C193" i="10"/>
  <c r="H191" i="9"/>
  <c r="F191" i="9"/>
  <c r="C192" i="9"/>
  <c r="E191" i="9"/>
  <c r="H192" i="8"/>
  <c r="F192" i="8"/>
  <c r="E192" i="8"/>
  <c r="C193" i="8"/>
  <c r="H191" i="7"/>
  <c r="F191" i="7"/>
  <c r="E191" i="7"/>
  <c r="C192" i="7"/>
  <c r="F191" i="6"/>
  <c r="E191" i="6"/>
  <c r="C192" i="6"/>
  <c r="H191" i="6"/>
  <c r="E192" i="5"/>
  <c r="C193" i="5"/>
  <c r="H192" i="5"/>
  <c r="F192" i="5"/>
  <c r="E193" i="4"/>
  <c r="C194" i="4"/>
  <c r="F193" i="4"/>
  <c r="H193" i="4"/>
  <c r="E192" i="3"/>
  <c r="C193" i="3"/>
  <c r="H192" i="3"/>
  <c r="F192" i="3"/>
  <c r="E193" i="2"/>
  <c r="C194" i="2"/>
  <c r="F193" i="2"/>
  <c r="H193" i="2"/>
  <c r="E192" i="18"/>
  <c r="C193" i="18"/>
  <c r="H192" i="18"/>
  <c r="B190" i="18"/>
  <c r="D189" i="18"/>
  <c r="F193" i="19"/>
  <c r="E193" i="19"/>
  <c r="C194" i="19"/>
  <c r="H193" i="19"/>
  <c r="G193" i="19"/>
  <c r="B190" i="19"/>
  <c r="D189" i="19"/>
  <c r="F192" i="17"/>
  <c r="E192" i="17"/>
  <c r="C193" i="17"/>
  <c r="C193" i="15" l="1"/>
  <c r="C194" i="14"/>
  <c r="B192" i="14"/>
  <c r="D191" i="14"/>
  <c r="C194" i="13"/>
  <c r="C193" i="12"/>
  <c r="D191" i="12"/>
  <c r="B192" i="12"/>
  <c r="C194" i="11"/>
  <c r="H193" i="10"/>
  <c r="F193" i="10"/>
  <c r="E193" i="10"/>
  <c r="C194" i="10"/>
  <c r="H192" i="9"/>
  <c r="F192" i="9"/>
  <c r="C193" i="9"/>
  <c r="E192" i="9"/>
  <c r="H193" i="8"/>
  <c r="F193" i="8"/>
  <c r="E193" i="8"/>
  <c r="C194" i="8"/>
  <c r="H192" i="7"/>
  <c r="F192" i="7"/>
  <c r="E192" i="7"/>
  <c r="C193" i="7"/>
  <c r="F192" i="6"/>
  <c r="E192" i="6"/>
  <c r="C193" i="6"/>
  <c r="H192" i="6"/>
  <c r="F193" i="5"/>
  <c r="E193" i="5"/>
  <c r="C194" i="5"/>
  <c r="H193" i="5"/>
  <c r="F194" i="4"/>
  <c r="C195" i="4"/>
  <c r="H194" i="4"/>
  <c r="E194" i="4"/>
  <c r="F193" i="3"/>
  <c r="E193" i="3"/>
  <c r="C194" i="3"/>
  <c r="H193" i="3"/>
  <c r="F194" i="2"/>
  <c r="H194" i="2"/>
  <c r="E194" i="2"/>
  <c r="C195" i="2"/>
  <c r="E193" i="18"/>
  <c r="C194" i="18"/>
  <c r="H193" i="18"/>
  <c r="B191" i="18"/>
  <c r="D190" i="18"/>
  <c r="B191" i="19"/>
  <c r="D190" i="19"/>
  <c r="G194" i="19"/>
  <c r="F194" i="19"/>
  <c r="E194" i="19"/>
  <c r="C195" i="19"/>
  <c r="H194" i="19"/>
  <c r="F193" i="17"/>
  <c r="E193" i="17"/>
  <c r="C194" i="17"/>
  <c r="C194" i="15" l="1"/>
  <c r="B193" i="14"/>
  <c r="D192" i="14"/>
  <c r="C195" i="14"/>
  <c r="C195" i="13"/>
  <c r="C194" i="12"/>
  <c r="D192" i="12"/>
  <c r="B193" i="12"/>
  <c r="C195" i="11"/>
  <c r="H194" i="10"/>
  <c r="F194" i="10"/>
  <c r="E194" i="10"/>
  <c r="C195" i="10"/>
  <c r="H193" i="9"/>
  <c r="F193" i="9"/>
  <c r="C194" i="9"/>
  <c r="E193" i="9"/>
  <c r="H194" i="8"/>
  <c r="F194" i="8"/>
  <c r="E194" i="8"/>
  <c r="C195" i="8"/>
  <c r="H193" i="7"/>
  <c r="F193" i="7"/>
  <c r="E193" i="7"/>
  <c r="C194" i="7"/>
  <c r="F193" i="6"/>
  <c r="E193" i="6"/>
  <c r="C194" i="6"/>
  <c r="H193" i="6"/>
  <c r="F194" i="5"/>
  <c r="E194" i="5"/>
  <c r="C195" i="5"/>
  <c r="H194" i="5"/>
  <c r="E195" i="4"/>
  <c r="H195" i="4"/>
  <c r="F195" i="4"/>
  <c r="C196" i="4"/>
  <c r="F194" i="3"/>
  <c r="E194" i="3"/>
  <c r="C195" i="3"/>
  <c r="H194" i="3"/>
  <c r="C196" i="2"/>
  <c r="H195" i="2"/>
  <c r="E195" i="2"/>
  <c r="F195" i="2"/>
  <c r="E194" i="18"/>
  <c r="C195" i="18"/>
  <c r="H194" i="18"/>
  <c r="D191" i="18"/>
  <c r="B192" i="18"/>
  <c r="H195" i="19"/>
  <c r="G195" i="19"/>
  <c r="F195" i="19"/>
  <c r="E195" i="19"/>
  <c r="C196" i="19"/>
  <c r="D191" i="19"/>
  <c r="B192" i="19"/>
  <c r="F194" i="17"/>
  <c r="E194" i="17"/>
  <c r="C195" i="17"/>
  <c r="C195" i="15" l="1"/>
  <c r="C196" i="14"/>
  <c r="B194" i="14"/>
  <c r="D193" i="14"/>
  <c r="C196" i="13"/>
  <c r="C195" i="12"/>
  <c r="D193" i="12"/>
  <c r="B194" i="12"/>
  <c r="C196" i="11"/>
  <c r="H195" i="10"/>
  <c r="F195" i="10"/>
  <c r="E195" i="10"/>
  <c r="C196" i="10"/>
  <c r="H194" i="9"/>
  <c r="F194" i="9"/>
  <c r="C195" i="9"/>
  <c r="E194" i="9"/>
  <c r="H195" i="8"/>
  <c r="F195" i="8"/>
  <c r="E195" i="8"/>
  <c r="C196" i="8"/>
  <c r="H194" i="7"/>
  <c r="F194" i="7"/>
  <c r="E194" i="7"/>
  <c r="C195" i="7"/>
  <c r="F194" i="6"/>
  <c r="E194" i="6"/>
  <c r="C195" i="6"/>
  <c r="H194" i="6"/>
  <c r="H195" i="5"/>
  <c r="F195" i="5"/>
  <c r="E195" i="5"/>
  <c r="C196" i="5"/>
  <c r="H196" i="4"/>
  <c r="F196" i="4"/>
  <c r="E196" i="4"/>
  <c r="C197" i="4"/>
  <c r="H195" i="3"/>
  <c r="F195" i="3"/>
  <c r="E195" i="3"/>
  <c r="C196" i="3"/>
  <c r="H196" i="2"/>
  <c r="E196" i="2"/>
  <c r="C197" i="2"/>
  <c r="F196" i="2"/>
  <c r="D192" i="18"/>
  <c r="B193" i="18"/>
  <c r="H195" i="18"/>
  <c r="E195" i="18"/>
  <c r="C196" i="18"/>
  <c r="H196" i="19"/>
  <c r="G196" i="19"/>
  <c r="F196" i="19"/>
  <c r="E196" i="19"/>
  <c r="C197" i="19"/>
  <c r="D192" i="19"/>
  <c r="B193" i="19"/>
  <c r="F195" i="17"/>
  <c r="E195" i="17"/>
  <c r="C196" i="17"/>
  <c r="C196" i="15" l="1"/>
  <c r="B195" i="14"/>
  <c r="D194" i="14"/>
  <c r="C197" i="14"/>
  <c r="C197" i="13"/>
  <c r="C196" i="12"/>
  <c r="D194" i="12"/>
  <c r="B195" i="12"/>
  <c r="C197" i="11"/>
  <c r="H196" i="10"/>
  <c r="F196" i="10"/>
  <c r="E196" i="10"/>
  <c r="C197" i="10"/>
  <c r="H195" i="9"/>
  <c r="F195" i="9"/>
  <c r="C196" i="9"/>
  <c r="E195" i="9"/>
  <c r="H196" i="8"/>
  <c r="F196" i="8"/>
  <c r="E196" i="8"/>
  <c r="C197" i="8"/>
  <c r="H195" i="7"/>
  <c r="F195" i="7"/>
  <c r="E195" i="7"/>
  <c r="C196" i="7"/>
  <c r="F195" i="6"/>
  <c r="E195" i="6"/>
  <c r="C196" i="6"/>
  <c r="H195" i="6"/>
  <c r="H196" i="5"/>
  <c r="F196" i="5"/>
  <c r="E196" i="5"/>
  <c r="C197" i="5"/>
  <c r="F197" i="4"/>
  <c r="E197" i="4"/>
  <c r="C198" i="4"/>
  <c r="H197" i="4"/>
  <c r="H196" i="3"/>
  <c r="F196" i="3"/>
  <c r="E196" i="3"/>
  <c r="C197" i="3"/>
  <c r="F197" i="2"/>
  <c r="C198" i="2"/>
  <c r="H197" i="2"/>
  <c r="E197" i="2"/>
  <c r="H196" i="18"/>
  <c r="E196" i="18"/>
  <c r="C197" i="18"/>
  <c r="D193" i="18"/>
  <c r="B194" i="18"/>
  <c r="C198" i="19"/>
  <c r="H197" i="19"/>
  <c r="G197" i="19"/>
  <c r="F197" i="19"/>
  <c r="E197" i="19"/>
  <c r="D193" i="19"/>
  <c r="B194" i="19"/>
  <c r="F196" i="17"/>
  <c r="E196" i="17"/>
  <c r="C197" i="17"/>
  <c r="C197" i="15" l="1"/>
  <c r="C198" i="14"/>
  <c r="B196" i="14"/>
  <c r="D195" i="14"/>
  <c r="C198" i="13"/>
  <c r="C197" i="12"/>
  <c r="D195" i="12"/>
  <c r="B196" i="12"/>
  <c r="C198" i="11"/>
  <c r="H197" i="10"/>
  <c r="F197" i="10"/>
  <c r="E197" i="10"/>
  <c r="C198" i="10"/>
  <c r="H196" i="9"/>
  <c r="F196" i="9"/>
  <c r="C197" i="9"/>
  <c r="E196" i="9"/>
  <c r="H197" i="8"/>
  <c r="F197" i="8"/>
  <c r="E197" i="8"/>
  <c r="C198" i="8"/>
  <c r="H196" i="7"/>
  <c r="F196" i="7"/>
  <c r="E196" i="7"/>
  <c r="C197" i="7"/>
  <c r="F196" i="6"/>
  <c r="E196" i="6"/>
  <c r="C197" i="6"/>
  <c r="H196" i="6"/>
  <c r="C198" i="5"/>
  <c r="H197" i="5"/>
  <c r="F197" i="5"/>
  <c r="E197" i="5"/>
  <c r="C199" i="4"/>
  <c r="H198" i="4"/>
  <c r="F198" i="4"/>
  <c r="E198" i="4"/>
  <c r="C198" i="3"/>
  <c r="H197" i="3"/>
  <c r="F197" i="3"/>
  <c r="E197" i="3"/>
  <c r="C199" i="2"/>
  <c r="F198" i="2"/>
  <c r="E198" i="2"/>
  <c r="H198" i="2"/>
  <c r="D194" i="18"/>
  <c r="B195" i="18"/>
  <c r="C198" i="18"/>
  <c r="H197" i="18"/>
  <c r="E197" i="18"/>
  <c r="D194" i="19"/>
  <c r="B195" i="19"/>
  <c r="C199" i="19"/>
  <c r="H198" i="19"/>
  <c r="G198" i="19"/>
  <c r="F198" i="19"/>
  <c r="E198" i="19"/>
  <c r="F197" i="17"/>
  <c r="E197" i="17"/>
  <c r="C198" i="17"/>
  <c r="C198" i="15" l="1"/>
  <c r="C199" i="14"/>
  <c r="B197" i="14"/>
  <c r="D196" i="14"/>
  <c r="C199" i="13"/>
  <c r="C198" i="12"/>
  <c r="D196" i="12"/>
  <c r="B197" i="12"/>
  <c r="C199" i="11"/>
  <c r="H198" i="10"/>
  <c r="F198" i="10"/>
  <c r="E198" i="10"/>
  <c r="C199" i="10"/>
  <c r="H197" i="9"/>
  <c r="F197" i="9"/>
  <c r="C198" i="9"/>
  <c r="E197" i="9"/>
  <c r="H198" i="8"/>
  <c r="F198" i="8"/>
  <c r="E198" i="8"/>
  <c r="C199" i="8"/>
  <c r="H197" i="7"/>
  <c r="F197" i="7"/>
  <c r="E197" i="7"/>
  <c r="C198" i="7"/>
  <c r="F197" i="6"/>
  <c r="E197" i="6"/>
  <c r="C198" i="6"/>
  <c r="H197" i="6"/>
  <c r="C199" i="5"/>
  <c r="H198" i="5"/>
  <c r="F198" i="5"/>
  <c r="E198" i="5"/>
  <c r="H199" i="4"/>
  <c r="C200" i="4"/>
  <c r="F199" i="4"/>
  <c r="E199" i="4"/>
  <c r="C199" i="3"/>
  <c r="H198" i="3"/>
  <c r="F198" i="3"/>
  <c r="E198" i="3"/>
  <c r="H199" i="2"/>
  <c r="E199" i="2"/>
  <c r="C200" i="2"/>
  <c r="F199" i="2"/>
  <c r="C199" i="18"/>
  <c r="H198" i="18"/>
  <c r="E198" i="18"/>
  <c r="D195" i="18"/>
  <c r="B196" i="18"/>
  <c r="D195" i="19"/>
  <c r="B196" i="19"/>
  <c r="C200" i="19"/>
  <c r="H199" i="19"/>
  <c r="G199" i="19"/>
  <c r="F199" i="19"/>
  <c r="E199" i="19"/>
  <c r="F198" i="17"/>
  <c r="E198" i="17"/>
  <c r="C199" i="17"/>
  <c r="C199" i="15" l="1"/>
  <c r="C200" i="14"/>
  <c r="B198" i="14"/>
  <c r="D197" i="14"/>
  <c r="C200" i="13"/>
  <c r="C199" i="12"/>
  <c r="D197" i="12"/>
  <c r="B198" i="12"/>
  <c r="C200" i="11"/>
  <c r="H199" i="10"/>
  <c r="F199" i="10"/>
  <c r="E199" i="10"/>
  <c r="C200" i="10"/>
  <c r="H198" i="9"/>
  <c r="F198" i="9"/>
  <c r="C199" i="9"/>
  <c r="E198" i="9"/>
  <c r="H199" i="8"/>
  <c r="F199" i="8"/>
  <c r="E199" i="8"/>
  <c r="C200" i="8"/>
  <c r="H198" i="7"/>
  <c r="F198" i="7"/>
  <c r="E198" i="7"/>
  <c r="C199" i="7"/>
  <c r="F198" i="6"/>
  <c r="E198" i="6"/>
  <c r="C199" i="6"/>
  <c r="H198" i="6"/>
  <c r="C200" i="5"/>
  <c r="H199" i="5"/>
  <c r="F199" i="5"/>
  <c r="E199" i="5"/>
  <c r="C201" i="4"/>
  <c r="H200" i="4"/>
  <c r="E200" i="4"/>
  <c r="F200" i="4"/>
  <c r="C200" i="3"/>
  <c r="H199" i="3"/>
  <c r="F199" i="3"/>
  <c r="E199" i="3"/>
  <c r="F200" i="2"/>
  <c r="E200" i="2"/>
  <c r="H200" i="2"/>
  <c r="C201" i="2"/>
  <c r="B197" i="18"/>
  <c r="D196" i="18"/>
  <c r="C200" i="18"/>
  <c r="H199" i="18"/>
  <c r="E199" i="18"/>
  <c r="E200" i="19"/>
  <c r="C201" i="19"/>
  <c r="H200" i="19"/>
  <c r="G200" i="19"/>
  <c r="F200" i="19"/>
  <c r="B197" i="19"/>
  <c r="D196" i="19"/>
  <c r="F199" i="17"/>
  <c r="E199" i="17"/>
  <c r="C200" i="17"/>
  <c r="C200" i="15" l="1"/>
  <c r="C201" i="14"/>
  <c r="B199" i="14"/>
  <c r="D198" i="14"/>
  <c r="C201" i="13"/>
  <c r="C200" i="12"/>
  <c r="D198" i="12"/>
  <c r="B199" i="12"/>
  <c r="C201" i="11"/>
  <c r="H200" i="10"/>
  <c r="F200" i="10"/>
  <c r="E200" i="10"/>
  <c r="C201" i="10"/>
  <c r="H199" i="9"/>
  <c r="F199" i="9"/>
  <c r="C200" i="9"/>
  <c r="E199" i="9"/>
  <c r="H200" i="8"/>
  <c r="F200" i="8"/>
  <c r="E200" i="8"/>
  <c r="C201" i="8"/>
  <c r="H199" i="7"/>
  <c r="F199" i="7"/>
  <c r="E199" i="7"/>
  <c r="C200" i="7"/>
  <c r="F199" i="6"/>
  <c r="E199" i="6"/>
  <c r="C200" i="6"/>
  <c r="H199" i="6"/>
  <c r="E200" i="5"/>
  <c r="C201" i="5"/>
  <c r="H200" i="5"/>
  <c r="F200" i="5"/>
  <c r="E201" i="4"/>
  <c r="C202" i="4"/>
  <c r="H201" i="4"/>
  <c r="F201" i="4"/>
  <c r="E200" i="3"/>
  <c r="C201" i="3"/>
  <c r="H200" i="3"/>
  <c r="F200" i="3"/>
  <c r="E201" i="2"/>
  <c r="C202" i="2"/>
  <c r="H201" i="2"/>
  <c r="F201" i="2"/>
  <c r="E200" i="18"/>
  <c r="C201" i="18"/>
  <c r="H200" i="18"/>
  <c r="B198" i="18"/>
  <c r="D197" i="18"/>
  <c r="B198" i="19"/>
  <c r="D197" i="19"/>
  <c r="F201" i="19"/>
  <c r="E201" i="19"/>
  <c r="C202" i="19"/>
  <c r="H201" i="19"/>
  <c r="G201" i="19"/>
  <c r="F200" i="17"/>
  <c r="E200" i="17"/>
  <c r="C201" i="17"/>
  <c r="C201" i="15" l="1"/>
  <c r="B200" i="14"/>
  <c r="D199" i="14"/>
  <c r="C202" i="14"/>
  <c r="C202" i="13"/>
  <c r="C201" i="12"/>
  <c r="D199" i="12"/>
  <c r="B200" i="12"/>
  <c r="C202" i="11"/>
  <c r="H201" i="10"/>
  <c r="F201" i="10"/>
  <c r="E201" i="10"/>
  <c r="C202" i="10"/>
  <c r="H200" i="9"/>
  <c r="F200" i="9"/>
  <c r="C201" i="9"/>
  <c r="E200" i="9"/>
  <c r="H201" i="8"/>
  <c r="F201" i="8"/>
  <c r="E201" i="8"/>
  <c r="C202" i="8"/>
  <c r="H200" i="7"/>
  <c r="F200" i="7"/>
  <c r="E200" i="7"/>
  <c r="C201" i="7"/>
  <c r="F200" i="6"/>
  <c r="E200" i="6"/>
  <c r="C201" i="6"/>
  <c r="H200" i="6"/>
  <c r="F201" i="5"/>
  <c r="E201" i="5"/>
  <c r="C202" i="5"/>
  <c r="H201" i="5"/>
  <c r="F202" i="4"/>
  <c r="C203" i="4"/>
  <c r="E202" i="4"/>
  <c r="H202" i="4"/>
  <c r="F201" i="3"/>
  <c r="E201" i="3"/>
  <c r="C202" i="3"/>
  <c r="H201" i="3"/>
  <c r="F202" i="2"/>
  <c r="H202" i="2"/>
  <c r="C203" i="2"/>
  <c r="E202" i="2"/>
  <c r="B199" i="18"/>
  <c r="D198" i="18"/>
  <c r="E201" i="18"/>
  <c r="C202" i="18"/>
  <c r="H201" i="18"/>
  <c r="G202" i="19"/>
  <c r="F202" i="19"/>
  <c r="E202" i="19"/>
  <c r="C203" i="19"/>
  <c r="H202" i="19"/>
  <c r="B199" i="19"/>
  <c r="D198" i="19"/>
  <c r="F201" i="17"/>
  <c r="E201" i="17"/>
  <c r="C202" i="17"/>
  <c r="C202" i="15" l="1"/>
  <c r="C203" i="14"/>
  <c r="B201" i="14"/>
  <c r="D200" i="14"/>
  <c r="C203" i="13"/>
  <c r="C202" i="12"/>
  <c r="D200" i="12"/>
  <c r="B201" i="12"/>
  <c r="C203" i="11"/>
  <c r="H202" i="10"/>
  <c r="F202" i="10"/>
  <c r="E202" i="10"/>
  <c r="C203" i="10"/>
  <c r="H201" i="9"/>
  <c r="F201" i="9"/>
  <c r="C202" i="9"/>
  <c r="E201" i="9"/>
  <c r="H202" i="8"/>
  <c r="F202" i="8"/>
  <c r="E202" i="8"/>
  <c r="C203" i="8"/>
  <c r="H201" i="7"/>
  <c r="F201" i="7"/>
  <c r="E201" i="7"/>
  <c r="C202" i="7"/>
  <c r="F201" i="6"/>
  <c r="E201" i="6"/>
  <c r="C202" i="6"/>
  <c r="H201" i="6"/>
  <c r="F202" i="5"/>
  <c r="E202" i="5"/>
  <c r="C203" i="5"/>
  <c r="H202" i="5"/>
  <c r="E203" i="4"/>
  <c r="C204" i="4"/>
  <c r="H203" i="4"/>
  <c r="F203" i="4"/>
  <c r="F202" i="3"/>
  <c r="E202" i="3"/>
  <c r="C203" i="3"/>
  <c r="H202" i="3"/>
  <c r="C204" i="2"/>
  <c r="H203" i="2"/>
  <c r="F203" i="2"/>
  <c r="E203" i="2"/>
  <c r="E202" i="18"/>
  <c r="C203" i="18"/>
  <c r="H202" i="18"/>
  <c r="D199" i="18"/>
  <c r="B200" i="18"/>
  <c r="D199" i="19"/>
  <c r="B200" i="19"/>
  <c r="H203" i="19"/>
  <c r="G203" i="19"/>
  <c r="F203" i="19"/>
  <c r="E203" i="19"/>
  <c r="C204" i="19"/>
  <c r="F202" i="17"/>
  <c r="E202" i="17"/>
  <c r="C203" i="17"/>
  <c r="C203" i="15" l="1"/>
  <c r="B202" i="14"/>
  <c r="D201" i="14"/>
  <c r="C204" i="14"/>
  <c r="C204" i="13"/>
  <c r="C203" i="12"/>
  <c r="D201" i="12"/>
  <c r="B202" i="12"/>
  <c r="C204" i="11"/>
  <c r="H203" i="10"/>
  <c r="F203" i="10"/>
  <c r="E203" i="10"/>
  <c r="C204" i="10"/>
  <c r="H202" i="9"/>
  <c r="F202" i="9"/>
  <c r="C203" i="9"/>
  <c r="E202" i="9"/>
  <c r="H203" i="8"/>
  <c r="F203" i="8"/>
  <c r="E203" i="8"/>
  <c r="C204" i="8"/>
  <c r="H202" i="7"/>
  <c r="F202" i="7"/>
  <c r="E202" i="7"/>
  <c r="C203" i="7"/>
  <c r="F202" i="6"/>
  <c r="E202" i="6"/>
  <c r="C203" i="6"/>
  <c r="H202" i="6"/>
  <c r="H203" i="5"/>
  <c r="F203" i="5"/>
  <c r="E203" i="5"/>
  <c r="C204" i="5"/>
  <c r="H204" i="4"/>
  <c r="F204" i="4"/>
  <c r="E204" i="4"/>
  <c r="C205" i="4"/>
  <c r="H203" i="3"/>
  <c r="F203" i="3"/>
  <c r="E203" i="3"/>
  <c r="C204" i="3"/>
  <c r="H204" i="2"/>
  <c r="E204" i="2"/>
  <c r="C205" i="2"/>
  <c r="F204" i="2"/>
  <c r="D200" i="18"/>
  <c r="B201" i="18"/>
  <c r="H203" i="18"/>
  <c r="E203" i="18"/>
  <c r="C204" i="18"/>
  <c r="D200" i="19"/>
  <c r="B201" i="19"/>
  <c r="H204" i="19"/>
  <c r="G204" i="19"/>
  <c r="F204" i="19"/>
  <c r="E204" i="19"/>
  <c r="C205" i="19"/>
  <c r="F203" i="17"/>
  <c r="E203" i="17"/>
  <c r="C204" i="17"/>
  <c r="C204" i="15" l="1"/>
  <c r="C205" i="14"/>
  <c r="B203" i="14"/>
  <c r="D202" i="14"/>
  <c r="C205" i="13"/>
  <c r="C204" i="12"/>
  <c r="D202" i="12"/>
  <c r="B203" i="12"/>
  <c r="C205" i="11"/>
  <c r="H204" i="10"/>
  <c r="F204" i="10"/>
  <c r="E204" i="10"/>
  <c r="C205" i="10"/>
  <c r="H203" i="9"/>
  <c r="F203" i="9"/>
  <c r="C204" i="9"/>
  <c r="E203" i="9"/>
  <c r="H204" i="8"/>
  <c r="F204" i="8"/>
  <c r="E204" i="8"/>
  <c r="C205" i="8"/>
  <c r="H203" i="7"/>
  <c r="F203" i="7"/>
  <c r="E203" i="7"/>
  <c r="C204" i="7"/>
  <c r="F203" i="6"/>
  <c r="E203" i="6"/>
  <c r="C204" i="6"/>
  <c r="H203" i="6"/>
  <c r="H204" i="5"/>
  <c r="F204" i="5"/>
  <c r="E204" i="5"/>
  <c r="C205" i="5"/>
  <c r="F205" i="4"/>
  <c r="E205" i="4"/>
  <c r="C206" i="4"/>
  <c r="H205" i="4"/>
  <c r="H204" i="3"/>
  <c r="F204" i="3"/>
  <c r="E204" i="3"/>
  <c r="C205" i="3"/>
  <c r="F205" i="2"/>
  <c r="H205" i="2"/>
  <c r="E205" i="2"/>
  <c r="C206" i="2"/>
  <c r="H204" i="18"/>
  <c r="E204" i="18"/>
  <c r="C205" i="18"/>
  <c r="D201" i="18"/>
  <c r="B202" i="18"/>
  <c r="C206" i="19"/>
  <c r="H205" i="19"/>
  <c r="G205" i="19"/>
  <c r="F205" i="19"/>
  <c r="E205" i="19"/>
  <c r="D201" i="19"/>
  <c r="B202" i="19"/>
  <c r="F204" i="17"/>
  <c r="E204" i="17"/>
  <c r="C205" i="17"/>
  <c r="C205" i="15" l="1"/>
  <c r="C206" i="14"/>
  <c r="B204" i="14"/>
  <c r="D203" i="14"/>
  <c r="C206" i="13"/>
  <c r="C205" i="12"/>
  <c r="D203" i="12"/>
  <c r="B204" i="12"/>
  <c r="C206" i="11"/>
  <c r="H205" i="10"/>
  <c r="F205" i="10"/>
  <c r="E205" i="10"/>
  <c r="C206" i="10"/>
  <c r="H204" i="9"/>
  <c r="F204" i="9"/>
  <c r="C205" i="9"/>
  <c r="E204" i="9"/>
  <c r="H205" i="8"/>
  <c r="F205" i="8"/>
  <c r="E205" i="8"/>
  <c r="C206" i="8"/>
  <c r="H204" i="7"/>
  <c r="F204" i="7"/>
  <c r="E204" i="7"/>
  <c r="C205" i="7"/>
  <c r="F204" i="6"/>
  <c r="E204" i="6"/>
  <c r="C205" i="6"/>
  <c r="H204" i="6"/>
  <c r="C206" i="5"/>
  <c r="H205" i="5"/>
  <c r="F205" i="5"/>
  <c r="E205" i="5"/>
  <c r="C207" i="4"/>
  <c r="H206" i="4"/>
  <c r="F206" i="4"/>
  <c r="E206" i="4"/>
  <c r="C206" i="3"/>
  <c r="H205" i="3"/>
  <c r="F205" i="3"/>
  <c r="E205" i="3"/>
  <c r="C207" i="2"/>
  <c r="H206" i="2"/>
  <c r="E206" i="2"/>
  <c r="F206" i="2"/>
  <c r="D202" i="18"/>
  <c r="B203" i="18"/>
  <c r="C206" i="18"/>
  <c r="H205" i="18"/>
  <c r="E205" i="18"/>
  <c r="D202" i="19"/>
  <c r="B203" i="19"/>
  <c r="C207" i="19"/>
  <c r="H206" i="19"/>
  <c r="G206" i="19"/>
  <c r="F206" i="19"/>
  <c r="E206" i="19"/>
  <c r="F205" i="17"/>
  <c r="E205" i="17"/>
  <c r="C206" i="17"/>
  <c r="C206" i="15" l="1"/>
  <c r="B205" i="14"/>
  <c r="D204" i="14"/>
  <c r="C207" i="14"/>
  <c r="C207" i="13"/>
  <c r="C206" i="12"/>
  <c r="D204" i="12"/>
  <c r="B205" i="12"/>
  <c r="C207" i="11"/>
  <c r="H206" i="10"/>
  <c r="F206" i="10"/>
  <c r="E206" i="10"/>
  <c r="C207" i="10"/>
  <c r="H205" i="9"/>
  <c r="F205" i="9"/>
  <c r="C206" i="9"/>
  <c r="E205" i="9"/>
  <c r="H206" i="8"/>
  <c r="F206" i="8"/>
  <c r="E206" i="8"/>
  <c r="C207" i="8"/>
  <c r="H205" i="7"/>
  <c r="F205" i="7"/>
  <c r="E205" i="7"/>
  <c r="C206" i="7"/>
  <c r="F205" i="6"/>
  <c r="E205" i="6"/>
  <c r="C206" i="6"/>
  <c r="H205" i="6"/>
  <c r="C207" i="5"/>
  <c r="H206" i="5"/>
  <c r="F206" i="5"/>
  <c r="E206" i="5"/>
  <c r="H207" i="4"/>
  <c r="F207" i="4"/>
  <c r="C208" i="4"/>
  <c r="E207" i="4"/>
  <c r="C207" i="3"/>
  <c r="H206" i="3"/>
  <c r="F206" i="3"/>
  <c r="E206" i="3"/>
  <c r="H207" i="2"/>
  <c r="E207" i="2"/>
  <c r="F207" i="2"/>
  <c r="C208" i="2"/>
  <c r="C207" i="18"/>
  <c r="H206" i="18"/>
  <c r="E206" i="18"/>
  <c r="D203" i="18"/>
  <c r="B204" i="18"/>
  <c r="D203" i="19"/>
  <c r="B204" i="19"/>
  <c r="C208" i="19"/>
  <c r="H207" i="19"/>
  <c r="G207" i="19"/>
  <c r="F207" i="19"/>
  <c r="E207" i="19"/>
  <c r="F206" i="17"/>
  <c r="E206" i="17"/>
  <c r="C207" i="17"/>
  <c r="C207" i="15" l="1"/>
  <c r="C208" i="14"/>
  <c r="B206" i="14"/>
  <c r="D205" i="14"/>
  <c r="C208" i="13"/>
  <c r="C207" i="12"/>
  <c r="D205" i="12"/>
  <c r="B206" i="12"/>
  <c r="C208" i="11"/>
  <c r="H207" i="10"/>
  <c r="F207" i="10"/>
  <c r="E207" i="10"/>
  <c r="C208" i="10"/>
  <c r="H206" i="9"/>
  <c r="F206" i="9"/>
  <c r="C207" i="9"/>
  <c r="E206" i="9"/>
  <c r="H207" i="8"/>
  <c r="F207" i="8"/>
  <c r="E207" i="8"/>
  <c r="C208" i="8"/>
  <c r="H206" i="7"/>
  <c r="F206" i="7"/>
  <c r="E206" i="7"/>
  <c r="C207" i="7"/>
  <c r="F206" i="6"/>
  <c r="E206" i="6"/>
  <c r="C207" i="6"/>
  <c r="H206" i="6"/>
  <c r="C208" i="5"/>
  <c r="H207" i="5"/>
  <c r="F207" i="5"/>
  <c r="E207" i="5"/>
  <c r="C209" i="4"/>
  <c r="H208" i="4"/>
  <c r="F208" i="4"/>
  <c r="E208" i="4"/>
  <c r="C208" i="3"/>
  <c r="H207" i="3"/>
  <c r="F207" i="3"/>
  <c r="E207" i="3"/>
  <c r="F208" i="2"/>
  <c r="C209" i="2"/>
  <c r="H208" i="2"/>
  <c r="E208" i="2"/>
  <c r="B205" i="18"/>
  <c r="D204" i="18"/>
  <c r="C208" i="18"/>
  <c r="H207" i="18"/>
  <c r="E207" i="18"/>
  <c r="B205" i="19"/>
  <c r="D204" i="19"/>
  <c r="E208" i="19"/>
  <c r="C209" i="19"/>
  <c r="H208" i="19"/>
  <c r="G208" i="19"/>
  <c r="F208" i="19"/>
  <c r="F207" i="17"/>
  <c r="E207" i="17"/>
  <c r="C208" i="17"/>
  <c r="C208" i="15" l="1"/>
  <c r="C209" i="14"/>
  <c r="B207" i="14"/>
  <c r="D206" i="14"/>
  <c r="C209" i="13"/>
  <c r="C208" i="12"/>
  <c r="D206" i="12"/>
  <c r="B207" i="12"/>
  <c r="C209" i="11"/>
  <c r="H208" i="10"/>
  <c r="F208" i="10"/>
  <c r="E208" i="10"/>
  <c r="C209" i="10"/>
  <c r="H207" i="9"/>
  <c r="F207" i="9"/>
  <c r="C208" i="9"/>
  <c r="E207" i="9"/>
  <c r="H208" i="8"/>
  <c r="F208" i="8"/>
  <c r="E208" i="8"/>
  <c r="C209" i="8"/>
  <c r="H207" i="7"/>
  <c r="F207" i="7"/>
  <c r="E207" i="7"/>
  <c r="C208" i="7"/>
  <c r="F207" i="6"/>
  <c r="E207" i="6"/>
  <c r="C208" i="6"/>
  <c r="H207" i="6"/>
  <c r="E208" i="5"/>
  <c r="C209" i="5"/>
  <c r="H208" i="5"/>
  <c r="F208" i="5"/>
  <c r="E209" i="4"/>
  <c r="C210" i="4"/>
  <c r="F209" i="4"/>
  <c r="H209" i="4"/>
  <c r="E208" i="3"/>
  <c r="C209" i="3"/>
  <c r="H208" i="3"/>
  <c r="F208" i="3"/>
  <c r="E209" i="2"/>
  <c r="C210" i="2"/>
  <c r="F209" i="2"/>
  <c r="H209" i="2"/>
  <c r="E208" i="18"/>
  <c r="C209" i="18"/>
  <c r="H208" i="18"/>
  <c r="B206" i="18"/>
  <c r="D205" i="18"/>
  <c r="F209" i="19"/>
  <c r="E209" i="19"/>
  <c r="C210" i="19"/>
  <c r="H209" i="19"/>
  <c r="G209" i="19"/>
  <c r="B206" i="19"/>
  <c r="D205" i="19"/>
  <c r="F208" i="17"/>
  <c r="E208" i="17"/>
  <c r="C209" i="17"/>
  <c r="C209" i="15" l="1"/>
  <c r="C210" i="14"/>
  <c r="B208" i="14"/>
  <c r="D207" i="14"/>
  <c r="C210" i="13"/>
  <c r="C209" i="12"/>
  <c r="D207" i="12"/>
  <c r="B208" i="12"/>
  <c r="C210" i="11"/>
  <c r="H209" i="10"/>
  <c r="F209" i="10"/>
  <c r="E209" i="10"/>
  <c r="C210" i="10"/>
  <c r="H208" i="9"/>
  <c r="F208" i="9"/>
  <c r="C209" i="9"/>
  <c r="E208" i="9"/>
  <c r="H209" i="8"/>
  <c r="F209" i="8"/>
  <c r="E209" i="8"/>
  <c r="C210" i="8"/>
  <c r="H208" i="7"/>
  <c r="F208" i="7"/>
  <c r="E208" i="7"/>
  <c r="C209" i="7"/>
  <c r="F208" i="6"/>
  <c r="E208" i="6"/>
  <c r="C209" i="6"/>
  <c r="H208" i="6"/>
  <c r="F209" i="5"/>
  <c r="E209" i="5"/>
  <c r="C210" i="5"/>
  <c r="H209" i="5"/>
  <c r="F210" i="4"/>
  <c r="C211" i="4"/>
  <c r="H210" i="4"/>
  <c r="E210" i="4"/>
  <c r="F209" i="3"/>
  <c r="E209" i="3"/>
  <c r="C210" i="3"/>
  <c r="H209" i="3"/>
  <c r="F210" i="2"/>
  <c r="H210" i="2"/>
  <c r="C211" i="2"/>
  <c r="E210" i="2"/>
  <c r="B207" i="18"/>
  <c r="D206" i="18"/>
  <c r="E209" i="18"/>
  <c r="C210" i="18"/>
  <c r="H209" i="18"/>
  <c r="B207" i="19"/>
  <c r="D206" i="19"/>
  <c r="G210" i="19"/>
  <c r="F210" i="19"/>
  <c r="E210" i="19"/>
  <c r="C211" i="19"/>
  <c r="H210" i="19"/>
  <c r="F209" i="17"/>
  <c r="E209" i="17"/>
  <c r="C210" i="17"/>
  <c r="C210" i="15" l="1"/>
  <c r="B209" i="14"/>
  <c r="D208" i="14"/>
  <c r="C211" i="14"/>
  <c r="C211" i="13"/>
  <c r="C210" i="12"/>
  <c r="D208" i="12"/>
  <c r="B209" i="12"/>
  <c r="C211" i="11"/>
  <c r="H210" i="10"/>
  <c r="F210" i="10"/>
  <c r="E210" i="10"/>
  <c r="C211" i="10"/>
  <c r="H209" i="9"/>
  <c r="F209" i="9"/>
  <c r="C210" i="9"/>
  <c r="E209" i="9"/>
  <c r="H210" i="8"/>
  <c r="F210" i="8"/>
  <c r="E210" i="8"/>
  <c r="C211" i="8"/>
  <c r="H209" i="7"/>
  <c r="F209" i="7"/>
  <c r="E209" i="7"/>
  <c r="C210" i="7"/>
  <c r="F209" i="6"/>
  <c r="E209" i="6"/>
  <c r="C210" i="6"/>
  <c r="H209" i="6"/>
  <c r="F210" i="5"/>
  <c r="E210" i="5"/>
  <c r="C211" i="5"/>
  <c r="H210" i="5"/>
  <c r="E211" i="4"/>
  <c r="H211" i="4"/>
  <c r="F211" i="4"/>
  <c r="F210" i="3"/>
  <c r="E210" i="3"/>
  <c r="C211" i="3"/>
  <c r="H210" i="3"/>
  <c r="E211" i="2"/>
  <c r="H211" i="2"/>
  <c r="F211" i="2"/>
  <c r="E210" i="18"/>
  <c r="C211" i="18"/>
  <c r="H210" i="18"/>
  <c r="D207" i="18"/>
  <c r="B208" i="18"/>
  <c r="H211" i="19"/>
  <c r="F3" i="19" s="1"/>
  <c r="G211" i="19"/>
  <c r="F211" i="19"/>
  <c r="F5" i="19" s="1"/>
  <c r="E211" i="19"/>
  <c r="D207" i="19"/>
  <c r="B208" i="19"/>
  <c r="F210" i="17"/>
  <c r="E210" i="17"/>
  <c r="C211" i="17"/>
  <c r="C211" i="15" l="1"/>
  <c r="B210" i="14"/>
  <c r="D209" i="14"/>
  <c r="C211" i="12"/>
  <c r="D209" i="12"/>
  <c r="B210" i="12"/>
  <c r="H211" i="10"/>
  <c r="F211" i="10"/>
  <c r="E211" i="10"/>
  <c r="H210" i="9"/>
  <c r="F210" i="9"/>
  <c r="C211" i="9"/>
  <c r="E210" i="9"/>
  <c r="H211" i="8"/>
  <c r="F211" i="8"/>
  <c r="E211" i="8"/>
  <c r="H210" i="7"/>
  <c r="F210" i="7"/>
  <c r="E210" i="7"/>
  <c r="C211" i="7"/>
  <c r="F210" i="6"/>
  <c r="E210" i="6"/>
  <c r="C211" i="6"/>
  <c r="H210" i="6"/>
  <c r="H211" i="5"/>
  <c r="F211" i="5"/>
  <c r="E211" i="5"/>
  <c r="H211" i="3"/>
  <c r="F211" i="3"/>
  <c r="E211" i="3"/>
  <c r="H211" i="18"/>
  <c r="E211" i="18"/>
  <c r="D208" i="18"/>
  <c r="B209" i="18"/>
  <c r="D208" i="19"/>
  <c r="B209" i="19"/>
  <c r="F211" i="17"/>
  <c r="E211" i="17"/>
  <c r="B211" i="14" l="1"/>
  <c r="D211" i="14" s="1"/>
  <c r="D210" i="14"/>
  <c r="D210" i="12"/>
  <c r="B211" i="12"/>
  <c r="D211" i="12" s="1"/>
  <c r="H211" i="9"/>
  <c r="F211" i="9"/>
  <c r="E211" i="9"/>
  <c r="H211" i="7"/>
  <c r="F211" i="7"/>
  <c r="E211" i="7"/>
  <c r="F211" i="6"/>
  <c r="E211" i="6"/>
  <c r="H211" i="6"/>
  <c r="D209" i="18"/>
  <c r="B210" i="18"/>
  <c r="D209" i="19"/>
  <c r="B210" i="19"/>
  <c r="D210" i="18" l="1"/>
  <c r="B211" i="18"/>
  <c r="D211" i="18" s="1"/>
  <c r="D210" i="19"/>
  <c r="B211" i="19"/>
  <c r="D211" i="19" s="1"/>
  <c r="C4" i="17" l="1"/>
  <c r="F2" i="17"/>
  <c r="B11" i="17" s="1"/>
  <c r="D11" i="17" l="1"/>
  <c r="B12" i="17"/>
  <c r="B11" i="13"/>
  <c r="C7" i="12"/>
  <c r="B11" i="11"/>
  <c r="C7" i="15" l="1"/>
  <c r="B11" i="15"/>
  <c r="D11" i="13"/>
  <c r="B12" i="13"/>
  <c r="I11" i="12"/>
  <c r="G11" i="12" s="1"/>
  <c r="H11" i="12" s="1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H135" i="12"/>
  <c r="F135" i="12"/>
  <c r="E135" i="12"/>
  <c r="I134" i="12"/>
  <c r="H136" i="12"/>
  <c r="F136" i="12"/>
  <c r="E136" i="12"/>
  <c r="H137" i="12"/>
  <c r="F137" i="12"/>
  <c r="E137" i="12"/>
  <c r="I135" i="12"/>
  <c r="I136" i="12"/>
  <c r="H138" i="12"/>
  <c r="F138" i="12"/>
  <c r="E138" i="12"/>
  <c r="I137" i="12"/>
  <c r="H139" i="12"/>
  <c r="F139" i="12"/>
  <c r="E139" i="12"/>
  <c r="I138" i="12"/>
  <c r="H140" i="12"/>
  <c r="F140" i="12"/>
  <c r="E140" i="12"/>
  <c r="H141" i="12"/>
  <c r="F141" i="12"/>
  <c r="E141" i="12"/>
  <c r="I139" i="12"/>
  <c r="I140" i="12"/>
  <c r="H142" i="12"/>
  <c r="F142" i="12"/>
  <c r="E142" i="12"/>
  <c r="I141" i="12"/>
  <c r="H143" i="12"/>
  <c r="F143" i="12"/>
  <c r="E143" i="12"/>
  <c r="H144" i="12"/>
  <c r="F144" i="12"/>
  <c r="E144" i="12"/>
  <c r="I142" i="12"/>
  <c r="I143" i="12"/>
  <c r="H145" i="12"/>
  <c r="E145" i="12"/>
  <c r="F145" i="12"/>
  <c r="I144" i="12"/>
  <c r="H146" i="12"/>
  <c r="F146" i="12"/>
  <c r="E146" i="12"/>
  <c r="I145" i="12"/>
  <c r="H147" i="12"/>
  <c r="F147" i="12"/>
  <c r="E147" i="12"/>
  <c r="H148" i="12"/>
  <c r="F148" i="12"/>
  <c r="I146" i="12"/>
  <c r="E148" i="12"/>
  <c r="I147" i="12"/>
  <c r="H149" i="12"/>
  <c r="F149" i="12"/>
  <c r="E149" i="12"/>
  <c r="I148" i="12"/>
  <c r="H150" i="12"/>
  <c r="F150" i="12"/>
  <c r="E150" i="12"/>
  <c r="I149" i="12"/>
  <c r="H151" i="12"/>
  <c r="F151" i="12"/>
  <c r="E151" i="12"/>
  <c r="H152" i="12"/>
  <c r="E152" i="12"/>
  <c r="F152" i="12"/>
  <c r="I150" i="12"/>
  <c r="H153" i="12"/>
  <c r="F153" i="12"/>
  <c r="E153" i="12"/>
  <c r="I151" i="12"/>
  <c r="I152" i="12"/>
  <c r="H154" i="12"/>
  <c r="F154" i="12"/>
  <c r="E154" i="12"/>
  <c r="H155" i="12"/>
  <c r="F155" i="12"/>
  <c r="E155" i="12"/>
  <c r="I153" i="12"/>
  <c r="H156" i="12"/>
  <c r="F156" i="12"/>
  <c r="E156" i="12"/>
  <c r="I154" i="12"/>
  <c r="I155" i="12"/>
  <c r="H157" i="12"/>
  <c r="E157" i="12"/>
  <c r="F157" i="12"/>
  <c r="H158" i="12"/>
  <c r="E158" i="12"/>
  <c r="F158" i="12"/>
  <c r="I156" i="12"/>
  <c r="H159" i="12"/>
  <c r="E159" i="12"/>
  <c r="F159" i="12"/>
  <c r="I157" i="12"/>
  <c r="H160" i="12"/>
  <c r="E160" i="12"/>
  <c r="F160" i="12"/>
  <c r="I158" i="12"/>
  <c r="H161" i="12"/>
  <c r="E161" i="12"/>
  <c r="F161" i="12"/>
  <c r="I159" i="12"/>
  <c r="I160" i="12"/>
  <c r="H162" i="12"/>
  <c r="F162" i="12"/>
  <c r="E162" i="12"/>
  <c r="H163" i="12"/>
  <c r="E163" i="12"/>
  <c r="F163" i="12"/>
  <c r="I161" i="12"/>
  <c r="H164" i="12"/>
  <c r="F164" i="12"/>
  <c r="E164" i="12"/>
  <c r="I162" i="12"/>
  <c r="H165" i="12"/>
  <c r="F165" i="12"/>
  <c r="E165" i="12"/>
  <c r="I163" i="12"/>
  <c r="H166" i="12"/>
  <c r="F166" i="12"/>
  <c r="E166" i="12"/>
  <c r="I164" i="12"/>
  <c r="H167" i="12"/>
  <c r="E167" i="12"/>
  <c r="F167" i="12"/>
  <c r="I165" i="12"/>
  <c r="H168" i="12"/>
  <c r="F168" i="12"/>
  <c r="E168" i="12"/>
  <c r="I166" i="12"/>
  <c r="H169" i="12"/>
  <c r="I167" i="12"/>
  <c r="F169" i="12"/>
  <c r="E169" i="12"/>
  <c r="I168" i="12"/>
  <c r="H170" i="12"/>
  <c r="F170" i="12"/>
  <c r="E170" i="12"/>
  <c r="I169" i="12"/>
  <c r="H171" i="12"/>
  <c r="F171" i="12"/>
  <c r="E171" i="12"/>
  <c r="H172" i="12"/>
  <c r="F172" i="12"/>
  <c r="E172" i="12"/>
  <c r="I170" i="12"/>
  <c r="H173" i="12"/>
  <c r="E173" i="12"/>
  <c r="F173" i="12"/>
  <c r="I171" i="12"/>
  <c r="I172" i="12"/>
  <c r="H174" i="12"/>
  <c r="F174" i="12"/>
  <c r="E174" i="12"/>
  <c r="I173" i="12"/>
  <c r="H175" i="12"/>
  <c r="F175" i="12"/>
  <c r="E175" i="12"/>
  <c r="I174" i="12"/>
  <c r="H176" i="12"/>
  <c r="E176" i="12"/>
  <c r="F176" i="12"/>
  <c r="I175" i="12"/>
  <c r="H177" i="12"/>
  <c r="F177" i="12"/>
  <c r="E177" i="12"/>
  <c r="I176" i="12"/>
  <c r="H178" i="12"/>
  <c r="F178" i="12"/>
  <c r="E178" i="12"/>
  <c r="I177" i="12"/>
  <c r="H179" i="12"/>
  <c r="F179" i="12"/>
  <c r="E179" i="12"/>
  <c r="I178" i="12"/>
  <c r="H180" i="12"/>
  <c r="E180" i="12"/>
  <c r="F180" i="12"/>
  <c r="I179" i="12"/>
  <c r="H181" i="12"/>
  <c r="F181" i="12"/>
  <c r="E181" i="12"/>
  <c r="I180" i="12"/>
  <c r="H182" i="12"/>
  <c r="F182" i="12"/>
  <c r="E182" i="12"/>
  <c r="I181" i="12"/>
  <c r="H183" i="12"/>
  <c r="F183" i="12"/>
  <c r="E183" i="12"/>
  <c r="I182" i="12"/>
  <c r="H184" i="12"/>
  <c r="E184" i="12"/>
  <c r="F184" i="12"/>
  <c r="I183" i="12"/>
  <c r="H185" i="12"/>
  <c r="E185" i="12"/>
  <c r="F185" i="12"/>
  <c r="I184" i="12"/>
  <c r="H186" i="12"/>
  <c r="F186" i="12"/>
  <c r="E186" i="12"/>
  <c r="I185" i="12"/>
  <c r="H187" i="12"/>
  <c r="F187" i="12"/>
  <c r="E187" i="12"/>
  <c r="H188" i="12"/>
  <c r="I186" i="12"/>
  <c r="F188" i="12"/>
  <c r="E188" i="12"/>
  <c r="I187" i="12"/>
  <c r="H189" i="12"/>
  <c r="F189" i="12"/>
  <c r="E189" i="12"/>
  <c r="I188" i="12"/>
  <c r="H190" i="12"/>
  <c r="F190" i="12"/>
  <c r="E190" i="12"/>
  <c r="I189" i="12"/>
  <c r="H191" i="12"/>
  <c r="E191" i="12"/>
  <c r="F191" i="12"/>
  <c r="I190" i="12"/>
  <c r="H192" i="12"/>
  <c r="F192" i="12"/>
  <c r="E192" i="12"/>
  <c r="I191" i="12"/>
  <c r="H193" i="12"/>
  <c r="E193" i="12"/>
  <c r="F193" i="12"/>
  <c r="I192" i="12"/>
  <c r="H194" i="12"/>
  <c r="F194" i="12"/>
  <c r="E194" i="12"/>
  <c r="I193" i="12"/>
  <c r="H195" i="12"/>
  <c r="F195" i="12"/>
  <c r="E195" i="12"/>
  <c r="I194" i="12"/>
  <c r="H196" i="12"/>
  <c r="F196" i="12"/>
  <c r="E196" i="12"/>
  <c r="I195" i="12"/>
  <c r="H197" i="12"/>
  <c r="F197" i="12"/>
  <c r="E197" i="12"/>
  <c r="I196" i="12"/>
  <c r="H198" i="12"/>
  <c r="F198" i="12"/>
  <c r="E198" i="12"/>
  <c r="I197" i="12"/>
  <c r="H199" i="12"/>
  <c r="F199" i="12"/>
  <c r="E199" i="12"/>
  <c r="I198" i="12"/>
  <c r="H200" i="12"/>
  <c r="F200" i="12"/>
  <c r="E200" i="12"/>
  <c r="I199" i="12"/>
  <c r="H201" i="12"/>
  <c r="F201" i="12"/>
  <c r="E201" i="12"/>
  <c r="I200" i="12"/>
  <c r="H202" i="12"/>
  <c r="F202" i="12"/>
  <c r="E202" i="12"/>
  <c r="I201" i="12"/>
  <c r="H203" i="12"/>
  <c r="F203" i="12"/>
  <c r="E203" i="12"/>
  <c r="I202" i="12"/>
  <c r="H204" i="12"/>
  <c r="F204" i="12"/>
  <c r="E204" i="12"/>
  <c r="I203" i="12"/>
  <c r="E205" i="12"/>
  <c r="H205" i="12"/>
  <c r="F205" i="12"/>
  <c r="I204" i="12"/>
  <c r="H206" i="12"/>
  <c r="F206" i="12"/>
  <c r="E206" i="12"/>
  <c r="I205" i="12"/>
  <c r="H207" i="12"/>
  <c r="F207" i="12"/>
  <c r="E207" i="12"/>
  <c r="I206" i="12"/>
  <c r="H208" i="12"/>
  <c r="F208" i="12"/>
  <c r="E208" i="12"/>
  <c r="I207" i="12"/>
  <c r="H209" i="12"/>
  <c r="E209" i="12"/>
  <c r="F209" i="12"/>
  <c r="I208" i="12"/>
  <c r="H210" i="12"/>
  <c r="E210" i="12"/>
  <c r="F210" i="12"/>
  <c r="I209" i="12"/>
  <c r="H211" i="12"/>
  <c r="E211" i="12"/>
  <c r="F211" i="12"/>
  <c r="I211" i="12"/>
  <c r="I210" i="12"/>
  <c r="D11" i="11"/>
  <c r="B12" i="11"/>
  <c r="G11" i="17"/>
  <c r="E12" i="17" s="1"/>
  <c r="D12" i="17"/>
  <c r="B13" i="17"/>
  <c r="F12" i="17"/>
  <c r="C7" i="14"/>
  <c r="C7" i="13"/>
  <c r="C7" i="11"/>
  <c r="B12" i="15" l="1"/>
  <c r="D11" i="15"/>
  <c r="I11" i="15" s="1"/>
  <c r="H196" i="15"/>
  <c r="F196" i="15"/>
  <c r="E196" i="15"/>
  <c r="H197" i="15"/>
  <c r="F197" i="15"/>
  <c r="E197" i="15"/>
  <c r="H198" i="15"/>
  <c r="F198" i="15"/>
  <c r="E198" i="15"/>
  <c r="H199" i="15"/>
  <c r="F199" i="15"/>
  <c r="E199" i="15"/>
  <c r="H200" i="15"/>
  <c r="F200" i="15"/>
  <c r="E200" i="15"/>
  <c r="H201" i="15"/>
  <c r="F201" i="15"/>
  <c r="E201" i="15"/>
  <c r="H202" i="15"/>
  <c r="F202" i="15"/>
  <c r="E202" i="15"/>
  <c r="H203" i="15"/>
  <c r="F203" i="15"/>
  <c r="E203" i="15"/>
  <c r="H204" i="15"/>
  <c r="F204" i="15"/>
  <c r="E204" i="15"/>
  <c r="H205" i="15"/>
  <c r="F205" i="15"/>
  <c r="E205" i="15"/>
  <c r="H206" i="15"/>
  <c r="F206" i="15"/>
  <c r="E206" i="15"/>
  <c r="H207" i="15"/>
  <c r="F207" i="15"/>
  <c r="E207" i="15"/>
  <c r="H208" i="15"/>
  <c r="F208" i="15"/>
  <c r="E208" i="15"/>
  <c r="H209" i="15"/>
  <c r="F209" i="15"/>
  <c r="E209" i="15"/>
  <c r="F210" i="15"/>
  <c r="H210" i="15"/>
  <c r="E210" i="15"/>
  <c r="E211" i="15"/>
  <c r="H211" i="15"/>
  <c r="F211" i="15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F165" i="14"/>
  <c r="E165" i="14"/>
  <c r="H165" i="14"/>
  <c r="I163" i="14"/>
  <c r="F166" i="14"/>
  <c r="E166" i="14"/>
  <c r="H166" i="14"/>
  <c r="F167" i="14"/>
  <c r="E167" i="14"/>
  <c r="H167" i="14"/>
  <c r="I164" i="14"/>
  <c r="I165" i="14"/>
  <c r="F168" i="14"/>
  <c r="E168" i="14"/>
  <c r="H168" i="14"/>
  <c r="H169" i="14"/>
  <c r="I166" i="14"/>
  <c r="F169" i="14"/>
  <c r="E169" i="14"/>
  <c r="F170" i="14"/>
  <c r="E170" i="14"/>
  <c r="I167" i="14"/>
  <c r="H170" i="14"/>
  <c r="I168" i="14"/>
  <c r="H171" i="14"/>
  <c r="F171" i="14"/>
  <c r="E171" i="14"/>
  <c r="F172" i="14"/>
  <c r="E172" i="14"/>
  <c r="H172" i="14"/>
  <c r="I169" i="14"/>
  <c r="I170" i="14"/>
  <c r="F173" i="14"/>
  <c r="E173" i="14"/>
  <c r="H173" i="14"/>
  <c r="I171" i="14"/>
  <c r="F174" i="14"/>
  <c r="E174" i="14"/>
  <c r="H174" i="14"/>
  <c r="F175" i="14"/>
  <c r="I172" i="14"/>
  <c r="E175" i="14"/>
  <c r="H175" i="14"/>
  <c r="I173" i="14"/>
  <c r="H176" i="14"/>
  <c r="F176" i="14"/>
  <c r="E176" i="14"/>
  <c r="F177" i="14"/>
  <c r="E177" i="14"/>
  <c r="I174" i="14"/>
  <c r="H177" i="14"/>
  <c r="I175" i="14"/>
  <c r="F178" i="14"/>
  <c r="E178" i="14"/>
  <c r="H178" i="14"/>
  <c r="I176" i="14"/>
  <c r="F179" i="14"/>
  <c r="E179" i="14"/>
  <c r="H179" i="14"/>
  <c r="F180" i="14"/>
  <c r="I177" i="14"/>
  <c r="E180" i="14"/>
  <c r="H180" i="14"/>
  <c r="I178" i="14"/>
  <c r="H181" i="14"/>
  <c r="F181" i="14"/>
  <c r="E181" i="14"/>
  <c r="F182" i="14"/>
  <c r="E182" i="14"/>
  <c r="H182" i="14"/>
  <c r="I179" i="14"/>
  <c r="I180" i="14"/>
  <c r="F183" i="14"/>
  <c r="E183" i="14"/>
  <c r="H183" i="14"/>
  <c r="F184" i="14"/>
  <c r="E184" i="14"/>
  <c r="I181" i="14"/>
  <c r="H184" i="14"/>
  <c r="I182" i="14"/>
  <c r="F185" i="14"/>
  <c r="E185" i="14"/>
  <c r="H185" i="14"/>
  <c r="I183" i="14"/>
  <c r="H186" i="14"/>
  <c r="F186" i="14"/>
  <c r="E186" i="14"/>
  <c r="F187" i="14"/>
  <c r="E187" i="14"/>
  <c r="I184" i="14"/>
  <c r="H187" i="14"/>
  <c r="I185" i="14"/>
  <c r="H188" i="14"/>
  <c r="F188" i="14"/>
  <c r="E188" i="14"/>
  <c r="I186" i="14"/>
  <c r="F189" i="14"/>
  <c r="E189" i="14"/>
  <c r="H189" i="14"/>
  <c r="I187" i="14"/>
  <c r="F190" i="14"/>
  <c r="H190" i="14"/>
  <c r="E190" i="14"/>
  <c r="F191" i="14"/>
  <c r="E191" i="14"/>
  <c r="I188" i="14"/>
  <c r="H191" i="14"/>
  <c r="I189" i="14"/>
  <c r="F192" i="14"/>
  <c r="H192" i="14"/>
  <c r="E192" i="14"/>
  <c r="F193" i="14"/>
  <c r="E193" i="14"/>
  <c r="I190" i="14"/>
  <c r="H193" i="14"/>
  <c r="I191" i="14"/>
  <c r="H194" i="14"/>
  <c r="F194" i="14"/>
  <c r="E194" i="14"/>
  <c r="F195" i="14"/>
  <c r="E195" i="14"/>
  <c r="I192" i="14"/>
  <c r="H195" i="14"/>
  <c r="I193" i="14"/>
  <c r="F196" i="14"/>
  <c r="E196" i="14"/>
  <c r="H196" i="14"/>
  <c r="F197" i="14"/>
  <c r="E197" i="14"/>
  <c r="H197" i="14"/>
  <c r="I194" i="14"/>
  <c r="I195" i="14"/>
  <c r="F198" i="14"/>
  <c r="E198" i="14"/>
  <c r="H198" i="14"/>
  <c r="I196" i="14"/>
  <c r="F199" i="14"/>
  <c r="E199" i="14"/>
  <c r="H199" i="14"/>
  <c r="F200" i="14"/>
  <c r="E200" i="14"/>
  <c r="I197" i="14"/>
  <c r="H200" i="14"/>
  <c r="I198" i="14"/>
  <c r="F201" i="14"/>
  <c r="E201" i="14"/>
  <c r="H201" i="14"/>
  <c r="F202" i="14"/>
  <c r="E202" i="14"/>
  <c r="I199" i="14"/>
  <c r="H202" i="14"/>
  <c r="I200" i="14"/>
  <c r="F203" i="14"/>
  <c r="E203" i="14"/>
  <c r="H203" i="14"/>
  <c r="F204" i="14"/>
  <c r="E204" i="14"/>
  <c r="H204" i="14"/>
  <c r="I201" i="14"/>
  <c r="I202" i="14"/>
  <c r="F205" i="14"/>
  <c r="E205" i="14"/>
  <c r="H205" i="14"/>
  <c r="I203" i="14"/>
  <c r="F206" i="14"/>
  <c r="H206" i="14"/>
  <c r="E206" i="14"/>
  <c r="F207" i="14"/>
  <c r="E207" i="14"/>
  <c r="H207" i="14"/>
  <c r="I204" i="14"/>
  <c r="I205" i="14"/>
  <c r="F208" i="14"/>
  <c r="E208" i="14"/>
  <c r="H208" i="14"/>
  <c r="F209" i="14"/>
  <c r="E209" i="14"/>
  <c r="H209" i="14"/>
  <c r="I206" i="14"/>
  <c r="H210" i="14"/>
  <c r="I207" i="14"/>
  <c r="F210" i="14"/>
  <c r="E210" i="14"/>
  <c r="F211" i="14"/>
  <c r="I208" i="14"/>
  <c r="E211" i="14"/>
  <c r="H211" i="14"/>
  <c r="I209" i="14"/>
  <c r="I210" i="14"/>
  <c r="I211" i="14"/>
  <c r="F165" i="13"/>
  <c r="E165" i="13"/>
  <c r="H165" i="13"/>
  <c r="F166" i="13"/>
  <c r="E166" i="13"/>
  <c r="H166" i="13"/>
  <c r="F167" i="13"/>
  <c r="E167" i="13"/>
  <c r="H167" i="13"/>
  <c r="F168" i="13"/>
  <c r="E168" i="13"/>
  <c r="H168" i="13"/>
  <c r="F169" i="13"/>
  <c r="E169" i="13"/>
  <c r="H169" i="13"/>
  <c r="F170" i="13"/>
  <c r="E170" i="13"/>
  <c r="H170" i="13"/>
  <c r="F171" i="13"/>
  <c r="E171" i="13"/>
  <c r="H171" i="13"/>
  <c r="F172" i="13"/>
  <c r="E172" i="13"/>
  <c r="H172" i="13"/>
  <c r="F173" i="13"/>
  <c r="E173" i="13"/>
  <c r="H173" i="13"/>
  <c r="F174" i="13"/>
  <c r="E174" i="13"/>
  <c r="H174" i="13"/>
  <c r="F175" i="13"/>
  <c r="E175" i="13"/>
  <c r="H175" i="13"/>
  <c r="F176" i="13"/>
  <c r="E176" i="13"/>
  <c r="H176" i="13"/>
  <c r="F177" i="13"/>
  <c r="E177" i="13"/>
  <c r="H177" i="13"/>
  <c r="F178" i="13"/>
  <c r="E178" i="13"/>
  <c r="H178" i="13"/>
  <c r="F179" i="13"/>
  <c r="E179" i="13"/>
  <c r="H179" i="13"/>
  <c r="F180" i="13"/>
  <c r="E180" i="13"/>
  <c r="H180" i="13"/>
  <c r="F181" i="13"/>
  <c r="E181" i="13"/>
  <c r="H181" i="13"/>
  <c r="F182" i="13"/>
  <c r="E182" i="13"/>
  <c r="H182" i="13"/>
  <c r="F183" i="13"/>
  <c r="E183" i="13"/>
  <c r="H183" i="13"/>
  <c r="F184" i="13"/>
  <c r="E184" i="13"/>
  <c r="H184" i="13"/>
  <c r="F185" i="13"/>
  <c r="E185" i="13"/>
  <c r="H185" i="13"/>
  <c r="F186" i="13"/>
  <c r="E186" i="13"/>
  <c r="H186" i="13"/>
  <c r="F187" i="13"/>
  <c r="E187" i="13"/>
  <c r="H187" i="13"/>
  <c r="F188" i="13"/>
  <c r="E188" i="13"/>
  <c r="H188" i="13"/>
  <c r="F189" i="13"/>
  <c r="E189" i="13"/>
  <c r="H189" i="13"/>
  <c r="F190" i="13"/>
  <c r="E190" i="13"/>
  <c r="H190" i="13"/>
  <c r="F191" i="13"/>
  <c r="E191" i="13"/>
  <c r="H191" i="13"/>
  <c r="F192" i="13"/>
  <c r="E192" i="13"/>
  <c r="H192" i="13"/>
  <c r="F193" i="13"/>
  <c r="E193" i="13"/>
  <c r="H193" i="13"/>
  <c r="F194" i="13"/>
  <c r="E194" i="13"/>
  <c r="H194" i="13"/>
  <c r="F195" i="13"/>
  <c r="E195" i="13"/>
  <c r="H195" i="13"/>
  <c r="F196" i="13"/>
  <c r="E196" i="13"/>
  <c r="H196" i="13"/>
  <c r="F197" i="13"/>
  <c r="E197" i="13"/>
  <c r="H197" i="13"/>
  <c r="F198" i="13"/>
  <c r="E198" i="13"/>
  <c r="H198" i="13"/>
  <c r="F199" i="13"/>
  <c r="E199" i="13"/>
  <c r="H199" i="13"/>
  <c r="F200" i="13"/>
  <c r="E200" i="13"/>
  <c r="H200" i="13"/>
  <c r="F201" i="13"/>
  <c r="E201" i="13"/>
  <c r="H201" i="13"/>
  <c r="F202" i="13"/>
  <c r="E202" i="13"/>
  <c r="H202" i="13"/>
  <c r="F203" i="13"/>
  <c r="E203" i="13"/>
  <c r="H203" i="13"/>
  <c r="F204" i="13"/>
  <c r="E204" i="13"/>
  <c r="H204" i="13"/>
  <c r="F205" i="13"/>
  <c r="E205" i="13"/>
  <c r="H205" i="13"/>
  <c r="F206" i="13"/>
  <c r="E206" i="13"/>
  <c r="H206" i="13"/>
  <c r="F207" i="13"/>
  <c r="E207" i="13"/>
  <c r="H207" i="13"/>
  <c r="F208" i="13"/>
  <c r="E208" i="13"/>
  <c r="H208" i="13"/>
  <c r="F209" i="13"/>
  <c r="E209" i="13"/>
  <c r="H209" i="13"/>
  <c r="F210" i="13"/>
  <c r="E210" i="13"/>
  <c r="H210" i="13"/>
  <c r="F211" i="13"/>
  <c r="E211" i="13"/>
  <c r="H211" i="13"/>
  <c r="D12" i="13"/>
  <c r="I12" i="13" s="1"/>
  <c r="B13" i="13"/>
  <c r="I11" i="13"/>
  <c r="E12" i="12"/>
  <c r="F211" i="11"/>
  <c r="F203" i="11"/>
  <c r="F195" i="11"/>
  <c r="F187" i="11"/>
  <c r="F179" i="11"/>
  <c r="F171" i="11"/>
  <c r="F163" i="11"/>
  <c r="F155" i="11"/>
  <c r="F147" i="11"/>
  <c r="F139" i="11"/>
  <c r="F131" i="11"/>
  <c r="F123" i="11"/>
  <c r="F115" i="11"/>
  <c r="F107" i="11"/>
  <c r="F99" i="11"/>
  <c r="F91" i="11"/>
  <c r="F83" i="11"/>
  <c r="F75" i="11"/>
  <c r="F162" i="11"/>
  <c r="F82" i="11"/>
  <c r="F210" i="11"/>
  <c r="F202" i="11"/>
  <c r="F194" i="11"/>
  <c r="F186" i="11"/>
  <c r="F178" i="11"/>
  <c r="F170" i="11"/>
  <c r="F154" i="11"/>
  <c r="F146" i="11"/>
  <c r="F138" i="11"/>
  <c r="F130" i="11"/>
  <c r="F122" i="11"/>
  <c r="F114" i="11"/>
  <c r="F106" i="11"/>
  <c r="F98" i="11"/>
  <c r="F90" i="11"/>
  <c r="F74" i="11"/>
  <c r="F209" i="11"/>
  <c r="F201" i="11"/>
  <c r="F193" i="11"/>
  <c r="F185" i="11"/>
  <c r="F177" i="11"/>
  <c r="F169" i="11"/>
  <c r="F161" i="11"/>
  <c r="F153" i="11"/>
  <c r="F145" i="11"/>
  <c r="F137" i="11"/>
  <c r="F129" i="11"/>
  <c r="F121" i="11"/>
  <c r="F113" i="11"/>
  <c r="F105" i="11"/>
  <c r="F97" i="11"/>
  <c r="F89" i="11"/>
  <c r="F81" i="11"/>
  <c r="F208" i="11"/>
  <c r="F200" i="11"/>
  <c r="F192" i="11"/>
  <c r="F184" i="11"/>
  <c r="F176" i="11"/>
  <c r="F168" i="11"/>
  <c r="F160" i="11"/>
  <c r="F152" i="11"/>
  <c r="F144" i="11"/>
  <c r="F136" i="11"/>
  <c r="F128" i="11"/>
  <c r="F120" i="11"/>
  <c r="F112" i="11"/>
  <c r="F104" i="11"/>
  <c r="F96" i="11"/>
  <c r="F88" i="11"/>
  <c r="F80" i="11"/>
  <c r="F180" i="11"/>
  <c r="F172" i="11"/>
  <c r="F140" i="11"/>
  <c r="F116" i="11"/>
  <c r="F100" i="11"/>
  <c r="F207" i="11"/>
  <c r="F199" i="11"/>
  <c r="F191" i="11"/>
  <c r="F183" i="11"/>
  <c r="F175" i="11"/>
  <c r="F167" i="11"/>
  <c r="F159" i="11"/>
  <c r="F151" i="11"/>
  <c r="F143" i="11"/>
  <c r="F135" i="11"/>
  <c r="F127" i="11"/>
  <c r="F119" i="11"/>
  <c r="F111" i="11"/>
  <c r="F103" i="11"/>
  <c r="F95" i="11"/>
  <c r="F87" i="11"/>
  <c r="F79" i="11"/>
  <c r="F188" i="11"/>
  <c r="F164" i="11"/>
  <c r="F148" i="11"/>
  <c r="F124" i="11"/>
  <c r="F92" i="11"/>
  <c r="F206" i="11"/>
  <c r="F198" i="11"/>
  <c r="F190" i="11"/>
  <c r="F182" i="11"/>
  <c r="F174" i="11"/>
  <c r="F166" i="11"/>
  <c r="F158" i="11"/>
  <c r="F150" i="11"/>
  <c r="F142" i="11"/>
  <c r="F134" i="11"/>
  <c r="F126" i="11"/>
  <c r="F118" i="11"/>
  <c r="F110" i="11"/>
  <c r="F102" i="11"/>
  <c r="F94" i="11"/>
  <c r="F86" i="11"/>
  <c r="F78" i="11"/>
  <c r="F196" i="11"/>
  <c r="F76" i="11"/>
  <c r="F205" i="11"/>
  <c r="F197" i="11"/>
  <c r="F189" i="11"/>
  <c r="F181" i="11"/>
  <c r="F173" i="11"/>
  <c r="F165" i="11"/>
  <c r="F157" i="11"/>
  <c r="F149" i="11"/>
  <c r="F141" i="11"/>
  <c r="F133" i="11"/>
  <c r="F125" i="11"/>
  <c r="F117" i="11"/>
  <c r="F109" i="11"/>
  <c r="F101" i="11"/>
  <c r="F93" i="11"/>
  <c r="F85" i="11"/>
  <c r="F77" i="11"/>
  <c r="F204" i="11"/>
  <c r="F156" i="11"/>
  <c r="F132" i="11"/>
  <c r="F108" i="11"/>
  <c r="F84" i="11"/>
  <c r="H74" i="11"/>
  <c r="E74" i="11"/>
  <c r="E75" i="11"/>
  <c r="H75" i="11"/>
  <c r="H76" i="11"/>
  <c r="E76" i="11"/>
  <c r="E77" i="11"/>
  <c r="H77" i="11"/>
  <c r="H78" i="11"/>
  <c r="E78" i="11"/>
  <c r="E79" i="11"/>
  <c r="H79" i="11"/>
  <c r="H80" i="11"/>
  <c r="E80" i="11"/>
  <c r="H81" i="11"/>
  <c r="E81" i="11"/>
  <c r="E82" i="11"/>
  <c r="H82" i="11"/>
  <c r="E83" i="11"/>
  <c r="H83" i="11"/>
  <c r="E84" i="11"/>
  <c r="H84" i="11"/>
  <c r="E85" i="11"/>
  <c r="H85" i="11"/>
  <c r="H86" i="11"/>
  <c r="E86" i="11"/>
  <c r="H87" i="11"/>
  <c r="E87" i="11"/>
  <c r="H88" i="11"/>
  <c r="E88" i="11"/>
  <c r="H89" i="11"/>
  <c r="E89" i="11"/>
  <c r="E90" i="11"/>
  <c r="H90" i="11"/>
  <c r="E91" i="11"/>
  <c r="H91" i="11"/>
  <c r="E92" i="11"/>
  <c r="H92" i="11"/>
  <c r="H93" i="11"/>
  <c r="E93" i="11"/>
  <c r="H94" i="11"/>
  <c r="E94" i="11"/>
  <c r="H95" i="11"/>
  <c r="E95" i="11"/>
  <c r="E96" i="11"/>
  <c r="H96" i="11"/>
  <c r="H97" i="11"/>
  <c r="E97" i="11"/>
  <c r="H98" i="11"/>
  <c r="E98" i="11"/>
  <c r="E99" i="11"/>
  <c r="H99" i="11"/>
  <c r="H100" i="11"/>
  <c r="E100" i="11"/>
  <c r="E101" i="11"/>
  <c r="H101" i="11"/>
  <c r="H102" i="11"/>
  <c r="E102" i="11"/>
  <c r="H103" i="11"/>
  <c r="E103" i="11"/>
  <c r="H104" i="11"/>
  <c r="E104" i="11"/>
  <c r="H105" i="11"/>
  <c r="E105" i="11"/>
  <c r="H106" i="11"/>
  <c r="E106" i="11"/>
  <c r="E107" i="11"/>
  <c r="H107" i="11"/>
  <c r="E108" i="11"/>
  <c r="H108" i="11"/>
  <c r="H109" i="11"/>
  <c r="E109" i="11"/>
  <c r="H110" i="11"/>
  <c r="E110" i="11"/>
  <c r="H111" i="11"/>
  <c r="E111" i="11"/>
  <c r="H112" i="11"/>
  <c r="E112" i="11"/>
  <c r="H113" i="11"/>
  <c r="E113" i="11"/>
  <c r="E114" i="11"/>
  <c r="H114" i="11"/>
  <c r="E115" i="11"/>
  <c r="H115" i="11"/>
  <c r="H116" i="11"/>
  <c r="E116" i="11"/>
  <c r="E117" i="11"/>
  <c r="H117" i="11"/>
  <c r="H118" i="11"/>
  <c r="E118" i="11"/>
  <c r="H119" i="11"/>
  <c r="E119" i="11"/>
  <c r="H120" i="11"/>
  <c r="E120" i="11"/>
  <c r="H121" i="11"/>
  <c r="E121" i="11"/>
  <c r="E122" i="11"/>
  <c r="H122" i="11"/>
  <c r="E123" i="11"/>
  <c r="H123" i="11"/>
  <c r="H124" i="11"/>
  <c r="E124" i="11"/>
  <c r="H125" i="11"/>
  <c r="E125" i="11"/>
  <c r="H126" i="11"/>
  <c r="E126" i="11"/>
  <c r="H127" i="11"/>
  <c r="E127" i="11"/>
  <c r="E128" i="11"/>
  <c r="H128" i="11"/>
  <c r="E129" i="11"/>
  <c r="H129" i="11"/>
  <c r="E130" i="11"/>
  <c r="H130" i="11"/>
  <c r="H131" i="11"/>
  <c r="E131" i="11"/>
  <c r="H132" i="11"/>
  <c r="E132" i="11"/>
  <c r="H133" i="11"/>
  <c r="E133" i="11"/>
  <c r="H134" i="11"/>
  <c r="E134" i="11"/>
  <c r="H135" i="11"/>
  <c r="E135" i="11"/>
  <c r="E136" i="11"/>
  <c r="H136" i="11"/>
  <c r="H137" i="11"/>
  <c r="E137" i="11"/>
  <c r="E138" i="11"/>
  <c r="H138" i="11"/>
  <c r="H139" i="11"/>
  <c r="E139" i="11"/>
  <c r="H140" i="11"/>
  <c r="E140" i="11"/>
  <c r="H141" i="11"/>
  <c r="E141" i="11"/>
  <c r="H142" i="11"/>
  <c r="E142" i="11"/>
  <c r="H143" i="11"/>
  <c r="E143" i="11"/>
  <c r="E144" i="11"/>
  <c r="H144" i="11"/>
  <c r="E145" i="11"/>
  <c r="H145" i="11"/>
  <c r="E146" i="11"/>
  <c r="H146" i="11"/>
  <c r="H147" i="11"/>
  <c r="E147" i="11"/>
  <c r="H148" i="11"/>
  <c r="E148" i="11"/>
  <c r="H149" i="11"/>
  <c r="E149" i="11"/>
  <c r="H150" i="11"/>
  <c r="E150" i="11"/>
  <c r="H151" i="11"/>
  <c r="E151" i="11"/>
  <c r="E152" i="11"/>
  <c r="H152" i="11"/>
  <c r="E153" i="11"/>
  <c r="H153" i="11"/>
  <c r="E154" i="11"/>
  <c r="H154" i="11"/>
  <c r="H155" i="11"/>
  <c r="E155" i="11"/>
  <c r="H156" i="11"/>
  <c r="E156" i="11"/>
  <c r="H157" i="11"/>
  <c r="E157" i="11"/>
  <c r="H158" i="11"/>
  <c r="E158" i="11"/>
  <c r="H159" i="11"/>
  <c r="E159" i="11"/>
  <c r="E160" i="11"/>
  <c r="H160" i="11"/>
  <c r="H161" i="11"/>
  <c r="E161" i="11"/>
  <c r="E162" i="11"/>
  <c r="H162" i="11"/>
  <c r="H163" i="11"/>
  <c r="E163" i="11"/>
  <c r="H164" i="11"/>
  <c r="E164" i="11"/>
  <c r="H165" i="11"/>
  <c r="E165" i="11"/>
  <c r="H166" i="11"/>
  <c r="E166" i="11"/>
  <c r="H167" i="11"/>
  <c r="E167" i="11"/>
  <c r="E168" i="11"/>
  <c r="H168" i="11"/>
  <c r="H169" i="11"/>
  <c r="E169" i="11"/>
  <c r="E170" i="11"/>
  <c r="H170" i="11"/>
  <c r="H171" i="11"/>
  <c r="E171" i="11"/>
  <c r="H172" i="11"/>
  <c r="E172" i="11"/>
  <c r="H173" i="11"/>
  <c r="E173" i="11"/>
  <c r="H174" i="11"/>
  <c r="E174" i="11"/>
  <c r="H175" i="11"/>
  <c r="E175" i="11"/>
  <c r="E176" i="11"/>
  <c r="H176" i="11"/>
  <c r="E177" i="11"/>
  <c r="H177" i="11"/>
  <c r="E178" i="11"/>
  <c r="H178" i="11"/>
  <c r="H179" i="11"/>
  <c r="E179" i="11"/>
  <c r="H180" i="11"/>
  <c r="E180" i="11"/>
  <c r="H181" i="11"/>
  <c r="E181" i="11"/>
  <c r="H182" i="11"/>
  <c r="E182" i="11"/>
  <c r="H183" i="11"/>
  <c r="E183" i="11"/>
  <c r="E184" i="11"/>
  <c r="H184" i="11"/>
  <c r="E185" i="11"/>
  <c r="H185" i="11"/>
  <c r="E186" i="11"/>
  <c r="H186" i="11"/>
  <c r="H187" i="11"/>
  <c r="E187" i="11"/>
  <c r="H188" i="11"/>
  <c r="E188" i="11"/>
  <c r="H189" i="11"/>
  <c r="E189" i="11"/>
  <c r="H190" i="11"/>
  <c r="E190" i="11"/>
  <c r="H191" i="11"/>
  <c r="E191" i="11"/>
  <c r="E192" i="11"/>
  <c r="H192" i="11"/>
  <c r="E193" i="11"/>
  <c r="H193" i="11"/>
  <c r="E194" i="11"/>
  <c r="H194" i="11"/>
  <c r="H195" i="11"/>
  <c r="E195" i="11"/>
  <c r="H196" i="11"/>
  <c r="E196" i="11"/>
  <c r="H197" i="11"/>
  <c r="E197" i="11"/>
  <c r="H198" i="11"/>
  <c r="E198" i="11"/>
  <c r="H199" i="11"/>
  <c r="E199" i="11"/>
  <c r="E200" i="11"/>
  <c r="H200" i="11"/>
  <c r="E201" i="11"/>
  <c r="H201" i="11"/>
  <c r="E202" i="11"/>
  <c r="H202" i="11"/>
  <c r="H203" i="11"/>
  <c r="E203" i="11"/>
  <c r="E204" i="11"/>
  <c r="H204" i="11"/>
  <c r="H205" i="11"/>
  <c r="E205" i="11"/>
  <c r="H206" i="11"/>
  <c r="E206" i="11"/>
  <c r="H207" i="11"/>
  <c r="E207" i="11"/>
  <c r="H208" i="11"/>
  <c r="E208" i="11"/>
  <c r="E209" i="11"/>
  <c r="H209" i="11"/>
  <c r="E210" i="11"/>
  <c r="H210" i="11"/>
  <c r="H211" i="11"/>
  <c r="E211" i="11"/>
  <c r="B13" i="11"/>
  <c r="D12" i="11"/>
  <c r="I11" i="11"/>
  <c r="G12" i="17"/>
  <c r="H12" i="17" s="1"/>
  <c r="D13" i="17"/>
  <c r="B14" i="17"/>
  <c r="G11" i="15" l="1"/>
  <c r="H11" i="15" s="1"/>
  <c r="G11" i="14"/>
  <c r="H11" i="14" s="1"/>
  <c r="E12" i="14" s="1"/>
  <c r="F4" i="14"/>
  <c r="B13" i="15"/>
  <c r="D12" i="15"/>
  <c r="I12" i="15" s="1"/>
  <c r="G11" i="13"/>
  <c r="H11" i="13" s="1"/>
  <c r="E12" i="13" s="1"/>
  <c r="B14" i="13"/>
  <c r="D13" i="13"/>
  <c r="I13" i="13" s="1"/>
  <c r="F12" i="12"/>
  <c r="G11" i="11"/>
  <c r="H11" i="11" s="1"/>
  <c r="E12" i="11" s="1"/>
  <c r="F12" i="11" s="1"/>
  <c r="D13" i="11"/>
  <c r="B14" i="11"/>
  <c r="I12" i="11"/>
  <c r="E13" i="17"/>
  <c r="F13" i="17" s="1"/>
  <c r="D14" i="17"/>
  <c r="B15" i="17"/>
  <c r="E12" i="15" l="1"/>
  <c r="F12" i="15" s="1"/>
  <c r="G12" i="15" s="1"/>
  <c r="H12" i="15" s="1"/>
  <c r="B14" i="15"/>
  <c r="D13" i="15"/>
  <c r="I13" i="15" s="1"/>
  <c r="F12" i="14"/>
  <c r="F12" i="13"/>
  <c r="B15" i="13"/>
  <c r="D14" i="13"/>
  <c r="I14" i="13" s="1"/>
  <c r="G12" i="12"/>
  <c r="H12" i="12" s="1"/>
  <c r="E13" i="12" s="1"/>
  <c r="B15" i="11"/>
  <c r="D14" i="11"/>
  <c r="I13" i="11"/>
  <c r="G13" i="17"/>
  <c r="H13" i="17" s="1"/>
  <c r="D15" i="17"/>
  <c r="B16" i="17"/>
  <c r="E13" i="15" l="1"/>
  <c r="F13" i="15" s="1"/>
  <c r="G12" i="14"/>
  <c r="H12" i="14" s="1"/>
  <c r="B15" i="15"/>
  <c r="D14" i="15"/>
  <c r="I14" i="15" s="1"/>
  <c r="G12" i="13"/>
  <c r="H12" i="13" s="1"/>
  <c r="B16" i="13"/>
  <c r="D15" i="13"/>
  <c r="I15" i="13" s="1"/>
  <c r="F13" i="12"/>
  <c r="D15" i="11"/>
  <c r="B16" i="11"/>
  <c r="I14" i="11"/>
  <c r="E14" i="17"/>
  <c r="F14" i="17" s="1"/>
  <c r="D16" i="17"/>
  <c r="B17" i="17"/>
  <c r="E13" i="14" l="1"/>
  <c r="F13" i="14" s="1"/>
  <c r="G13" i="15"/>
  <c r="H13" i="15" s="1"/>
  <c r="B16" i="15"/>
  <c r="D15" i="15"/>
  <c r="I15" i="15" s="1"/>
  <c r="E13" i="13"/>
  <c r="F13" i="13" s="1"/>
  <c r="D16" i="13"/>
  <c r="I16" i="13" s="1"/>
  <c r="B17" i="13"/>
  <c r="G13" i="12"/>
  <c r="H13" i="12" s="1"/>
  <c r="B17" i="11"/>
  <c r="D16" i="11"/>
  <c r="I15" i="11"/>
  <c r="G14" i="17"/>
  <c r="H14" i="17" s="1"/>
  <c r="D17" i="17"/>
  <c r="B18" i="17"/>
  <c r="E14" i="15" l="1"/>
  <c r="F14" i="15" s="1"/>
  <c r="G13" i="14"/>
  <c r="H13" i="14" s="1"/>
  <c r="B17" i="15"/>
  <c r="D16" i="15"/>
  <c r="I16" i="15" s="1"/>
  <c r="G13" i="13"/>
  <c r="H13" i="13" s="1"/>
  <c r="D17" i="13"/>
  <c r="I17" i="13" s="1"/>
  <c r="B18" i="13"/>
  <c r="E14" i="12"/>
  <c r="F14" i="12" s="1"/>
  <c r="B18" i="11"/>
  <c r="D17" i="11"/>
  <c r="I16" i="11"/>
  <c r="E15" i="17"/>
  <c r="F15" i="17"/>
  <c r="D18" i="17"/>
  <c r="B19" i="17"/>
  <c r="E14" i="14" l="1"/>
  <c r="F14" i="14" s="1"/>
  <c r="G14" i="15"/>
  <c r="H14" i="15" s="1"/>
  <c r="B18" i="15"/>
  <c r="D17" i="15"/>
  <c r="I17" i="15" s="1"/>
  <c r="E14" i="13"/>
  <c r="F14" i="13" s="1"/>
  <c r="D18" i="13"/>
  <c r="I18" i="13" s="1"/>
  <c r="B19" i="13"/>
  <c r="G14" i="12"/>
  <c r="H14" i="12" s="1"/>
  <c r="E15" i="12" s="1"/>
  <c r="B19" i="11"/>
  <c r="D18" i="11"/>
  <c r="I17" i="11"/>
  <c r="G15" i="17"/>
  <c r="H15" i="17" s="1"/>
  <c r="D19" i="17"/>
  <c r="B20" i="17"/>
  <c r="E15" i="15" l="1"/>
  <c r="F15" i="15" s="1"/>
  <c r="G14" i="14"/>
  <c r="H14" i="14" s="1"/>
  <c r="B19" i="15"/>
  <c r="D18" i="15"/>
  <c r="I18" i="15" s="1"/>
  <c r="G14" i="13"/>
  <c r="H14" i="13" s="1"/>
  <c r="B20" i="13"/>
  <c r="D19" i="13"/>
  <c r="I19" i="13" s="1"/>
  <c r="F15" i="12"/>
  <c r="D19" i="11"/>
  <c r="B20" i="11"/>
  <c r="I18" i="11"/>
  <c r="E16" i="17"/>
  <c r="F16" i="17"/>
  <c r="D20" i="17"/>
  <c r="B21" i="17"/>
  <c r="E15" i="14" l="1"/>
  <c r="F15" i="14" s="1"/>
  <c r="G15" i="15"/>
  <c r="H15" i="15" s="1"/>
  <c r="B20" i="15"/>
  <c r="D19" i="15"/>
  <c r="I19" i="15" s="1"/>
  <c r="E15" i="13"/>
  <c r="F15" i="13" s="1"/>
  <c r="B21" i="13"/>
  <c r="D20" i="13"/>
  <c r="I20" i="13" s="1"/>
  <c r="G15" i="12"/>
  <c r="H15" i="12" s="1"/>
  <c r="B21" i="11"/>
  <c r="D20" i="11"/>
  <c r="I19" i="11"/>
  <c r="G16" i="17"/>
  <c r="D21" i="17"/>
  <c r="B22" i="17"/>
  <c r="E16" i="15" l="1"/>
  <c r="F16" i="15" s="1"/>
  <c r="G15" i="14"/>
  <c r="H15" i="14" s="1"/>
  <c r="E16" i="14" s="1"/>
  <c r="B21" i="15"/>
  <c r="D20" i="15"/>
  <c r="I20" i="15" s="1"/>
  <c r="G15" i="13"/>
  <c r="H15" i="13" s="1"/>
  <c r="E16" i="13" s="1"/>
  <c r="D21" i="13"/>
  <c r="I21" i="13" s="1"/>
  <c r="B22" i="13"/>
  <c r="E16" i="12"/>
  <c r="F16" i="12" s="1"/>
  <c r="G16" i="12" s="1"/>
  <c r="D21" i="11"/>
  <c r="B22" i="11"/>
  <c r="I20" i="11"/>
  <c r="H16" i="17"/>
  <c r="E17" i="17" s="1"/>
  <c r="F17" i="17" s="1"/>
  <c r="G17" i="17" s="1"/>
  <c r="H17" i="17" s="1"/>
  <c r="D22" i="17"/>
  <c r="B23" i="17"/>
  <c r="G16" i="15" l="1"/>
  <c r="H16" i="15" s="1"/>
  <c r="E17" i="15" s="1"/>
  <c r="B22" i="15"/>
  <c r="D21" i="15"/>
  <c r="I21" i="15" s="1"/>
  <c r="F16" i="14"/>
  <c r="F16" i="13"/>
  <c r="B23" i="13"/>
  <c r="D22" i="13"/>
  <c r="I22" i="13" s="1"/>
  <c r="H16" i="12"/>
  <c r="E17" i="12" s="1"/>
  <c r="D22" i="11"/>
  <c r="B23" i="11"/>
  <c r="I21" i="11"/>
  <c r="E18" i="17"/>
  <c r="D23" i="17"/>
  <c r="B24" i="17"/>
  <c r="G16" i="14" l="1"/>
  <c r="H16" i="14" s="1"/>
  <c r="E17" i="14" s="1"/>
  <c r="F17" i="15"/>
  <c r="G17" i="15" s="1"/>
  <c r="B23" i="15"/>
  <c r="D22" i="15"/>
  <c r="I22" i="15" s="1"/>
  <c r="G16" i="13"/>
  <c r="H16" i="13" s="1"/>
  <c r="E17" i="13" s="1"/>
  <c r="B24" i="13"/>
  <c r="D23" i="13"/>
  <c r="I23" i="13" s="1"/>
  <c r="F17" i="12"/>
  <c r="G17" i="12" s="1"/>
  <c r="D23" i="11"/>
  <c r="B24" i="11"/>
  <c r="I22" i="11"/>
  <c r="D24" i="17"/>
  <c r="B25" i="17"/>
  <c r="F18" i="17"/>
  <c r="G18" i="17" s="1"/>
  <c r="H18" i="17" s="1"/>
  <c r="H17" i="15" l="1"/>
  <c r="E18" i="15" s="1"/>
  <c r="B24" i="15"/>
  <c r="D23" i="15"/>
  <c r="I23" i="15" s="1"/>
  <c r="F17" i="14"/>
  <c r="G17" i="14" s="1"/>
  <c r="F17" i="13"/>
  <c r="G17" i="13" s="1"/>
  <c r="D24" i="13"/>
  <c r="I24" i="13" s="1"/>
  <c r="B25" i="13"/>
  <c r="H17" i="12"/>
  <c r="E18" i="12" s="1"/>
  <c r="B25" i="11"/>
  <c r="D24" i="11"/>
  <c r="I23" i="11"/>
  <c r="E19" i="17"/>
  <c r="D25" i="17"/>
  <c r="B26" i="17"/>
  <c r="F18" i="15" l="1"/>
  <c r="G18" i="15" s="1"/>
  <c r="B25" i="15"/>
  <c r="D24" i="15"/>
  <c r="I24" i="15" s="1"/>
  <c r="H17" i="14"/>
  <c r="E18" i="14" s="1"/>
  <c r="H17" i="13"/>
  <c r="E18" i="13" s="1"/>
  <c r="D25" i="13"/>
  <c r="I25" i="13" s="1"/>
  <c r="B26" i="13"/>
  <c r="F18" i="12"/>
  <c r="G18" i="12" s="1"/>
  <c r="B26" i="11"/>
  <c r="D25" i="11"/>
  <c r="I24" i="11"/>
  <c r="D26" i="17"/>
  <c r="B27" i="17"/>
  <c r="F19" i="17"/>
  <c r="G19" i="17" s="1"/>
  <c r="H19" i="17" s="1"/>
  <c r="H18" i="15" l="1"/>
  <c r="E19" i="15" s="1"/>
  <c r="B26" i="15"/>
  <c r="D25" i="15"/>
  <c r="I25" i="15" s="1"/>
  <c r="F18" i="14"/>
  <c r="G18" i="14" s="1"/>
  <c r="F18" i="13"/>
  <c r="G18" i="13" s="1"/>
  <c r="D26" i="13"/>
  <c r="I26" i="13" s="1"/>
  <c r="B27" i="13"/>
  <c r="H18" i="12"/>
  <c r="E19" i="12" s="1"/>
  <c r="B27" i="11"/>
  <c r="D26" i="11"/>
  <c r="I25" i="11"/>
  <c r="E20" i="17"/>
  <c r="D27" i="17"/>
  <c r="B28" i="17"/>
  <c r="F19" i="15" l="1"/>
  <c r="G19" i="15" s="1"/>
  <c r="B27" i="15"/>
  <c r="D26" i="15"/>
  <c r="I26" i="15" s="1"/>
  <c r="H18" i="14"/>
  <c r="E19" i="14" s="1"/>
  <c r="H18" i="13"/>
  <c r="E19" i="13" s="1"/>
  <c r="D27" i="13"/>
  <c r="I27" i="13" s="1"/>
  <c r="B28" i="13"/>
  <c r="F19" i="12"/>
  <c r="G19" i="12" s="1"/>
  <c r="D27" i="11"/>
  <c r="B28" i="11"/>
  <c r="I26" i="11"/>
  <c r="D28" i="17"/>
  <c r="B29" i="17"/>
  <c r="F20" i="17"/>
  <c r="G20" i="17" s="1"/>
  <c r="H20" i="17" s="1"/>
  <c r="H19" i="15" l="1"/>
  <c r="E20" i="15" s="1"/>
  <c r="B28" i="15"/>
  <c r="D27" i="15"/>
  <c r="I27" i="15" s="1"/>
  <c r="F19" i="14"/>
  <c r="G19" i="14" s="1"/>
  <c r="D28" i="13"/>
  <c r="I28" i="13" s="1"/>
  <c r="B29" i="13"/>
  <c r="F19" i="13"/>
  <c r="G19" i="13" s="1"/>
  <c r="H19" i="12"/>
  <c r="E20" i="12" s="1"/>
  <c r="B29" i="11"/>
  <c r="D28" i="11"/>
  <c r="I27" i="11"/>
  <c r="E21" i="17"/>
  <c r="D29" i="17"/>
  <c r="B30" i="17"/>
  <c r="F20" i="15" l="1"/>
  <c r="G20" i="15" s="1"/>
  <c r="B29" i="15"/>
  <c r="D28" i="15"/>
  <c r="I28" i="15" s="1"/>
  <c r="H19" i="14"/>
  <c r="E20" i="14" s="1"/>
  <c r="H19" i="13"/>
  <c r="E20" i="13" s="1"/>
  <c r="D29" i="13"/>
  <c r="I29" i="13" s="1"/>
  <c r="B30" i="13"/>
  <c r="F20" i="12"/>
  <c r="G20" i="12" s="1"/>
  <c r="D29" i="11"/>
  <c r="B30" i="11"/>
  <c r="I28" i="11"/>
  <c r="D30" i="17"/>
  <c r="B31" i="17"/>
  <c r="F21" i="17"/>
  <c r="G21" i="17" s="1"/>
  <c r="H21" i="17" s="1"/>
  <c r="H20" i="15" l="1"/>
  <c r="E21" i="15" s="1"/>
  <c r="B30" i="15"/>
  <c r="D29" i="15"/>
  <c r="I29" i="15" s="1"/>
  <c r="F20" i="14"/>
  <c r="G20" i="14" s="1"/>
  <c r="D30" i="13"/>
  <c r="I30" i="13" s="1"/>
  <c r="B31" i="13"/>
  <c r="F20" i="13"/>
  <c r="G20" i="13" s="1"/>
  <c r="H20" i="12"/>
  <c r="E21" i="12" s="1"/>
  <c r="D30" i="11"/>
  <c r="B31" i="11"/>
  <c r="I29" i="11"/>
  <c r="E22" i="17"/>
  <c r="D31" i="17"/>
  <c r="B32" i="17"/>
  <c r="F21" i="15" l="1"/>
  <c r="G21" i="15" s="1"/>
  <c r="B31" i="15"/>
  <c r="D30" i="15"/>
  <c r="I30" i="15" s="1"/>
  <c r="H20" i="14"/>
  <c r="E21" i="14" s="1"/>
  <c r="H20" i="13"/>
  <c r="E21" i="13" s="1"/>
  <c r="D31" i="13"/>
  <c r="I31" i="13" s="1"/>
  <c r="B32" i="13"/>
  <c r="F21" i="12"/>
  <c r="G21" i="12" s="1"/>
  <c r="D31" i="11"/>
  <c r="B32" i="11"/>
  <c r="I30" i="11"/>
  <c r="D32" i="17"/>
  <c r="B33" i="17"/>
  <c r="F22" i="17"/>
  <c r="G22" i="17" s="1"/>
  <c r="H22" i="17" s="1"/>
  <c r="H21" i="15" l="1"/>
  <c r="E22" i="15" s="1"/>
  <c r="B32" i="15"/>
  <c r="D31" i="15"/>
  <c r="I31" i="15" s="1"/>
  <c r="F21" i="14"/>
  <c r="G21" i="14" s="1"/>
  <c r="D32" i="13"/>
  <c r="I32" i="13" s="1"/>
  <c r="B33" i="13"/>
  <c r="F21" i="13"/>
  <c r="G21" i="13" s="1"/>
  <c r="H21" i="12"/>
  <c r="E22" i="12" s="1"/>
  <c r="B33" i="11"/>
  <c r="D32" i="11"/>
  <c r="I31" i="11"/>
  <c r="E23" i="17"/>
  <c r="D33" i="17"/>
  <c r="B34" i="17"/>
  <c r="F22" i="15" l="1"/>
  <c r="G22" i="15" s="1"/>
  <c r="B33" i="15"/>
  <c r="D32" i="15"/>
  <c r="I32" i="15" s="1"/>
  <c r="H21" i="14"/>
  <c r="E22" i="14" s="1"/>
  <c r="H21" i="13"/>
  <c r="E22" i="13" s="1"/>
  <c r="D33" i="13"/>
  <c r="I33" i="13" s="1"/>
  <c r="B34" i="13"/>
  <c r="F22" i="12"/>
  <c r="G22" i="12" s="1"/>
  <c r="B34" i="11"/>
  <c r="D33" i="11"/>
  <c r="I32" i="11"/>
  <c r="D34" i="17"/>
  <c r="B35" i="17"/>
  <c r="F23" i="17"/>
  <c r="G23" i="17" s="1"/>
  <c r="H23" i="17" s="1"/>
  <c r="B34" i="15" l="1"/>
  <c r="D33" i="15"/>
  <c r="I33" i="15" s="1"/>
  <c r="H22" i="15"/>
  <c r="E23" i="15" s="1"/>
  <c r="F22" i="14"/>
  <c r="G22" i="14" s="1"/>
  <c r="F22" i="13"/>
  <c r="G22" i="13" s="1"/>
  <c r="D34" i="13"/>
  <c r="I34" i="13" s="1"/>
  <c r="B35" i="13"/>
  <c r="H22" i="12"/>
  <c r="E23" i="12" s="1"/>
  <c r="B35" i="11"/>
  <c r="D34" i="11"/>
  <c r="I33" i="11"/>
  <c r="E24" i="17"/>
  <c r="D35" i="17"/>
  <c r="B36" i="17"/>
  <c r="F23" i="15" l="1"/>
  <c r="G23" i="15" s="1"/>
  <c r="B35" i="15"/>
  <c r="D34" i="15"/>
  <c r="I34" i="15" s="1"/>
  <c r="H22" i="14"/>
  <c r="E23" i="14" s="1"/>
  <c r="H22" i="13"/>
  <c r="E23" i="13" s="1"/>
  <c r="D35" i="13"/>
  <c r="I35" i="13" s="1"/>
  <c r="B36" i="13"/>
  <c r="F23" i="12"/>
  <c r="G23" i="12" s="1"/>
  <c r="D35" i="11"/>
  <c r="B36" i="11"/>
  <c r="I34" i="11"/>
  <c r="D36" i="17"/>
  <c r="B37" i="17"/>
  <c r="F24" i="17"/>
  <c r="G24" i="17" s="1"/>
  <c r="H24" i="17" s="1"/>
  <c r="H23" i="15" l="1"/>
  <c r="E24" i="15" s="1"/>
  <c r="B36" i="15"/>
  <c r="D35" i="15"/>
  <c r="I35" i="15" s="1"/>
  <c r="F23" i="14"/>
  <c r="G23" i="14" s="1"/>
  <c r="D36" i="13"/>
  <c r="I36" i="13" s="1"/>
  <c r="B37" i="13"/>
  <c r="F23" i="13"/>
  <c r="G23" i="13" s="1"/>
  <c r="H23" i="12"/>
  <c r="E24" i="12" s="1"/>
  <c r="D36" i="11"/>
  <c r="B37" i="11"/>
  <c r="I35" i="11"/>
  <c r="E25" i="17"/>
  <c r="D37" i="17"/>
  <c r="B38" i="17"/>
  <c r="B37" i="15" l="1"/>
  <c r="D36" i="15"/>
  <c r="I36" i="15" s="1"/>
  <c r="F24" i="15"/>
  <c r="G24" i="15" s="1"/>
  <c r="H23" i="14"/>
  <c r="E24" i="14" s="1"/>
  <c r="H23" i="13"/>
  <c r="E24" i="13" s="1"/>
  <c r="D37" i="13"/>
  <c r="I37" i="13" s="1"/>
  <c r="B38" i="13"/>
  <c r="F24" i="12"/>
  <c r="G24" i="12" s="1"/>
  <c r="D37" i="11"/>
  <c r="B38" i="11"/>
  <c r="I36" i="11"/>
  <c r="D38" i="17"/>
  <c r="B39" i="17"/>
  <c r="F25" i="17"/>
  <c r="G25" i="17" s="1"/>
  <c r="H25" i="17" s="1"/>
  <c r="H24" i="15" l="1"/>
  <c r="E25" i="15" s="1"/>
  <c r="B38" i="15"/>
  <c r="D37" i="15"/>
  <c r="I37" i="15" s="1"/>
  <c r="F24" i="14"/>
  <c r="G24" i="14" s="1"/>
  <c r="F24" i="13"/>
  <c r="G24" i="13" s="1"/>
  <c r="D38" i="13"/>
  <c r="I38" i="13" s="1"/>
  <c r="B39" i="13"/>
  <c r="H24" i="12"/>
  <c r="E25" i="12" s="1"/>
  <c r="B39" i="11"/>
  <c r="D38" i="11"/>
  <c r="I37" i="11"/>
  <c r="E26" i="17"/>
  <c r="D39" i="17"/>
  <c r="B40" i="17"/>
  <c r="F25" i="15" l="1"/>
  <c r="G25" i="15" s="1"/>
  <c r="B39" i="15"/>
  <c r="D38" i="15"/>
  <c r="I38" i="15" s="1"/>
  <c r="H24" i="14"/>
  <c r="E25" i="14" s="1"/>
  <c r="D39" i="13"/>
  <c r="I39" i="13" s="1"/>
  <c r="B40" i="13"/>
  <c r="H24" i="13"/>
  <c r="E25" i="13" s="1"/>
  <c r="F25" i="12"/>
  <c r="G25" i="12" s="1"/>
  <c r="B40" i="11"/>
  <c r="D39" i="11"/>
  <c r="I38" i="11"/>
  <c r="D40" i="17"/>
  <c r="B41" i="17"/>
  <c r="F26" i="17"/>
  <c r="G26" i="17" s="1"/>
  <c r="H26" i="17" s="1"/>
  <c r="H25" i="15" l="1"/>
  <c r="E26" i="15" s="1"/>
  <c r="B40" i="15"/>
  <c r="D39" i="15"/>
  <c r="I39" i="15" s="1"/>
  <c r="F25" i="14"/>
  <c r="G25" i="14" s="1"/>
  <c r="F25" i="13"/>
  <c r="G25" i="13" s="1"/>
  <c r="D40" i="13"/>
  <c r="I40" i="13" s="1"/>
  <c r="B41" i="13"/>
  <c r="H25" i="12"/>
  <c r="E26" i="12" s="1"/>
  <c r="B41" i="11"/>
  <c r="D40" i="11"/>
  <c r="I39" i="11"/>
  <c r="E27" i="17"/>
  <c r="D41" i="17"/>
  <c r="B42" i="17"/>
  <c r="F26" i="15" l="1"/>
  <c r="G26" i="15" s="1"/>
  <c r="B41" i="15"/>
  <c r="D40" i="15"/>
  <c r="I40" i="15" s="1"/>
  <c r="H25" i="14"/>
  <c r="E26" i="14" s="1"/>
  <c r="H25" i="13"/>
  <c r="E26" i="13" s="1"/>
  <c r="D41" i="13"/>
  <c r="I41" i="13" s="1"/>
  <c r="B42" i="13"/>
  <c r="F26" i="12"/>
  <c r="G26" i="12" s="1"/>
  <c r="B42" i="11"/>
  <c r="D41" i="11"/>
  <c r="I40" i="11"/>
  <c r="D42" i="17"/>
  <c r="B43" i="17"/>
  <c r="F27" i="17"/>
  <c r="G27" i="17" s="1"/>
  <c r="H27" i="17" s="1"/>
  <c r="H26" i="15" l="1"/>
  <c r="E27" i="15" s="1"/>
  <c r="B42" i="15"/>
  <c r="D41" i="15"/>
  <c r="I41" i="15" s="1"/>
  <c r="F26" i="14"/>
  <c r="G26" i="14" s="1"/>
  <c r="F26" i="13"/>
  <c r="G26" i="13" s="1"/>
  <c r="D42" i="13"/>
  <c r="I42" i="13" s="1"/>
  <c r="B43" i="13"/>
  <c r="H26" i="12"/>
  <c r="E27" i="12" s="1"/>
  <c r="D42" i="11"/>
  <c r="B43" i="11"/>
  <c r="I41" i="11"/>
  <c r="E28" i="17"/>
  <c r="D43" i="17"/>
  <c r="B44" i="17"/>
  <c r="F27" i="15" l="1"/>
  <c r="G27" i="15" s="1"/>
  <c r="B43" i="15"/>
  <c r="D42" i="15"/>
  <c r="I42" i="15" s="1"/>
  <c r="H26" i="14"/>
  <c r="E27" i="14" s="1"/>
  <c r="H26" i="13"/>
  <c r="E27" i="13" s="1"/>
  <c r="D43" i="13"/>
  <c r="I43" i="13" s="1"/>
  <c r="B44" i="13"/>
  <c r="F27" i="12"/>
  <c r="G27" i="12" s="1"/>
  <c r="D43" i="11"/>
  <c r="B44" i="11"/>
  <c r="I42" i="11"/>
  <c r="D44" i="17"/>
  <c r="B45" i="17"/>
  <c r="F28" i="17"/>
  <c r="G28" i="17" s="1"/>
  <c r="H28" i="17" s="1"/>
  <c r="H27" i="15" l="1"/>
  <c r="E28" i="15" s="1"/>
  <c r="B44" i="15"/>
  <c r="D43" i="15"/>
  <c r="I43" i="15" s="1"/>
  <c r="F27" i="14"/>
  <c r="G27" i="14" s="1"/>
  <c r="F27" i="13"/>
  <c r="G27" i="13" s="1"/>
  <c r="D44" i="13"/>
  <c r="I44" i="13" s="1"/>
  <c r="B45" i="13"/>
  <c r="H27" i="12"/>
  <c r="E28" i="12" s="1"/>
  <c r="D44" i="11"/>
  <c r="B45" i="11"/>
  <c r="I43" i="11"/>
  <c r="E29" i="17"/>
  <c r="D45" i="17"/>
  <c r="B46" i="17"/>
  <c r="F28" i="15" l="1"/>
  <c r="G28" i="15" s="1"/>
  <c r="B45" i="15"/>
  <c r="D44" i="15"/>
  <c r="I44" i="15" s="1"/>
  <c r="H27" i="14"/>
  <c r="E28" i="14" s="1"/>
  <c r="H27" i="13"/>
  <c r="E28" i="13" s="1"/>
  <c r="D45" i="13"/>
  <c r="I45" i="13" s="1"/>
  <c r="B46" i="13"/>
  <c r="F28" i="12"/>
  <c r="G28" i="12" s="1"/>
  <c r="D45" i="11"/>
  <c r="B46" i="11"/>
  <c r="I44" i="11"/>
  <c r="D46" i="17"/>
  <c r="B47" i="17"/>
  <c r="F29" i="17"/>
  <c r="G29" i="17" s="1"/>
  <c r="H29" i="17" s="1"/>
  <c r="H28" i="15" l="1"/>
  <c r="E29" i="15" s="1"/>
  <c r="B46" i="15"/>
  <c r="D45" i="15"/>
  <c r="I45" i="15" s="1"/>
  <c r="F28" i="14"/>
  <c r="G28" i="14" s="1"/>
  <c r="F28" i="13"/>
  <c r="G28" i="13" s="1"/>
  <c r="D46" i="13"/>
  <c r="I46" i="13" s="1"/>
  <c r="B47" i="13"/>
  <c r="H28" i="12"/>
  <c r="E29" i="12" s="1"/>
  <c r="B47" i="11"/>
  <c r="D46" i="11"/>
  <c r="I45" i="11"/>
  <c r="E30" i="17"/>
  <c r="B48" i="17"/>
  <c r="D47" i="17"/>
  <c r="B47" i="15" l="1"/>
  <c r="D46" i="15"/>
  <c r="I46" i="15" s="1"/>
  <c r="F29" i="15"/>
  <c r="G29" i="15" s="1"/>
  <c r="H28" i="14"/>
  <c r="E29" i="14" s="1"/>
  <c r="H28" i="13"/>
  <c r="E29" i="13" s="1"/>
  <c r="D47" i="13"/>
  <c r="I47" i="13" s="1"/>
  <c r="B48" i="13"/>
  <c r="F29" i="12"/>
  <c r="G29" i="12" s="1"/>
  <c r="B48" i="11"/>
  <c r="D47" i="11"/>
  <c r="I46" i="11"/>
  <c r="F30" i="17"/>
  <c r="G30" i="17" s="1"/>
  <c r="H30" i="17" s="1"/>
  <c r="B49" i="17"/>
  <c r="D48" i="17"/>
  <c r="H29" i="15" l="1"/>
  <c r="E30" i="15" s="1"/>
  <c r="B48" i="15"/>
  <c r="D47" i="15"/>
  <c r="I47" i="15" s="1"/>
  <c r="F29" i="14"/>
  <c r="G29" i="14" s="1"/>
  <c r="D48" i="13"/>
  <c r="I48" i="13" s="1"/>
  <c r="B49" i="13"/>
  <c r="F29" i="13"/>
  <c r="G29" i="13" s="1"/>
  <c r="H29" i="12"/>
  <c r="E30" i="12" s="1"/>
  <c r="D48" i="11"/>
  <c r="B49" i="11"/>
  <c r="I47" i="11"/>
  <c r="E31" i="17"/>
  <c r="B50" i="17"/>
  <c r="D49" i="17"/>
  <c r="B49" i="15" l="1"/>
  <c r="D48" i="15"/>
  <c r="I48" i="15" s="1"/>
  <c r="F30" i="15"/>
  <c r="G30" i="15" s="1"/>
  <c r="H29" i="14"/>
  <c r="E30" i="14" s="1"/>
  <c r="H29" i="13"/>
  <c r="E30" i="13" s="1"/>
  <c r="D49" i="13"/>
  <c r="I49" i="13" s="1"/>
  <c r="B50" i="13"/>
  <c r="F30" i="12"/>
  <c r="G30" i="12" s="1"/>
  <c r="B50" i="11"/>
  <c r="D49" i="11"/>
  <c r="I48" i="11"/>
  <c r="B51" i="17"/>
  <c r="D50" i="17"/>
  <c r="F31" i="17"/>
  <c r="G31" i="17" s="1"/>
  <c r="H31" i="17" s="1"/>
  <c r="H30" i="15" l="1"/>
  <c r="E31" i="15" s="1"/>
  <c r="B50" i="15"/>
  <c r="D49" i="15"/>
  <c r="I49" i="15" s="1"/>
  <c r="F30" i="14"/>
  <c r="G30" i="14" s="1"/>
  <c r="D50" i="13"/>
  <c r="I50" i="13" s="1"/>
  <c r="B51" i="13"/>
  <c r="F30" i="13"/>
  <c r="G30" i="13" s="1"/>
  <c r="H30" i="12"/>
  <c r="E31" i="12" s="1"/>
  <c r="D50" i="11"/>
  <c r="B51" i="11"/>
  <c r="I49" i="11"/>
  <c r="E32" i="17"/>
  <c r="B52" i="17"/>
  <c r="D51" i="17"/>
  <c r="F31" i="15" l="1"/>
  <c r="G31" i="15" s="1"/>
  <c r="B51" i="15"/>
  <c r="D50" i="15"/>
  <c r="I50" i="15" s="1"/>
  <c r="H30" i="14"/>
  <c r="E31" i="14" s="1"/>
  <c r="H30" i="13"/>
  <c r="E31" i="13" s="1"/>
  <c r="D51" i="13"/>
  <c r="I51" i="13" s="1"/>
  <c r="B52" i="13"/>
  <c r="F31" i="12"/>
  <c r="G31" i="12" s="1"/>
  <c r="B52" i="11"/>
  <c r="D51" i="11"/>
  <c r="I50" i="11"/>
  <c r="B53" i="17"/>
  <c r="D52" i="17"/>
  <c r="F32" i="17"/>
  <c r="G32" i="17" s="1"/>
  <c r="H32" i="17" s="1"/>
  <c r="H31" i="15" l="1"/>
  <c r="E32" i="15" s="1"/>
  <c r="B52" i="15"/>
  <c r="D51" i="15"/>
  <c r="I51" i="15" s="1"/>
  <c r="F31" i="14"/>
  <c r="G31" i="14" s="1"/>
  <c r="F31" i="13"/>
  <c r="G31" i="13" s="1"/>
  <c r="D52" i="13"/>
  <c r="I52" i="13" s="1"/>
  <c r="B53" i="13"/>
  <c r="H31" i="12"/>
  <c r="E32" i="12" s="1"/>
  <c r="D52" i="11"/>
  <c r="B53" i="11"/>
  <c r="I51" i="11"/>
  <c r="E33" i="17"/>
  <c r="B54" i="17"/>
  <c r="D53" i="17"/>
  <c r="F4" i="17" s="1"/>
  <c r="F32" i="15" l="1"/>
  <c r="G32" i="15" s="1"/>
  <c r="B53" i="15"/>
  <c r="D52" i="15"/>
  <c r="I52" i="15" s="1"/>
  <c r="H31" i="14"/>
  <c r="E32" i="14" s="1"/>
  <c r="H31" i="13"/>
  <c r="E32" i="13" s="1"/>
  <c r="D53" i="13"/>
  <c r="I53" i="13" s="1"/>
  <c r="B54" i="13"/>
  <c r="F32" i="12"/>
  <c r="G32" i="12" s="1"/>
  <c r="D53" i="11"/>
  <c r="B54" i="11"/>
  <c r="I52" i="11"/>
  <c r="F33" i="17"/>
  <c r="G33" i="17" s="1"/>
  <c r="H33" i="17" s="1"/>
  <c r="B55" i="17"/>
  <c r="D54" i="17"/>
  <c r="H32" i="15" l="1"/>
  <c r="E33" i="15" s="1"/>
  <c r="B54" i="15"/>
  <c r="D53" i="15"/>
  <c r="I53" i="15" s="1"/>
  <c r="F32" i="14"/>
  <c r="G32" i="14" s="1"/>
  <c r="F32" i="13"/>
  <c r="G32" i="13" s="1"/>
  <c r="D54" i="13"/>
  <c r="I54" i="13" s="1"/>
  <c r="B55" i="13"/>
  <c r="H32" i="12"/>
  <c r="E33" i="12" s="1"/>
  <c r="B55" i="11"/>
  <c r="D54" i="11"/>
  <c r="I53" i="11"/>
  <c r="E34" i="17"/>
  <c r="D55" i="17"/>
  <c r="B56" i="17"/>
  <c r="F33" i="15" l="1"/>
  <c r="G33" i="15" s="1"/>
  <c r="D54" i="15"/>
  <c r="I54" i="15" s="1"/>
  <c r="B55" i="15"/>
  <c r="H32" i="14"/>
  <c r="E33" i="14" s="1"/>
  <c r="H32" i="13"/>
  <c r="E33" i="13" s="1"/>
  <c r="D55" i="13"/>
  <c r="I55" i="13" s="1"/>
  <c r="B56" i="13"/>
  <c r="F33" i="12"/>
  <c r="G33" i="12" s="1"/>
  <c r="B56" i="11"/>
  <c r="D55" i="11"/>
  <c r="I54" i="11"/>
  <c r="D56" i="17"/>
  <c r="B57" i="17"/>
  <c r="F34" i="17"/>
  <c r="G34" i="17" s="1"/>
  <c r="H34" i="17" s="1"/>
  <c r="H33" i="15" l="1"/>
  <c r="E34" i="15" s="1"/>
  <c r="D55" i="15"/>
  <c r="I55" i="15" s="1"/>
  <c r="B56" i="15"/>
  <c r="F33" i="14"/>
  <c r="G33" i="14" s="1"/>
  <c r="F33" i="13"/>
  <c r="G33" i="13" s="1"/>
  <c r="D56" i="13"/>
  <c r="I56" i="13" s="1"/>
  <c r="B57" i="13"/>
  <c r="H33" i="12"/>
  <c r="E34" i="12" s="1"/>
  <c r="B57" i="11"/>
  <c r="D56" i="11"/>
  <c r="I55" i="11"/>
  <c r="E35" i="17"/>
  <c r="D57" i="17"/>
  <c r="B58" i="17"/>
  <c r="F34" i="15" l="1"/>
  <c r="G34" i="15" s="1"/>
  <c r="D56" i="15"/>
  <c r="I56" i="15" s="1"/>
  <c r="B57" i="15"/>
  <c r="H33" i="14"/>
  <c r="E34" i="14" s="1"/>
  <c r="H33" i="13"/>
  <c r="E34" i="13" s="1"/>
  <c r="D57" i="13"/>
  <c r="I57" i="13" s="1"/>
  <c r="B58" i="13"/>
  <c r="F34" i="12"/>
  <c r="G34" i="12" s="1"/>
  <c r="B58" i="11"/>
  <c r="D57" i="11"/>
  <c r="I56" i="11"/>
  <c r="D58" i="17"/>
  <c r="B59" i="17"/>
  <c r="F35" i="17"/>
  <c r="G35" i="17" s="1"/>
  <c r="H35" i="17" s="1"/>
  <c r="H34" i="15" l="1"/>
  <c r="E35" i="15" s="1"/>
  <c r="D57" i="15"/>
  <c r="I57" i="15" s="1"/>
  <c r="B58" i="15"/>
  <c r="F34" i="14"/>
  <c r="G34" i="14" s="1"/>
  <c r="F34" i="13"/>
  <c r="G34" i="13" s="1"/>
  <c r="D58" i="13"/>
  <c r="I58" i="13" s="1"/>
  <c r="B59" i="13"/>
  <c r="H34" i="12"/>
  <c r="E35" i="12" s="1"/>
  <c r="D58" i="11"/>
  <c r="B59" i="11"/>
  <c r="I57" i="11"/>
  <c r="E36" i="17"/>
  <c r="D59" i="17"/>
  <c r="B60" i="17"/>
  <c r="F35" i="15" l="1"/>
  <c r="G35" i="15" s="1"/>
  <c r="D58" i="15"/>
  <c r="I58" i="15" s="1"/>
  <c r="B59" i="15"/>
  <c r="H34" i="14"/>
  <c r="E35" i="14" s="1"/>
  <c r="H34" i="13"/>
  <c r="E35" i="13" s="1"/>
  <c r="D59" i="13"/>
  <c r="I59" i="13" s="1"/>
  <c r="B60" i="13"/>
  <c r="F35" i="12"/>
  <c r="G35" i="12" s="1"/>
  <c r="D59" i="11"/>
  <c r="B60" i="11"/>
  <c r="I58" i="11"/>
  <c r="D60" i="17"/>
  <c r="B61" i="17"/>
  <c r="F36" i="17"/>
  <c r="G36" i="17" s="1"/>
  <c r="H36" i="17" s="1"/>
  <c r="H35" i="15" l="1"/>
  <c r="E36" i="15" s="1"/>
  <c r="D59" i="15"/>
  <c r="I59" i="15" s="1"/>
  <c r="B60" i="15"/>
  <c r="F35" i="14"/>
  <c r="G35" i="14" s="1"/>
  <c r="F35" i="13"/>
  <c r="G35" i="13" s="1"/>
  <c r="D60" i="13"/>
  <c r="I60" i="13" s="1"/>
  <c r="B61" i="13"/>
  <c r="H35" i="12"/>
  <c r="E36" i="12" s="1"/>
  <c r="D60" i="11"/>
  <c r="B61" i="11"/>
  <c r="I59" i="11"/>
  <c r="E37" i="17"/>
  <c r="D61" i="17"/>
  <c r="B62" i="17"/>
  <c r="F36" i="15" l="1"/>
  <c r="G36" i="15" s="1"/>
  <c r="D60" i="15"/>
  <c r="I60" i="15" s="1"/>
  <c r="B61" i="15"/>
  <c r="H35" i="14"/>
  <c r="E36" i="14" s="1"/>
  <c r="H35" i="13"/>
  <c r="E36" i="13" s="1"/>
  <c r="D61" i="13"/>
  <c r="I61" i="13" s="1"/>
  <c r="B62" i="13"/>
  <c r="F36" i="12"/>
  <c r="G36" i="12" s="1"/>
  <c r="D61" i="11"/>
  <c r="B62" i="11"/>
  <c r="I60" i="11"/>
  <c r="D62" i="17"/>
  <c r="B63" i="17"/>
  <c r="F37" i="17"/>
  <c r="G37" i="17" s="1"/>
  <c r="H37" i="17" s="1"/>
  <c r="H36" i="15" l="1"/>
  <c r="E37" i="15" s="1"/>
  <c r="D61" i="15"/>
  <c r="I61" i="15" s="1"/>
  <c r="B62" i="15"/>
  <c r="F36" i="14"/>
  <c r="G36" i="14" s="1"/>
  <c r="F36" i="13"/>
  <c r="G36" i="13" s="1"/>
  <c r="D62" i="13"/>
  <c r="I62" i="13" s="1"/>
  <c r="B63" i="13"/>
  <c r="H36" i="12"/>
  <c r="E37" i="12" s="1"/>
  <c r="D62" i="11"/>
  <c r="B63" i="11"/>
  <c r="I61" i="11"/>
  <c r="E38" i="17"/>
  <c r="D63" i="17"/>
  <c r="B64" i="17"/>
  <c r="F37" i="15" l="1"/>
  <c r="G37" i="15" s="1"/>
  <c r="D62" i="15"/>
  <c r="I62" i="15" s="1"/>
  <c r="B63" i="15"/>
  <c r="H36" i="14"/>
  <c r="E37" i="14" s="1"/>
  <c r="H36" i="13"/>
  <c r="E37" i="13" s="1"/>
  <c r="D63" i="13"/>
  <c r="I63" i="13" s="1"/>
  <c r="B64" i="13"/>
  <c r="F37" i="12"/>
  <c r="G37" i="12" s="1"/>
  <c r="B64" i="11"/>
  <c r="D63" i="11"/>
  <c r="I62" i="11"/>
  <c r="D64" i="17"/>
  <c r="B65" i="17"/>
  <c r="F38" i="17"/>
  <c r="G38" i="17" s="1"/>
  <c r="H38" i="17" s="1"/>
  <c r="H37" i="15" l="1"/>
  <c r="E38" i="15" s="1"/>
  <c r="D63" i="15"/>
  <c r="I63" i="15" s="1"/>
  <c r="B64" i="15"/>
  <c r="F37" i="14"/>
  <c r="G37" i="14" s="1"/>
  <c r="F37" i="13"/>
  <c r="G37" i="13" s="1"/>
  <c r="D64" i="13"/>
  <c r="I64" i="13" s="1"/>
  <c r="B65" i="13"/>
  <c r="H37" i="12"/>
  <c r="E38" i="12" s="1"/>
  <c r="B65" i="11"/>
  <c r="D64" i="11"/>
  <c r="I63" i="11"/>
  <c r="E39" i="17"/>
  <c r="D65" i="17"/>
  <c r="B66" i="17"/>
  <c r="D64" i="15" l="1"/>
  <c r="I64" i="15" s="1"/>
  <c r="B65" i="15"/>
  <c r="F38" i="15"/>
  <c r="G38" i="15" s="1"/>
  <c r="H37" i="14"/>
  <c r="E38" i="14" s="1"/>
  <c r="H37" i="13"/>
  <c r="E38" i="13" s="1"/>
  <c r="D65" i="13"/>
  <c r="I65" i="13" s="1"/>
  <c r="B66" i="13"/>
  <c r="F38" i="12"/>
  <c r="G38" i="12" s="1"/>
  <c r="B66" i="11"/>
  <c r="D65" i="11"/>
  <c r="I64" i="11"/>
  <c r="D66" i="17"/>
  <c r="B67" i="17"/>
  <c r="F39" i="17"/>
  <c r="G39" i="17" s="1"/>
  <c r="H39" i="17" s="1"/>
  <c r="H38" i="15" l="1"/>
  <c r="E39" i="15" s="1"/>
  <c r="D65" i="15"/>
  <c r="I65" i="15" s="1"/>
  <c r="B66" i="15"/>
  <c r="F38" i="14"/>
  <c r="G38" i="14" s="1"/>
  <c r="F38" i="13"/>
  <c r="G38" i="13" s="1"/>
  <c r="D66" i="13"/>
  <c r="I66" i="13" s="1"/>
  <c r="B67" i="13"/>
  <c r="H38" i="12"/>
  <c r="E39" i="12" s="1"/>
  <c r="D66" i="11"/>
  <c r="B67" i="11"/>
  <c r="I65" i="11"/>
  <c r="E40" i="17"/>
  <c r="D67" i="17"/>
  <c r="B68" i="17"/>
  <c r="F39" i="15" l="1"/>
  <c r="G39" i="15" s="1"/>
  <c r="D66" i="15"/>
  <c r="I66" i="15" s="1"/>
  <c r="B67" i="15"/>
  <c r="H38" i="14"/>
  <c r="E39" i="14" s="1"/>
  <c r="H38" i="13"/>
  <c r="E39" i="13" s="1"/>
  <c r="D67" i="13"/>
  <c r="I67" i="13" s="1"/>
  <c r="B68" i="13"/>
  <c r="F39" i="12"/>
  <c r="G39" i="12" s="1"/>
  <c r="B68" i="11"/>
  <c r="D67" i="11"/>
  <c r="I66" i="11"/>
  <c r="F40" i="17"/>
  <c r="G40" i="17" s="1"/>
  <c r="H40" i="17" s="1"/>
  <c r="D68" i="17"/>
  <c r="B69" i="17"/>
  <c r="H39" i="15" l="1"/>
  <c r="E40" i="15" s="1"/>
  <c r="D67" i="15"/>
  <c r="I67" i="15" s="1"/>
  <c r="B68" i="15"/>
  <c r="F39" i="14"/>
  <c r="G39" i="14" s="1"/>
  <c r="F39" i="13"/>
  <c r="G39" i="13" s="1"/>
  <c r="D68" i="13"/>
  <c r="I68" i="13" s="1"/>
  <c r="B69" i="13"/>
  <c r="H39" i="12"/>
  <c r="E40" i="12" s="1"/>
  <c r="D68" i="11"/>
  <c r="B69" i="11"/>
  <c r="I67" i="11"/>
  <c r="E41" i="17"/>
  <c r="D69" i="17"/>
  <c r="B70" i="17"/>
  <c r="F40" i="15" l="1"/>
  <c r="G40" i="15" s="1"/>
  <c r="D68" i="15"/>
  <c r="I68" i="15" s="1"/>
  <c r="B69" i="15"/>
  <c r="H39" i="14"/>
  <c r="E40" i="14" s="1"/>
  <c r="H39" i="13"/>
  <c r="E40" i="13" s="1"/>
  <c r="D69" i="13"/>
  <c r="I69" i="13" s="1"/>
  <c r="B70" i="13"/>
  <c r="F40" i="12"/>
  <c r="G40" i="12" s="1"/>
  <c r="D69" i="11"/>
  <c r="B70" i="11"/>
  <c r="I68" i="11"/>
  <c r="D70" i="17"/>
  <c r="B71" i="17"/>
  <c r="F41" i="17"/>
  <c r="G41" i="17" s="1"/>
  <c r="H41" i="17" s="1"/>
  <c r="H40" i="15" l="1"/>
  <c r="E41" i="15" s="1"/>
  <c r="D69" i="15"/>
  <c r="I69" i="15" s="1"/>
  <c r="B70" i="15"/>
  <c r="F40" i="14"/>
  <c r="G40" i="14" s="1"/>
  <c r="F40" i="13"/>
  <c r="G40" i="13" s="1"/>
  <c r="D70" i="13"/>
  <c r="I70" i="13" s="1"/>
  <c r="B71" i="13"/>
  <c r="H40" i="12"/>
  <c r="E41" i="12" s="1"/>
  <c r="D70" i="11"/>
  <c r="B71" i="11"/>
  <c r="I69" i="11"/>
  <c r="E42" i="17"/>
  <c r="D71" i="17"/>
  <c r="B72" i="17"/>
  <c r="F41" i="15" l="1"/>
  <c r="G41" i="15" s="1"/>
  <c r="D70" i="15"/>
  <c r="I70" i="15" s="1"/>
  <c r="B71" i="15"/>
  <c r="H40" i="14"/>
  <c r="E41" i="14" s="1"/>
  <c r="H40" i="13"/>
  <c r="E41" i="13" s="1"/>
  <c r="D71" i="13"/>
  <c r="I71" i="13" s="1"/>
  <c r="B72" i="13"/>
  <c r="F41" i="12"/>
  <c r="G41" i="12" s="1"/>
  <c r="B72" i="11"/>
  <c r="D71" i="11"/>
  <c r="I70" i="11"/>
  <c r="D72" i="17"/>
  <c r="B73" i="17"/>
  <c r="F42" i="17"/>
  <c r="G42" i="17" s="1"/>
  <c r="H42" i="17" s="1"/>
  <c r="H41" i="15" l="1"/>
  <c r="E42" i="15" s="1"/>
  <c r="D71" i="15"/>
  <c r="I71" i="15" s="1"/>
  <c r="B72" i="15"/>
  <c r="F41" i="14"/>
  <c r="G41" i="14" s="1"/>
  <c r="F41" i="13"/>
  <c r="G41" i="13" s="1"/>
  <c r="D72" i="13"/>
  <c r="I72" i="13" s="1"/>
  <c r="B73" i="13"/>
  <c r="H41" i="12"/>
  <c r="E42" i="12" s="1"/>
  <c r="D72" i="11"/>
  <c r="B73" i="11"/>
  <c r="I71" i="11"/>
  <c r="E43" i="17"/>
  <c r="D73" i="17"/>
  <c r="B74" i="17"/>
  <c r="F42" i="15" l="1"/>
  <c r="G42" i="15" s="1"/>
  <c r="D72" i="15"/>
  <c r="I72" i="15" s="1"/>
  <c r="B73" i="15"/>
  <c r="H41" i="14"/>
  <c r="E42" i="14" s="1"/>
  <c r="H41" i="13"/>
  <c r="E42" i="13" s="1"/>
  <c r="D73" i="13"/>
  <c r="I73" i="13" s="1"/>
  <c r="B74" i="13"/>
  <c r="F42" i="12"/>
  <c r="G42" i="12" s="1"/>
  <c r="B74" i="11"/>
  <c r="D73" i="11"/>
  <c r="I72" i="11"/>
  <c r="D74" i="17"/>
  <c r="B75" i="17"/>
  <c r="F43" i="17"/>
  <c r="G43" i="17" s="1"/>
  <c r="H43" i="17" s="1"/>
  <c r="H42" i="15" l="1"/>
  <c r="E43" i="15" s="1"/>
  <c r="D73" i="15"/>
  <c r="I73" i="15" s="1"/>
  <c r="B74" i="15"/>
  <c r="F42" i="14"/>
  <c r="G42" i="14" s="1"/>
  <c r="F42" i="13"/>
  <c r="G42" i="13" s="1"/>
  <c r="B75" i="13"/>
  <c r="D74" i="13"/>
  <c r="I74" i="13" s="1"/>
  <c r="H42" i="12"/>
  <c r="E43" i="12" s="1"/>
  <c r="D74" i="11"/>
  <c r="B75" i="11"/>
  <c r="I73" i="11"/>
  <c r="E44" i="17"/>
  <c r="D75" i="17"/>
  <c r="B76" i="17"/>
  <c r="F43" i="15" l="1"/>
  <c r="G43" i="15" s="1"/>
  <c r="D74" i="15"/>
  <c r="I74" i="15" s="1"/>
  <c r="B75" i="15"/>
  <c r="H42" i="14"/>
  <c r="E43" i="14" s="1"/>
  <c r="H42" i="13"/>
  <c r="E43" i="13" s="1"/>
  <c r="D75" i="13"/>
  <c r="I75" i="13" s="1"/>
  <c r="B76" i="13"/>
  <c r="F43" i="12"/>
  <c r="G43" i="12" s="1"/>
  <c r="D75" i="11"/>
  <c r="B76" i="11"/>
  <c r="I74" i="11"/>
  <c r="D76" i="17"/>
  <c r="B77" i="17"/>
  <c r="F44" i="17"/>
  <c r="G44" i="17" s="1"/>
  <c r="H44" i="17" s="1"/>
  <c r="H43" i="15" l="1"/>
  <c r="E44" i="15" s="1"/>
  <c r="D75" i="15"/>
  <c r="I75" i="15" s="1"/>
  <c r="B76" i="15"/>
  <c r="F43" i="14"/>
  <c r="G43" i="14" s="1"/>
  <c r="F43" i="13"/>
  <c r="G43" i="13" s="1"/>
  <c r="D76" i="13"/>
  <c r="I76" i="13" s="1"/>
  <c r="B77" i="13"/>
  <c r="H43" i="12"/>
  <c r="E44" i="12" s="1"/>
  <c r="D76" i="11"/>
  <c r="B77" i="11"/>
  <c r="I75" i="11"/>
  <c r="E45" i="17"/>
  <c r="D77" i="17"/>
  <c r="B78" i="17"/>
  <c r="F44" i="15" l="1"/>
  <c r="G44" i="15" s="1"/>
  <c r="D76" i="15"/>
  <c r="I76" i="15" s="1"/>
  <c r="B77" i="15"/>
  <c r="H43" i="14"/>
  <c r="E44" i="14" s="1"/>
  <c r="H43" i="13"/>
  <c r="E44" i="13" s="1"/>
  <c r="D77" i="13"/>
  <c r="I77" i="13" s="1"/>
  <c r="B78" i="13"/>
  <c r="F44" i="12"/>
  <c r="G44" i="12" s="1"/>
  <c r="D77" i="11"/>
  <c r="B78" i="11"/>
  <c r="I76" i="11"/>
  <c r="D78" i="17"/>
  <c r="B79" i="17"/>
  <c r="F45" i="17"/>
  <c r="G45" i="17" s="1"/>
  <c r="H45" i="17" s="1"/>
  <c r="H44" i="15" l="1"/>
  <c r="E45" i="15" s="1"/>
  <c r="D77" i="15"/>
  <c r="I77" i="15" s="1"/>
  <c r="B78" i="15"/>
  <c r="F44" i="14"/>
  <c r="G44" i="14" s="1"/>
  <c r="F44" i="13"/>
  <c r="G44" i="13" s="1"/>
  <c r="D78" i="13"/>
  <c r="I78" i="13" s="1"/>
  <c r="B79" i="13"/>
  <c r="H44" i="12"/>
  <c r="E45" i="12" s="1"/>
  <c r="B79" i="11"/>
  <c r="D78" i="11"/>
  <c r="I77" i="11"/>
  <c r="E46" i="17"/>
  <c r="D79" i="17"/>
  <c r="B80" i="17"/>
  <c r="F45" i="15" l="1"/>
  <c r="G45" i="15" s="1"/>
  <c r="D78" i="15"/>
  <c r="I78" i="15" s="1"/>
  <c r="B79" i="15"/>
  <c r="H44" i="14"/>
  <c r="E45" i="14" s="1"/>
  <c r="H44" i="13"/>
  <c r="E45" i="13" s="1"/>
  <c r="D79" i="13"/>
  <c r="I79" i="13" s="1"/>
  <c r="B80" i="13"/>
  <c r="F45" i="12"/>
  <c r="G45" i="12" s="1"/>
  <c r="B80" i="11"/>
  <c r="D79" i="11"/>
  <c r="I78" i="11"/>
  <c r="D80" i="17"/>
  <c r="B81" i="17"/>
  <c r="F46" i="17"/>
  <c r="G46" i="17" s="1"/>
  <c r="H46" i="17" s="1"/>
  <c r="H45" i="15" l="1"/>
  <c r="E46" i="15" s="1"/>
  <c r="D79" i="15"/>
  <c r="I79" i="15" s="1"/>
  <c r="B80" i="15"/>
  <c r="F45" i="14"/>
  <c r="G45" i="14" s="1"/>
  <c r="F45" i="13"/>
  <c r="G45" i="13" s="1"/>
  <c r="D80" i="13"/>
  <c r="I80" i="13" s="1"/>
  <c r="B81" i="13"/>
  <c r="H45" i="12"/>
  <c r="E46" i="12" s="1"/>
  <c r="B81" i="11"/>
  <c r="D80" i="11"/>
  <c r="I79" i="11"/>
  <c r="E47" i="17"/>
  <c r="D81" i="17"/>
  <c r="B82" i="17"/>
  <c r="F46" i="15" l="1"/>
  <c r="G46" i="15" s="1"/>
  <c r="D80" i="15"/>
  <c r="I80" i="15" s="1"/>
  <c r="B81" i="15"/>
  <c r="H45" i="14"/>
  <c r="E46" i="14" s="1"/>
  <c r="H45" i="13"/>
  <c r="E46" i="13" s="1"/>
  <c r="D81" i="13"/>
  <c r="I81" i="13" s="1"/>
  <c r="B82" i="13"/>
  <c r="F46" i="12"/>
  <c r="G46" i="12" s="1"/>
  <c r="B82" i="11"/>
  <c r="D81" i="11"/>
  <c r="I80" i="11"/>
  <c r="D82" i="17"/>
  <c r="B83" i="17"/>
  <c r="F47" i="17"/>
  <c r="G47" i="17" s="1"/>
  <c r="H47" i="17" s="1"/>
  <c r="H46" i="15" l="1"/>
  <c r="E47" i="15" s="1"/>
  <c r="D81" i="15"/>
  <c r="I81" i="15" s="1"/>
  <c r="B82" i="15"/>
  <c r="F46" i="14"/>
  <c r="G46" i="14" s="1"/>
  <c r="F46" i="13"/>
  <c r="G46" i="13" s="1"/>
  <c r="D82" i="13"/>
  <c r="I82" i="13" s="1"/>
  <c r="B83" i="13"/>
  <c r="H46" i="12"/>
  <c r="E47" i="12" s="1"/>
  <c r="D82" i="11"/>
  <c r="B83" i="11"/>
  <c r="I81" i="11"/>
  <c r="E48" i="17"/>
  <c r="D83" i="17"/>
  <c r="B84" i="17"/>
  <c r="F47" i="15" l="1"/>
  <c r="G47" i="15" s="1"/>
  <c r="D82" i="15"/>
  <c r="I82" i="15" s="1"/>
  <c r="B83" i="15"/>
  <c r="H46" i="14"/>
  <c r="E47" i="14" s="1"/>
  <c r="H46" i="13"/>
  <c r="E47" i="13" s="1"/>
  <c r="D83" i="13"/>
  <c r="I83" i="13" s="1"/>
  <c r="B84" i="13"/>
  <c r="F47" i="12"/>
  <c r="G47" i="12" s="1"/>
  <c r="D83" i="11"/>
  <c r="B84" i="11"/>
  <c r="I82" i="11"/>
  <c r="D84" i="17"/>
  <c r="B85" i="17"/>
  <c r="F48" i="17"/>
  <c r="G48" i="17" s="1"/>
  <c r="H48" i="17" s="1"/>
  <c r="H47" i="15" l="1"/>
  <c r="E48" i="15" s="1"/>
  <c r="D83" i="15"/>
  <c r="I83" i="15" s="1"/>
  <c r="B84" i="15"/>
  <c r="F47" i="14"/>
  <c r="G47" i="14" s="1"/>
  <c r="F47" i="13"/>
  <c r="G47" i="13" s="1"/>
  <c r="D84" i="13"/>
  <c r="I84" i="13" s="1"/>
  <c r="B85" i="13"/>
  <c r="H47" i="12"/>
  <c r="E48" i="12" s="1"/>
  <c r="D84" i="11"/>
  <c r="B85" i="11"/>
  <c r="I83" i="11"/>
  <c r="E49" i="17"/>
  <c r="D85" i="17"/>
  <c r="B86" i="17"/>
  <c r="F48" i="15" l="1"/>
  <c r="G48" i="15" s="1"/>
  <c r="D84" i="15"/>
  <c r="I84" i="15" s="1"/>
  <c r="B85" i="15"/>
  <c r="H47" i="14"/>
  <c r="E48" i="14" s="1"/>
  <c r="H47" i="13"/>
  <c r="E48" i="13" s="1"/>
  <c r="D85" i="13"/>
  <c r="I85" i="13" s="1"/>
  <c r="B86" i="13"/>
  <c r="F48" i="12"/>
  <c r="G48" i="12" s="1"/>
  <c r="D85" i="11"/>
  <c r="B86" i="11"/>
  <c r="I84" i="11"/>
  <c r="D86" i="17"/>
  <c r="B87" i="17"/>
  <c r="F49" i="17"/>
  <c r="G49" i="17" s="1"/>
  <c r="H49" i="17" s="1"/>
  <c r="H48" i="15" l="1"/>
  <c r="E49" i="15" s="1"/>
  <c r="D85" i="15"/>
  <c r="I85" i="15" s="1"/>
  <c r="B86" i="15"/>
  <c r="F48" i="14"/>
  <c r="G48" i="14" s="1"/>
  <c r="F48" i="13"/>
  <c r="G48" i="13" s="1"/>
  <c r="D86" i="13"/>
  <c r="I86" i="13" s="1"/>
  <c r="B87" i="13"/>
  <c r="H48" i="12"/>
  <c r="E49" i="12" s="1"/>
  <c r="B87" i="11"/>
  <c r="D86" i="11"/>
  <c r="I85" i="11"/>
  <c r="E50" i="17"/>
  <c r="D87" i="17"/>
  <c r="B88" i="17"/>
  <c r="F49" i="15" l="1"/>
  <c r="G49" i="15" s="1"/>
  <c r="D86" i="15"/>
  <c r="I86" i="15" s="1"/>
  <c r="B87" i="15"/>
  <c r="H48" i="14"/>
  <c r="E49" i="14" s="1"/>
  <c r="H48" i="13"/>
  <c r="E49" i="13" s="1"/>
  <c r="D87" i="13"/>
  <c r="I87" i="13" s="1"/>
  <c r="B88" i="13"/>
  <c r="F49" i="12"/>
  <c r="G49" i="12" s="1"/>
  <c r="B88" i="11"/>
  <c r="D87" i="11"/>
  <c r="I86" i="11"/>
  <c r="D88" i="17"/>
  <c r="B89" i="17"/>
  <c r="F50" i="17"/>
  <c r="G50" i="17" s="1"/>
  <c r="H50" i="17" s="1"/>
  <c r="H49" i="15" l="1"/>
  <c r="E50" i="15" s="1"/>
  <c r="D87" i="15"/>
  <c r="I87" i="15" s="1"/>
  <c r="B88" i="15"/>
  <c r="F49" i="14"/>
  <c r="G49" i="14" s="1"/>
  <c r="F49" i="13"/>
  <c r="G49" i="13" s="1"/>
  <c r="D88" i="13"/>
  <c r="I88" i="13" s="1"/>
  <c r="B89" i="13"/>
  <c r="H49" i="12"/>
  <c r="E50" i="12" s="1"/>
  <c r="D88" i="11"/>
  <c r="B89" i="11"/>
  <c r="I87" i="11"/>
  <c r="E51" i="17"/>
  <c r="D89" i="17"/>
  <c r="B90" i="17"/>
  <c r="F50" i="15" l="1"/>
  <c r="G50" i="15" s="1"/>
  <c r="D88" i="15"/>
  <c r="I88" i="15" s="1"/>
  <c r="B89" i="15"/>
  <c r="H49" i="14"/>
  <c r="E50" i="14" s="1"/>
  <c r="H49" i="13"/>
  <c r="E50" i="13" s="1"/>
  <c r="D89" i="13"/>
  <c r="I89" i="13" s="1"/>
  <c r="B90" i="13"/>
  <c r="F50" i="12"/>
  <c r="G50" i="12" s="1"/>
  <c r="B90" i="11"/>
  <c r="D89" i="11"/>
  <c r="I88" i="11"/>
  <c r="D90" i="17"/>
  <c r="B91" i="17"/>
  <c r="F51" i="17"/>
  <c r="G51" i="17" s="1"/>
  <c r="H51" i="17" s="1"/>
  <c r="H50" i="15" l="1"/>
  <c r="E51" i="15" s="1"/>
  <c r="D89" i="15"/>
  <c r="I89" i="15" s="1"/>
  <c r="B90" i="15"/>
  <c r="F50" i="14"/>
  <c r="G50" i="14" s="1"/>
  <c r="F50" i="13"/>
  <c r="G50" i="13" s="1"/>
  <c r="D90" i="13"/>
  <c r="I90" i="13" s="1"/>
  <c r="B91" i="13"/>
  <c r="H50" i="12"/>
  <c r="E51" i="12" s="1"/>
  <c r="D90" i="11"/>
  <c r="B91" i="11"/>
  <c r="I89" i="11"/>
  <c r="E52" i="17"/>
  <c r="D91" i="17"/>
  <c r="B92" i="17"/>
  <c r="F51" i="15" l="1"/>
  <c r="G51" i="15" s="1"/>
  <c r="D90" i="15"/>
  <c r="I90" i="15" s="1"/>
  <c r="B91" i="15"/>
  <c r="H50" i="14"/>
  <c r="E51" i="14" s="1"/>
  <c r="H50" i="13"/>
  <c r="E51" i="13" s="1"/>
  <c r="D91" i="13"/>
  <c r="I91" i="13" s="1"/>
  <c r="B92" i="13"/>
  <c r="F51" i="12"/>
  <c r="G51" i="12" s="1"/>
  <c r="B92" i="11"/>
  <c r="D91" i="11"/>
  <c r="I90" i="11"/>
  <c r="D92" i="17"/>
  <c r="B93" i="17"/>
  <c r="F52" i="17"/>
  <c r="G52" i="17" s="1"/>
  <c r="H52" i="17" s="1"/>
  <c r="H51" i="15" l="1"/>
  <c r="E52" i="15" s="1"/>
  <c r="D91" i="15"/>
  <c r="I91" i="15" s="1"/>
  <c r="B92" i="15"/>
  <c r="F51" i="14"/>
  <c r="G51" i="14" s="1"/>
  <c r="F51" i="13"/>
  <c r="G51" i="13" s="1"/>
  <c r="D92" i="13"/>
  <c r="I92" i="13" s="1"/>
  <c r="B93" i="13"/>
  <c r="H51" i="12"/>
  <c r="E52" i="12" s="1"/>
  <c r="D92" i="11"/>
  <c r="B93" i="11"/>
  <c r="I91" i="11"/>
  <c r="E53" i="17"/>
  <c r="D93" i="17"/>
  <c r="B94" i="17"/>
  <c r="F52" i="15" l="1"/>
  <c r="G52" i="15" s="1"/>
  <c r="D92" i="15"/>
  <c r="I92" i="15" s="1"/>
  <c r="B93" i="15"/>
  <c r="H51" i="14"/>
  <c r="E52" i="14" s="1"/>
  <c r="H51" i="13"/>
  <c r="E52" i="13" s="1"/>
  <c r="D93" i="13"/>
  <c r="I93" i="13" s="1"/>
  <c r="B94" i="13"/>
  <c r="F52" i="12"/>
  <c r="G52" i="12" s="1"/>
  <c r="D93" i="11"/>
  <c r="B94" i="11"/>
  <c r="I92" i="11"/>
  <c r="F53" i="17"/>
  <c r="D94" i="17"/>
  <c r="B95" i="17"/>
  <c r="H52" i="15" l="1"/>
  <c r="E53" i="15" s="1"/>
  <c r="D93" i="15"/>
  <c r="I93" i="15" s="1"/>
  <c r="B94" i="15"/>
  <c r="F52" i="14"/>
  <c r="G52" i="14" s="1"/>
  <c r="F52" i="13"/>
  <c r="G52" i="13" s="1"/>
  <c r="D94" i="13"/>
  <c r="I94" i="13" s="1"/>
  <c r="B95" i="13"/>
  <c r="H52" i="12"/>
  <c r="E53" i="12" s="1"/>
  <c r="D94" i="11"/>
  <c r="B95" i="11"/>
  <c r="I93" i="11"/>
  <c r="G53" i="17"/>
  <c r="H53" i="17" s="1"/>
  <c r="F5" i="17"/>
  <c r="F3" i="17"/>
  <c r="G54" i="17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D95" i="17"/>
  <c r="B96" i="17"/>
  <c r="D94" i="15" l="1"/>
  <c r="I94" i="15" s="1"/>
  <c r="B95" i="15"/>
  <c r="F53" i="15"/>
  <c r="G53" i="15" s="1"/>
  <c r="H52" i="14"/>
  <c r="E53" i="14" s="1"/>
  <c r="H52" i="13"/>
  <c r="E53" i="13" s="1"/>
  <c r="D95" i="13"/>
  <c r="I95" i="13" s="1"/>
  <c r="B96" i="13"/>
  <c r="F53" i="12"/>
  <c r="G53" i="12" s="1"/>
  <c r="B96" i="11"/>
  <c r="D95" i="11"/>
  <c r="I94" i="11"/>
  <c r="D96" i="17"/>
  <c r="B97" i="17"/>
  <c r="H53" i="15" l="1"/>
  <c r="E54" i="15" s="1"/>
  <c r="D95" i="15"/>
  <c r="I95" i="15" s="1"/>
  <c r="B96" i="15"/>
  <c r="F53" i="14"/>
  <c r="G53" i="14" s="1"/>
  <c r="F53" i="13"/>
  <c r="G53" i="13" s="1"/>
  <c r="D96" i="13"/>
  <c r="I96" i="13" s="1"/>
  <c r="B97" i="13"/>
  <c r="H53" i="12"/>
  <c r="E54" i="12" s="1"/>
  <c r="D96" i="11"/>
  <c r="B97" i="11"/>
  <c r="I95" i="11"/>
  <c r="D97" i="17"/>
  <c r="B98" i="17"/>
  <c r="D96" i="15" l="1"/>
  <c r="I96" i="15" s="1"/>
  <c r="B97" i="15"/>
  <c r="F54" i="15"/>
  <c r="G54" i="15" s="1"/>
  <c r="H53" i="14"/>
  <c r="E54" i="14" s="1"/>
  <c r="H53" i="13"/>
  <c r="E54" i="13" s="1"/>
  <c r="D97" i="13"/>
  <c r="I97" i="13" s="1"/>
  <c r="B98" i="13"/>
  <c r="F54" i="12"/>
  <c r="G54" i="12" s="1"/>
  <c r="B98" i="11"/>
  <c r="D97" i="11"/>
  <c r="I96" i="11"/>
  <c r="D98" i="17"/>
  <c r="B99" i="17"/>
  <c r="H54" i="15" l="1"/>
  <c r="E55" i="15" s="1"/>
  <c r="D97" i="15"/>
  <c r="I97" i="15" s="1"/>
  <c r="B98" i="15"/>
  <c r="F54" i="14"/>
  <c r="G54" i="14" s="1"/>
  <c r="F54" i="13"/>
  <c r="G54" i="13" s="1"/>
  <c r="D98" i="13"/>
  <c r="I98" i="13" s="1"/>
  <c r="B99" i="13"/>
  <c r="H54" i="12"/>
  <c r="E55" i="12" s="1"/>
  <c r="D98" i="11"/>
  <c r="B99" i="11"/>
  <c r="I97" i="11"/>
  <c r="D99" i="17"/>
  <c r="B100" i="17"/>
  <c r="F55" i="15" l="1"/>
  <c r="G55" i="15" s="1"/>
  <c r="D98" i="15"/>
  <c r="I98" i="15" s="1"/>
  <c r="B99" i="15"/>
  <c r="H54" i="14"/>
  <c r="E55" i="14" s="1"/>
  <c r="H54" i="13"/>
  <c r="E55" i="13" s="1"/>
  <c r="D99" i="13"/>
  <c r="I99" i="13" s="1"/>
  <c r="B100" i="13"/>
  <c r="F55" i="12"/>
  <c r="G55" i="12" s="1"/>
  <c r="D99" i="11"/>
  <c r="B100" i="11"/>
  <c r="I98" i="11"/>
  <c r="D100" i="17"/>
  <c r="B101" i="17"/>
  <c r="H55" i="15" l="1"/>
  <c r="E56" i="15" s="1"/>
  <c r="D99" i="15"/>
  <c r="I99" i="15" s="1"/>
  <c r="B100" i="15"/>
  <c r="F55" i="14"/>
  <c r="G55" i="14" s="1"/>
  <c r="F55" i="13"/>
  <c r="G55" i="13" s="1"/>
  <c r="D100" i="13"/>
  <c r="I100" i="13" s="1"/>
  <c r="B101" i="13"/>
  <c r="H55" i="12"/>
  <c r="E56" i="12" s="1"/>
  <c r="D100" i="11"/>
  <c r="B101" i="11"/>
  <c r="I99" i="11"/>
  <c r="D101" i="17"/>
  <c r="B102" i="17"/>
  <c r="D100" i="15" l="1"/>
  <c r="I100" i="15" s="1"/>
  <c r="B101" i="15"/>
  <c r="F56" i="15"/>
  <c r="G56" i="15" s="1"/>
  <c r="H55" i="14"/>
  <c r="E56" i="14" s="1"/>
  <c r="H55" i="13"/>
  <c r="E56" i="13" s="1"/>
  <c r="D101" i="13"/>
  <c r="I101" i="13" s="1"/>
  <c r="B102" i="13"/>
  <c r="F56" i="12"/>
  <c r="G56" i="12" s="1"/>
  <c r="D101" i="11"/>
  <c r="B102" i="11"/>
  <c r="I100" i="11"/>
  <c r="D102" i="17"/>
  <c r="B103" i="17"/>
  <c r="H56" i="15" l="1"/>
  <c r="E57" i="15" s="1"/>
  <c r="D101" i="15"/>
  <c r="I101" i="15" s="1"/>
  <c r="B102" i="15"/>
  <c r="F56" i="14"/>
  <c r="G56" i="14" s="1"/>
  <c r="F56" i="13"/>
  <c r="G56" i="13" s="1"/>
  <c r="D102" i="13"/>
  <c r="I102" i="13" s="1"/>
  <c r="B103" i="13"/>
  <c r="H56" i="12"/>
  <c r="E57" i="12" s="1"/>
  <c r="B103" i="11"/>
  <c r="D102" i="11"/>
  <c r="I101" i="11"/>
  <c r="D103" i="17"/>
  <c r="B104" i="17"/>
  <c r="F57" i="15" l="1"/>
  <c r="G57" i="15" s="1"/>
  <c r="D102" i="15"/>
  <c r="I102" i="15" s="1"/>
  <c r="B103" i="15"/>
  <c r="H56" i="14"/>
  <c r="E57" i="14" s="1"/>
  <c r="H56" i="13"/>
  <c r="E57" i="13" s="1"/>
  <c r="D103" i="13"/>
  <c r="I103" i="13" s="1"/>
  <c r="B104" i="13"/>
  <c r="F57" i="12"/>
  <c r="G57" i="12" s="1"/>
  <c r="B104" i="11"/>
  <c r="D103" i="11"/>
  <c r="I102" i="11"/>
  <c r="D104" i="17"/>
  <c r="B105" i="17"/>
  <c r="H57" i="15" l="1"/>
  <c r="E58" i="15" s="1"/>
  <c r="D103" i="15"/>
  <c r="I103" i="15" s="1"/>
  <c r="B104" i="15"/>
  <c r="F57" i="14"/>
  <c r="G57" i="14" s="1"/>
  <c r="F57" i="13"/>
  <c r="G57" i="13" s="1"/>
  <c r="D104" i="13"/>
  <c r="I104" i="13" s="1"/>
  <c r="B105" i="13"/>
  <c r="H57" i="12"/>
  <c r="E58" i="12" s="1"/>
  <c r="B105" i="11"/>
  <c r="D104" i="11"/>
  <c r="I103" i="11"/>
  <c r="D105" i="17"/>
  <c r="B106" i="17"/>
  <c r="D104" i="15" l="1"/>
  <c r="I104" i="15" s="1"/>
  <c r="B105" i="15"/>
  <c r="F58" i="15"/>
  <c r="G58" i="15" s="1"/>
  <c r="H57" i="14"/>
  <c r="E58" i="14" s="1"/>
  <c r="H57" i="13"/>
  <c r="E58" i="13" s="1"/>
  <c r="D105" i="13"/>
  <c r="I105" i="13" s="1"/>
  <c r="B106" i="13"/>
  <c r="F58" i="12"/>
  <c r="G58" i="12" s="1"/>
  <c r="B106" i="11"/>
  <c r="D105" i="11"/>
  <c r="I104" i="11"/>
  <c r="D106" i="17"/>
  <c r="B107" i="17"/>
  <c r="H58" i="15" l="1"/>
  <c r="E59" i="15" s="1"/>
  <c r="D105" i="15"/>
  <c r="I105" i="15" s="1"/>
  <c r="B106" i="15"/>
  <c r="F58" i="14"/>
  <c r="G58" i="14" s="1"/>
  <c r="F58" i="13"/>
  <c r="G58" i="13" s="1"/>
  <c r="D106" i="13"/>
  <c r="I106" i="13" s="1"/>
  <c r="B107" i="13"/>
  <c r="H58" i="12"/>
  <c r="E59" i="12" s="1"/>
  <c r="D106" i="11"/>
  <c r="B107" i="11"/>
  <c r="I105" i="11"/>
  <c r="D107" i="17"/>
  <c r="B108" i="17"/>
  <c r="F59" i="15" l="1"/>
  <c r="G59" i="15" s="1"/>
  <c r="D106" i="15"/>
  <c r="I106" i="15" s="1"/>
  <c r="B107" i="15"/>
  <c r="H58" i="14"/>
  <c r="E59" i="14" s="1"/>
  <c r="H58" i="13"/>
  <c r="E59" i="13" s="1"/>
  <c r="D107" i="13"/>
  <c r="I107" i="13" s="1"/>
  <c r="B108" i="13"/>
  <c r="F59" i="12"/>
  <c r="G59" i="12" s="1"/>
  <c r="D107" i="11"/>
  <c r="B108" i="11"/>
  <c r="I106" i="11"/>
  <c r="D108" i="17"/>
  <c r="B109" i="17"/>
  <c r="H59" i="15" l="1"/>
  <c r="E60" i="15" s="1"/>
  <c r="D107" i="15"/>
  <c r="I107" i="15" s="1"/>
  <c r="B108" i="15"/>
  <c r="F59" i="14"/>
  <c r="G59" i="14" s="1"/>
  <c r="F59" i="13"/>
  <c r="G59" i="13" s="1"/>
  <c r="D108" i="13"/>
  <c r="I108" i="13" s="1"/>
  <c r="B109" i="13"/>
  <c r="H59" i="12"/>
  <c r="E60" i="12" s="1"/>
  <c r="D108" i="11"/>
  <c r="B109" i="11"/>
  <c r="I107" i="11"/>
  <c r="D109" i="17"/>
  <c r="B110" i="17"/>
  <c r="F60" i="15" l="1"/>
  <c r="G60" i="15" s="1"/>
  <c r="D108" i="15"/>
  <c r="I108" i="15" s="1"/>
  <c r="B109" i="15"/>
  <c r="H59" i="14"/>
  <c r="E60" i="14" s="1"/>
  <c r="H59" i="13"/>
  <c r="E60" i="13" s="1"/>
  <c r="D109" i="13"/>
  <c r="I109" i="13" s="1"/>
  <c r="B110" i="13"/>
  <c r="F60" i="12"/>
  <c r="G60" i="12" s="1"/>
  <c r="D109" i="11"/>
  <c r="B110" i="11"/>
  <c r="I108" i="11"/>
  <c r="D110" i="17"/>
  <c r="B111" i="17"/>
  <c r="H60" i="15" l="1"/>
  <c r="E61" i="15" s="1"/>
  <c r="D109" i="15"/>
  <c r="I109" i="15" s="1"/>
  <c r="B110" i="15"/>
  <c r="F60" i="14"/>
  <c r="G60" i="14" s="1"/>
  <c r="F60" i="13"/>
  <c r="G60" i="13" s="1"/>
  <c r="D110" i="13"/>
  <c r="I110" i="13" s="1"/>
  <c r="B111" i="13"/>
  <c r="H60" i="12"/>
  <c r="E61" i="12" s="1"/>
  <c r="B111" i="11"/>
  <c r="D110" i="11"/>
  <c r="I109" i="11"/>
  <c r="D111" i="17"/>
  <c r="B112" i="17"/>
  <c r="F61" i="15" l="1"/>
  <c r="G61" i="15" s="1"/>
  <c r="D110" i="15"/>
  <c r="I110" i="15" s="1"/>
  <c r="B111" i="15"/>
  <c r="H60" i="14"/>
  <c r="E61" i="14" s="1"/>
  <c r="H60" i="13"/>
  <c r="E61" i="13" s="1"/>
  <c r="D111" i="13"/>
  <c r="I111" i="13" s="1"/>
  <c r="B112" i="13"/>
  <c r="F61" i="12"/>
  <c r="G61" i="12" s="1"/>
  <c r="B112" i="11"/>
  <c r="D111" i="11"/>
  <c r="I110" i="11"/>
  <c r="D112" i="17"/>
  <c r="B113" i="17"/>
  <c r="H61" i="15" l="1"/>
  <c r="E62" i="15" s="1"/>
  <c r="D111" i="15"/>
  <c r="I111" i="15" s="1"/>
  <c r="B112" i="15"/>
  <c r="F61" i="14"/>
  <c r="G61" i="14" s="1"/>
  <c r="F61" i="13"/>
  <c r="G61" i="13" s="1"/>
  <c r="D112" i="13"/>
  <c r="I112" i="13" s="1"/>
  <c r="B113" i="13"/>
  <c r="H61" i="12"/>
  <c r="E62" i="12" s="1"/>
  <c r="D112" i="11"/>
  <c r="B113" i="11"/>
  <c r="I111" i="11"/>
  <c r="D113" i="17"/>
  <c r="B114" i="17"/>
  <c r="D112" i="15" l="1"/>
  <c r="I112" i="15" s="1"/>
  <c r="B113" i="15"/>
  <c r="F62" i="15"/>
  <c r="G62" i="15" s="1"/>
  <c r="H61" i="14"/>
  <c r="E62" i="14" s="1"/>
  <c r="H61" i="13"/>
  <c r="E62" i="13" s="1"/>
  <c r="D113" i="13"/>
  <c r="I113" i="13" s="1"/>
  <c r="B114" i="13"/>
  <c r="F62" i="12"/>
  <c r="G62" i="12" s="1"/>
  <c r="B114" i="11"/>
  <c r="D113" i="11"/>
  <c r="I112" i="11"/>
  <c r="D114" i="17"/>
  <c r="B115" i="17"/>
  <c r="H62" i="15" l="1"/>
  <c r="E63" i="15" s="1"/>
  <c r="D113" i="15"/>
  <c r="I113" i="15" s="1"/>
  <c r="B114" i="15"/>
  <c r="F62" i="14"/>
  <c r="G62" i="14" s="1"/>
  <c r="F62" i="13"/>
  <c r="G62" i="13" s="1"/>
  <c r="D114" i="13"/>
  <c r="I114" i="13" s="1"/>
  <c r="B115" i="13"/>
  <c r="H62" i="12"/>
  <c r="E63" i="12" s="1"/>
  <c r="B115" i="11"/>
  <c r="D114" i="11"/>
  <c r="I113" i="11"/>
  <c r="D115" i="17"/>
  <c r="B116" i="17"/>
  <c r="F63" i="15" l="1"/>
  <c r="G63" i="15" s="1"/>
  <c r="D114" i="15"/>
  <c r="I114" i="15" s="1"/>
  <c r="B115" i="15"/>
  <c r="H62" i="14"/>
  <c r="E63" i="14" s="1"/>
  <c r="H62" i="13"/>
  <c r="E63" i="13" s="1"/>
  <c r="D115" i="13"/>
  <c r="I115" i="13" s="1"/>
  <c r="B116" i="13"/>
  <c r="F63" i="12"/>
  <c r="G63" i="12" s="1"/>
  <c r="D115" i="11"/>
  <c r="B116" i="11"/>
  <c r="I114" i="11"/>
  <c r="D116" i="17"/>
  <c r="B117" i="17"/>
  <c r="H63" i="15" l="1"/>
  <c r="E64" i="15" s="1"/>
  <c r="D115" i="15"/>
  <c r="I115" i="15" s="1"/>
  <c r="B116" i="15"/>
  <c r="F63" i="14"/>
  <c r="G63" i="14" s="1"/>
  <c r="F63" i="13"/>
  <c r="G63" i="13" s="1"/>
  <c r="D116" i="13"/>
  <c r="I116" i="13" s="1"/>
  <c r="B117" i="13"/>
  <c r="H63" i="12"/>
  <c r="E64" i="12" s="1"/>
  <c r="B117" i="11"/>
  <c r="D116" i="11"/>
  <c r="I115" i="11"/>
  <c r="D117" i="17"/>
  <c r="B118" i="17"/>
  <c r="D116" i="15" l="1"/>
  <c r="I116" i="15" s="1"/>
  <c r="B117" i="15"/>
  <c r="F64" i="15"/>
  <c r="G64" i="15" s="1"/>
  <c r="H63" i="14"/>
  <c r="E64" i="14" s="1"/>
  <c r="H63" i="13"/>
  <c r="E64" i="13" s="1"/>
  <c r="D117" i="13"/>
  <c r="I117" i="13" s="1"/>
  <c r="B118" i="13"/>
  <c r="F64" i="12"/>
  <c r="G64" i="12" s="1"/>
  <c r="D117" i="11"/>
  <c r="B118" i="11"/>
  <c r="I116" i="11"/>
  <c r="D118" i="17"/>
  <c r="B119" i="17"/>
  <c r="H64" i="15" l="1"/>
  <c r="E65" i="15" s="1"/>
  <c r="D117" i="15"/>
  <c r="I117" i="15" s="1"/>
  <c r="B118" i="15"/>
  <c r="F64" i="14"/>
  <c r="G64" i="14" s="1"/>
  <c r="F64" i="13"/>
  <c r="G64" i="13" s="1"/>
  <c r="D118" i="13"/>
  <c r="I118" i="13" s="1"/>
  <c r="B119" i="13"/>
  <c r="H64" i="12"/>
  <c r="E65" i="12" s="1"/>
  <c r="B119" i="11"/>
  <c r="D118" i="11"/>
  <c r="I117" i="11"/>
  <c r="D119" i="17"/>
  <c r="B120" i="17"/>
  <c r="F65" i="15" l="1"/>
  <c r="G65" i="15" s="1"/>
  <c r="D118" i="15"/>
  <c r="I118" i="15" s="1"/>
  <c r="B119" i="15"/>
  <c r="H64" i="14"/>
  <c r="E65" i="14" s="1"/>
  <c r="H64" i="13"/>
  <c r="E65" i="13" s="1"/>
  <c r="D119" i="13"/>
  <c r="I119" i="13" s="1"/>
  <c r="B120" i="13"/>
  <c r="F65" i="12"/>
  <c r="G65" i="12" s="1"/>
  <c r="B120" i="11"/>
  <c r="D119" i="11"/>
  <c r="I118" i="11"/>
  <c r="D120" i="17"/>
  <c r="B121" i="17"/>
  <c r="H65" i="15" l="1"/>
  <c r="E66" i="15" s="1"/>
  <c r="D119" i="15"/>
  <c r="I119" i="15" s="1"/>
  <c r="B120" i="15"/>
  <c r="F65" i="14"/>
  <c r="G65" i="14" s="1"/>
  <c r="F65" i="13"/>
  <c r="G65" i="13" s="1"/>
  <c r="D120" i="13"/>
  <c r="I120" i="13" s="1"/>
  <c r="B121" i="13"/>
  <c r="H65" i="12"/>
  <c r="E66" i="12" s="1"/>
  <c r="B121" i="11"/>
  <c r="D120" i="11"/>
  <c r="I119" i="11"/>
  <c r="D121" i="17"/>
  <c r="B122" i="17"/>
  <c r="F66" i="15" l="1"/>
  <c r="G66" i="15" s="1"/>
  <c r="D120" i="15"/>
  <c r="I120" i="15" s="1"/>
  <c r="B121" i="15"/>
  <c r="H65" i="14"/>
  <c r="E66" i="14" s="1"/>
  <c r="H65" i="13"/>
  <c r="E66" i="13" s="1"/>
  <c r="D121" i="13"/>
  <c r="I121" i="13" s="1"/>
  <c r="B122" i="13"/>
  <c r="F66" i="12"/>
  <c r="G66" i="12" s="1"/>
  <c r="D121" i="11"/>
  <c r="B122" i="11"/>
  <c r="I120" i="11"/>
  <c r="D122" i="17"/>
  <c r="B123" i="17"/>
  <c r="H66" i="15" l="1"/>
  <c r="E67" i="15" s="1"/>
  <c r="D121" i="15"/>
  <c r="I121" i="15" s="1"/>
  <c r="B122" i="15"/>
  <c r="F66" i="14"/>
  <c r="G66" i="14" s="1"/>
  <c r="F66" i="13"/>
  <c r="G66" i="13" s="1"/>
  <c r="D122" i="13"/>
  <c r="I122" i="13" s="1"/>
  <c r="B123" i="13"/>
  <c r="H66" i="12"/>
  <c r="E67" i="12" s="1"/>
  <c r="D122" i="11"/>
  <c r="B123" i="11"/>
  <c r="I121" i="11"/>
  <c r="D123" i="17"/>
  <c r="B124" i="17"/>
  <c r="F67" i="15" l="1"/>
  <c r="G67" i="15" s="1"/>
  <c r="D122" i="15"/>
  <c r="I122" i="15" s="1"/>
  <c r="B123" i="15"/>
  <c r="H66" i="14"/>
  <c r="E67" i="14" s="1"/>
  <c r="H66" i="13"/>
  <c r="E67" i="13" s="1"/>
  <c r="D123" i="13"/>
  <c r="I123" i="13" s="1"/>
  <c r="B124" i="13"/>
  <c r="F67" i="12"/>
  <c r="G67" i="12" s="1"/>
  <c r="D123" i="11"/>
  <c r="B124" i="11"/>
  <c r="I122" i="11"/>
  <c r="D124" i="17"/>
  <c r="B125" i="17"/>
  <c r="H67" i="15" l="1"/>
  <c r="E68" i="15" s="1"/>
  <c r="D123" i="15"/>
  <c r="I123" i="15" s="1"/>
  <c r="B124" i="15"/>
  <c r="F67" i="14"/>
  <c r="G67" i="14" s="1"/>
  <c r="F67" i="13"/>
  <c r="G67" i="13" s="1"/>
  <c r="D124" i="13"/>
  <c r="I124" i="13" s="1"/>
  <c r="B125" i="13"/>
  <c r="H67" i="12"/>
  <c r="E68" i="12" s="1"/>
  <c r="B125" i="11"/>
  <c r="D124" i="11"/>
  <c r="I123" i="11"/>
  <c r="D125" i="17"/>
  <c r="B126" i="17"/>
  <c r="F68" i="15" l="1"/>
  <c r="G68" i="15" s="1"/>
  <c r="D124" i="15"/>
  <c r="I124" i="15" s="1"/>
  <c r="B125" i="15"/>
  <c r="H67" i="14"/>
  <c r="E68" i="14" s="1"/>
  <c r="H67" i="13"/>
  <c r="E68" i="13" s="1"/>
  <c r="D125" i="13"/>
  <c r="I125" i="13" s="1"/>
  <c r="B126" i="13"/>
  <c r="F68" i="12"/>
  <c r="G68" i="12" s="1"/>
  <c r="B126" i="11"/>
  <c r="D125" i="11"/>
  <c r="I124" i="11"/>
  <c r="D126" i="17"/>
  <c r="B127" i="17"/>
  <c r="H68" i="15" l="1"/>
  <c r="E69" i="15" s="1"/>
  <c r="D125" i="15"/>
  <c r="I125" i="15" s="1"/>
  <c r="B126" i="15"/>
  <c r="F68" i="14"/>
  <c r="G68" i="14" s="1"/>
  <c r="F68" i="13"/>
  <c r="G68" i="13" s="1"/>
  <c r="D126" i="13"/>
  <c r="I126" i="13" s="1"/>
  <c r="B127" i="13"/>
  <c r="H68" i="12"/>
  <c r="E69" i="12" s="1"/>
  <c r="B127" i="11"/>
  <c r="D126" i="11"/>
  <c r="I125" i="11"/>
  <c r="B128" i="17"/>
  <c r="D127" i="17"/>
  <c r="F69" i="15" l="1"/>
  <c r="G69" i="15" s="1"/>
  <c r="D126" i="15"/>
  <c r="I126" i="15" s="1"/>
  <c r="B127" i="15"/>
  <c r="H68" i="14"/>
  <c r="E69" i="14" s="1"/>
  <c r="H68" i="13"/>
  <c r="E69" i="13" s="1"/>
  <c r="B128" i="13"/>
  <c r="D127" i="13"/>
  <c r="I127" i="13" s="1"/>
  <c r="F69" i="12"/>
  <c r="G69" i="12" s="1"/>
  <c r="B128" i="11"/>
  <c r="D127" i="11"/>
  <c r="I126" i="11"/>
  <c r="B129" i="17"/>
  <c r="D128" i="17"/>
  <c r="H69" i="15" l="1"/>
  <c r="E70" i="15" s="1"/>
  <c r="D127" i="15"/>
  <c r="I127" i="15" s="1"/>
  <c r="B128" i="15"/>
  <c r="F69" i="14"/>
  <c r="G69" i="14" s="1"/>
  <c r="F69" i="13"/>
  <c r="G69" i="13" s="1"/>
  <c r="B129" i="13"/>
  <c r="D128" i="13"/>
  <c r="I128" i="13" s="1"/>
  <c r="H69" i="12"/>
  <c r="E70" i="12" s="1"/>
  <c r="D128" i="11"/>
  <c r="B129" i="11"/>
  <c r="I127" i="11"/>
  <c r="B130" i="17"/>
  <c r="D129" i="17"/>
  <c r="D128" i="15" l="1"/>
  <c r="I128" i="15" s="1"/>
  <c r="B129" i="15"/>
  <c r="F70" i="15"/>
  <c r="G70" i="15" s="1"/>
  <c r="H69" i="14"/>
  <c r="E70" i="14" s="1"/>
  <c r="H69" i="13"/>
  <c r="E70" i="13" s="1"/>
  <c r="B130" i="13"/>
  <c r="D129" i="13"/>
  <c r="I129" i="13" s="1"/>
  <c r="F70" i="12"/>
  <c r="G70" i="12" s="1"/>
  <c r="D129" i="11"/>
  <c r="B130" i="11"/>
  <c r="I128" i="11"/>
  <c r="B131" i="17"/>
  <c r="D130" i="17"/>
  <c r="H70" i="15" l="1"/>
  <c r="E71" i="15" s="1"/>
  <c r="D129" i="15"/>
  <c r="I129" i="15" s="1"/>
  <c r="B130" i="15"/>
  <c r="F70" i="14"/>
  <c r="G70" i="14" s="1"/>
  <c r="F70" i="13"/>
  <c r="G70" i="13" s="1"/>
  <c r="B131" i="13"/>
  <c r="D130" i="13"/>
  <c r="I130" i="13" s="1"/>
  <c r="H70" i="12"/>
  <c r="E71" i="12" s="1"/>
  <c r="D130" i="11"/>
  <c r="B131" i="11"/>
  <c r="I129" i="11"/>
  <c r="D131" i="17"/>
  <c r="B132" i="17"/>
  <c r="F71" i="15" l="1"/>
  <c r="G71" i="15" s="1"/>
  <c r="D130" i="15"/>
  <c r="I130" i="15" s="1"/>
  <c r="B131" i="15"/>
  <c r="H70" i="14"/>
  <c r="E71" i="14" s="1"/>
  <c r="H70" i="13"/>
  <c r="E71" i="13" s="1"/>
  <c r="B132" i="13"/>
  <c r="D131" i="13"/>
  <c r="I131" i="13" s="1"/>
  <c r="F71" i="12"/>
  <c r="G71" i="12" s="1"/>
  <c r="D131" i="11"/>
  <c r="B132" i="11"/>
  <c r="I130" i="11"/>
  <c r="D132" i="17"/>
  <c r="B133" i="17"/>
  <c r="H71" i="15" l="1"/>
  <c r="E72" i="15" s="1"/>
  <c r="D131" i="15"/>
  <c r="I131" i="15" s="1"/>
  <c r="B132" i="15"/>
  <c r="F71" i="14"/>
  <c r="G71" i="14" s="1"/>
  <c r="F71" i="13"/>
  <c r="G71" i="13" s="1"/>
  <c r="B133" i="13"/>
  <c r="D132" i="13"/>
  <c r="I132" i="13" s="1"/>
  <c r="H71" i="12"/>
  <c r="E72" i="12" s="1"/>
  <c r="B133" i="11"/>
  <c r="D132" i="11"/>
  <c r="I131" i="11"/>
  <c r="D133" i="17"/>
  <c r="B134" i="17"/>
  <c r="F72" i="15" l="1"/>
  <c r="G72" i="15" s="1"/>
  <c r="D132" i="15"/>
  <c r="I132" i="15" s="1"/>
  <c r="B133" i="15"/>
  <c r="H71" i="14"/>
  <c r="E72" i="14" s="1"/>
  <c r="H71" i="13"/>
  <c r="E72" i="13" s="1"/>
  <c r="B134" i="13"/>
  <c r="D133" i="13"/>
  <c r="I133" i="13" s="1"/>
  <c r="F72" i="12"/>
  <c r="G72" i="12" s="1"/>
  <c r="B134" i="11"/>
  <c r="D133" i="11"/>
  <c r="I132" i="11"/>
  <c r="D134" i="17"/>
  <c r="B135" i="17"/>
  <c r="H72" i="15" l="1"/>
  <c r="E73" i="15" s="1"/>
  <c r="D133" i="15"/>
  <c r="I133" i="15" s="1"/>
  <c r="B134" i="15"/>
  <c r="F72" i="14"/>
  <c r="G72" i="14" s="1"/>
  <c r="F72" i="13"/>
  <c r="G72" i="13" s="1"/>
  <c r="B135" i="13"/>
  <c r="D134" i="13"/>
  <c r="I134" i="13" s="1"/>
  <c r="H72" i="12"/>
  <c r="E73" i="12" s="1"/>
  <c r="B135" i="11"/>
  <c r="D134" i="11"/>
  <c r="I133" i="11"/>
  <c r="B136" i="17"/>
  <c r="D135" i="17"/>
  <c r="F73" i="15" l="1"/>
  <c r="G73" i="15" s="1"/>
  <c r="D134" i="15"/>
  <c r="I134" i="15" s="1"/>
  <c r="B135" i="15"/>
  <c r="H72" i="14"/>
  <c r="E73" i="14" s="1"/>
  <c r="H72" i="13"/>
  <c r="E73" i="13" s="1"/>
  <c r="B136" i="13"/>
  <c r="D135" i="13"/>
  <c r="I135" i="13" s="1"/>
  <c r="F73" i="12"/>
  <c r="G73" i="12" s="1"/>
  <c r="D135" i="11"/>
  <c r="I135" i="11" s="1"/>
  <c r="B136" i="11"/>
  <c r="I134" i="11"/>
  <c r="B137" i="17"/>
  <c r="D136" i="17"/>
  <c r="H73" i="15" l="1"/>
  <c r="E74" i="15" s="1"/>
  <c r="D135" i="15"/>
  <c r="I135" i="15" s="1"/>
  <c r="B136" i="15"/>
  <c r="F73" i="14"/>
  <c r="G73" i="14" s="1"/>
  <c r="F73" i="13"/>
  <c r="G73" i="13" s="1"/>
  <c r="B137" i="13"/>
  <c r="D136" i="13"/>
  <c r="I136" i="13" s="1"/>
  <c r="H73" i="12"/>
  <c r="E74" i="12" s="1"/>
  <c r="D136" i="11"/>
  <c r="I136" i="11" s="1"/>
  <c r="B137" i="11"/>
  <c r="B138" i="17"/>
  <c r="D137" i="17"/>
  <c r="F74" i="15" l="1"/>
  <c r="G74" i="15" s="1"/>
  <c r="D136" i="15"/>
  <c r="I136" i="15" s="1"/>
  <c r="B137" i="15"/>
  <c r="H73" i="14"/>
  <c r="E74" i="14" s="1"/>
  <c r="H73" i="13"/>
  <c r="E74" i="13" s="1"/>
  <c r="B138" i="13"/>
  <c r="D137" i="13"/>
  <c r="I137" i="13" s="1"/>
  <c r="F74" i="12"/>
  <c r="G74" i="12" s="1"/>
  <c r="D137" i="11"/>
  <c r="I137" i="11" s="1"/>
  <c r="B138" i="11"/>
  <c r="B139" i="17"/>
  <c r="D138" i="17"/>
  <c r="H74" i="15" l="1"/>
  <c r="E75" i="15" s="1"/>
  <c r="D137" i="15"/>
  <c r="I137" i="15" s="1"/>
  <c r="B138" i="15"/>
  <c r="F74" i="14"/>
  <c r="G74" i="14" s="1"/>
  <c r="F74" i="13"/>
  <c r="G74" i="13" s="1"/>
  <c r="B139" i="13"/>
  <c r="D138" i="13"/>
  <c r="I138" i="13" s="1"/>
  <c r="H74" i="12"/>
  <c r="E75" i="12" s="1"/>
  <c r="D138" i="11"/>
  <c r="I138" i="11" s="1"/>
  <c r="B139" i="11"/>
  <c r="D139" i="17"/>
  <c r="B140" i="17"/>
  <c r="F75" i="15" l="1"/>
  <c r="G75" i="15" s="1"/>
  <c r="D138" i="15"/>
  <c r="I138" i="15" s="1"/>
  <c r="B139" i="15"/>
  <c r="H74" i="14"/>
  <c r="E75" i="14" s="1"/>
  <c r="H74" i="13"/>
  <c r="E75" i="13" s="1"/>
  <c r="B140" i="13"/>
  <c r="D139" i="13"/>
  <c r="I139" i="13" s="1"/>
  <c r="F75" i="12"/>
  <c r="G75" i="12" s="1"/>
  <c r="D139" i="11"/>
  <c r="I139" i="11" s="1"/>
  <c r="B140" i="11"/>
  <c r="D140" i="17"/>
  <c r="B141" i="17"/>
  <c r="H75" i="15" l="1"/>
  <c r="E76" i="15" s="1"/>
  <c r="D139" i="15"/>
  <c r="I139" i="15" s="1"/>
  <c r="B140" i="15"/>
  <c r="F75" i="14"/>
  <c r="G75" i="14" s="1"/>
  <c r="F75" i="13"/>
  <c r="G75" i="13" s="1"/>
  <c r="B141" i="13"/>
  <c r="D140" i="13"/>
  <c r="I140" i="13" s="1"/>
  <c r="H75" i="12"/>
  <c r="E76" i="12" s="1"/>
  <c r="B141" i="11"/>
  <c r="D140" i="11"/>
  <c r="I140" i="11" s="1"/>
  <c r="D141" i="17"/>
  <c r="B142" i="17"/>
  <c r="F76" i="15" l="1"/>
  <c r="G76" i="15" s="1"/>
  <c r="D140" i="15"/>
  <c r="I140" i="15" s="1"/>
  <c r="B141" i="15"/>
  <c r="H75" i="14"/>
  <c r="E76" i="14" s="1"/>
  <c r="H75" i="13"/>
  <c r="E76" i="13" s="1"/>
  <c r="B142" i="13"/>
  <c r="D141" i="13"/>
  <c r="I141" i="13" s="1"/>
  <c r="F76" i="12"/>
  <c r="G76" i="12" s="1"/>
  <c r="B142" i="11"/>
  <c r="D141" i="11"/>
  <c r="I141" i="11" s="1"/>
  <c r="D142" i="17"/>
  <c r="B143" i="17"/>
  <c r="H76" i="15" l="1"/>
  <c r="E77" i="15" s="1"/>
  <c r="D141" i="15"/>
  <c r="I141" i="15" s="1"/>
  <c r="B142" i="15"/>
  <c r="F76" i="14"/>
  <c r="G76" i="14" s="1"/>
  <c r="F76" i="13"/>
  <c r="G76" i="13" s="1"/>
  <c r="B143" i="13"/>
  <c r="D142" i="13"/>
  <c r="I142" i="13" s="1"/>
  <c r="H76" i="12"/>
  <c r="E77" i="12" s="1"/>
  <c r="B143" i="11"/>
  <c r="D142" i="11"/>
  <c r="I142" i="11" s="1"/>
  <c r="B144" i="17"/>
  <c r="D143" i="17"/>
  <c r="F77" i="15" l="1"/>
  <c r="G77" i="15" s="1"/>
  <c r="D142" i="15"/>
  <c r="I142" i="15" s="1"/>
  <c r="B143" i="15"/>
  <c r="H76" i="14"/>
  <c r="E77" i="14" s="1"/>
  <c r="H76" i="13"/>
  <c r="E77" i="13" s="1"/>
  <c r="B144" i="13"/>
  <c r="D143" i="13"/>
  <c r="I143" i="13" s="1"/>
  <c r="F77" i="12"/>
  <c r="G77" i="12" s="1"/>
  <c r="D143" i="11"/>
  <c r="I143" i="11" s="1"/>
  <c r="B144" i="11"/>
  <c r="B145" i="17"/>
  <c r="D144" i="17"/>
  <c r="H77" i="15" l="1"/>
  <c r="E78" i="15" s="1"/>
  <c r="D143" i="15"/>
  <c r="I143" i="15" s="1"/>
  <c r="B144" i="15"/>
  <c r="F77" i="14"/>
  <c r="G77" i="14" s="1"/>
  <c r="F77" i="13"/>
  <c r="G77" i="13" s="1"/>
  <c r="B145" i="13"/>
  <c r="D144" i="13"/>
  <c r="I144" i="13" s="1"/>
  <c r="H77" i="12"/>
  <c r="E78" i="12" s="1"/>
  <c r="D144" i="11"/>
  <c r="I144" i="11" s="1"/>
  <c r="B145" i="11"/>
  <c r="B146" i="17"/>
  <c r="D145" i="17"/>
  <c r="F78" i="15" l="1"/>
  <c r="G78" i="15" s="1"/>
  <c r="D144" i="15"/>
  <c r="I144" i="15" s="1"/>
  <c r="B145" i="15"/>
  <c r="H77" i="14"/>
  <c r="E78" i="14" s="1"/>
  <c r="H77" i="13"/>
  <c r="E78" i="13" s="1"/>
  <c r="B146" i="13"/>
  <c r="D145" i="13"/>
  <c r="I145" i="13" s="1"/>
  <c r="F78" i="12"/>
  <c r="G78" i="12" s="1"/>
  <c r="D145" i="11"/>
  <c r="I145" i="11" s="1"/>
  <c r="B146" i="11"/>
  <c r="B147" i="17"/>
  <c r="D146" i="17"/>
  <c r="H78" i="15" l="1"/>
  <c r="E79" i="15" s="1"/>
  <c r="D145" i="15"/>
  <c r="I145" i="15" s="1"/>
  <c r="B146" i="15"/>
  <c r="F78" i="14"/>
  <c r="G78" i="14" s="1"/>
  <c r="F78" i="13"/>
  <c r="G78" i="13" s="1"/>
  <c r="B147" i="13"/>
  <c r="D146" i="13"/>
  <c r="I146" i="13" s="1"/>
  <c r="H78" i="12"/>
  <c r="E79" i="12" s="1"/>
  <c r="D146" i="11"/>
  <c r="I146" i="11" s="1"/>
  <c r="B147" i="11"/>
  <c r="D147" i="17"/>
  <c r="B148" i="17"/>
  <c r="F79" i="15" l="1"/>
  <c r="G79" i="15" s="1"/>
  <c r="D146" i="15"/>
  <c r="I146" i="15" s="1"/>
  <c r="B147" i="15"/>
  <c r="H78" i="14"/>
  <c r="E79" i="14" s="1"/>
  <c r="H78" i="13"/>
  <c r="E79" i="13" s="1"/>
  <c r="B148" i="13"/>
  <c r="D147" i="13"/>
  <c r="I147" i="13" s="1"/>
  <c r="F79" i="12"/>
  <c r="G79" i="12" s="1"/>
  <c r="D147" i="11"/>
  <c r="I147" i="11" s="1"/>
  <c r="B148" i="11"/>
  <c r="D148" i="17"/>
  <c r="B149" i="17"/>
  <c r="H79" i="15" l="1"/>
  <c r="E80" i="15" s="1"/>
  <c r="D147" i="15"/>
  <c r="I147" i="15" s="1"/>
  <c r="B148" i="15"/>
  <c r="F79" i="14"/>
  <c r="G79" i="14" s="1"/>
  <c r="F79" i="13"/>
  <c r="G79" i="13" s="1"/>
  <c r="B149" i="13"/>
  <c r="D148" i="13"/>
  <c r="I148" i="13" s="1"/>
  <c r="H79" i="12"/>
  <c r="E80" i="12" s="1"/>
  <c r="B149" i="11"/>
  <c r="D148" i="11"/>
  <c r="I148" i="11" s="1"/>
  <c r="D149" i="17"/>
  <c r="B150" i="17"/>
  <c r="F80" i="15" l="1"/>
  <c r="G80" i="15" s="1"/>
  <c r="D148" i="15"/>
  <c r="I148" i="15" s="1"/>
  <c r="B149" i="15"/>
  <c r="H79" i="14"/>
  <c r="E80" i="14" s="1"/>
  <c r="H79" i="13"/>
  <c r="E80" i="13" s="1"/>
  <c r="B150" i="13"/>
  <c r="D149" i="13"/>
  <c r="I149" i="13" s="1"/>
  <c r="F80" i="12"/>
  <c r="G80" i="12" s="1"/>
  <c r="B150" i="11"/>
  <c r="D149" i="11"/>
  <c r="I149" i="11" s="1"/>
  <c r="D150" i="17"/>
  <c r="B151" i="17"/>
  <c r="H80" i="15" l="1"/>
  <c r="E81" i="15" s="1"/>
  <c r="D149" i="15"/>
  <c r="I149" i="15" s="1"/>
  <c r="B150" i="15"/>
  <c r="F80" i="14"/>
  <c r="G80" i="14" s="1"/>
  <c r="F80" i="13"/>
  <c r="G80" i="13" s="1"/>
  <c r="B151" i="13"/>
  <c r="D150" i="13"/>
  <c r="I150" i="13" s="1"/>
  <c r="H80" i="12"/>
  <c r="E81" i="12" s="1"/>
  <c r="B151" i="11"/>
  <c r="D150" i="11"/>
  <c r="I150" i="11" s="1"/>
  <c r="B152" i="17"/>
  <c r="D151" i="17"/>
  <c r="F81" i="15" l="1"/>
  <c r="G81" i="15" s="1"/>
  <c r="D150" i="15"/>
  <c r="I150" i="15" s="1"/>
  <c r="B151" i="15"/>
  <c r="H80" i="14"/>
  <c r="E81" i="14" s="1"/>
  <c r="H80" i="13"/>
  <c r="E81" i="13" s="1"/>
  <c r="B152" i="13"/>
  <c r="D151" i="13"/>
  <c r="I151" i="13" s="1"/>
  <c r="F81" i="12"/>
  <c r="G81" i="12" s="1"/>
  <c r="D151" i="11"/>
  <c r="I151" i="11" s="1"/>
  <c r="B152" i="11"/>
  <c r="B153" i="17"/>
  <c r="D152" i="17"/>
  <c r="D151" i="15" l="1"/>
  <c r="I151" i="15" s="1"/>
  <c r="B152" i="15"/>
  <c r="H81" i="15"/>
  <c r="E82" i="15" s="1"/>
  <c r="F81" i="14"/>
  <c r="G81" i="14" s="1"/>
  <c r="F81" i="13"/>
  <c r="G81" i="13" s="1"/>
  <c r="B153" i="13"/>
  <c r="D152" i="13"/>
  <c r="I152" i="13" s="1"/>
  <c r="H81" i="12"/>
  <c r="E82" i="12" s="1"/>
  <c r="D152" i="11"/>
  <c r="I152" i="11" s="1"/>
  <c r="B153" i="11"/>
  <c r="B154" i="17"/>
  <c r="D153" i="17"/>
  <c r="F82" i="15" l="1"/>
  <c r="G82" i="15" s="1"/>
  <c r="D152" i="15"/>
  <c r="I152" i="15" s="1"/>
  <c r="B153" i="15"/>
  <c r="H81" i="14"/>
  <c r="E82" i="14" s="1"/>
  <c r="H81" i="13"/>
  <c r="E82" i="13" s="1"/>
  <c r="B154" i="13"/>
  <c r="D153" i="13"/>
  <c r="I153" i="13" s="1"/>
  <c r="F82" i="12"/>
  <c r="G82" i="12" s="1"/>
  <c r="D153" i="11"/>
  <c r="I153" i="11" s="1"/>
  <c r="B154" i="11"/>
  <c r="B155" i="17"/>
  <c r="D154" i="17"/>
  <c r="H82" i="15" l="1"/>
  <c r="E83" i="15" s="1"/>
  <c r="D153" i="15"/>
  <c r="I153" i="15" s="1"/>
  <c r="B154" i="15"/>
  <c r="F82" i="14"/>
  <c r="G82" i="14" s="1"/>
  <c r="F82" i="13"/>
  <c r="G82" i="13" s="1"/>
  <c r="B155" i="13"/>
  <c r="D154" i="13"/>
  <c r="I154" i="13" s="1"/>
  <c r="H82" i="12"/>
  <c r="E83" i="12" s="1"/>
  <c r="D154" i="11"/>
  <c r="I154" i="11" s="1"/>
  <c r="B155" i="11"/>
  <c r="D155" i="17"/>
  <c r="B156" i="17"/>
  <c r="F83" i="15" l="1"/>
  <c r="G83" i="15" s="1"/>
  <c r="D154" i="15"/>
  <c r="I154" i="15" s="1"/>
  <c r="B155" i="15"/>
  <c r="H82" i="14"/>
  <c r="E83" i="14" s="1"/>
  <c r="H82" i="13"/>
  <c r="E83" i="13" s="1"/>
  <c r="B156" i="13"/>
  <c r="D155" i="13"/>
  <c r="I155" i="13" s="1"/>
  <c r="F83" i="12"/>
  <c r="G83" i="12" s="1"/>
  <c r="D155" i="11"/>
  <c r="I155" i="11" s="1"/>
  <c r="B156" i="11"/>
  <c r="D156" i="17"/>
  <c r="B157" i="17"/>
  <c r="H83" i="15" l="1"/>
  <c r="E84" i="15" s="1"/>
  <c r="D155" i="15"/>
  <c r="I155" i="15" s="1"/>
  <c r="B156" i="15"/>
  <c r="F83" i="14"/>
  <c r="G83" i="14" s="1"/>
  <c r="F83" i="13"/>
  <c r="G83" i="13" s="1"/>
  <c r="B157" i="13"/>
  <c r="D156" i="13"/>
  <c r="I156" i="13" s="1"/>
  <c r="H83" i="12"/>
  <c r="E84" i="12" s="1"/>
  <c r="B157" i="11"/>
  <c r="D156" i="11"/>
  <c r="I156" i="11" s="1"/>
  <c r="D157" i="17"/>
  <c r="B158" i="17"/>
  <c r="F84" i="15" l="1"/>
  <c r="G84" i="15" s="1"/>
  <c r="D156" i="15"/>
  <c r="I156" i="15" s="1"/>
  <c r="B157" i="15"/>
  <c r="H83" i="14"/>
  <c r="E84" i="14" s="1"/>
  <c r="H83" i="13"/>
  <c r="E84" i="13" s="1"/>
  <c r="B158" i="13"/>
  <c r="D157" i="13"/>
  <c r="I157" i="13" s="1"/>
  <c r="F84" i="12"/>
  <c r="G84" i="12" s="1"/>
  <c r="B158" i="11"/>
  <c r="D157" i="11"/>
  <c r="I157" i="11" s="1"/>
  <c r="D158" i="17"/>
  <c r="B159" i="17"/>
  <c r="H84" i="15" l="1"/>
  <c r="E85" i="15" s="1"/>
  <c r="D157" i="15"/>
  <c r="I157" i="15" s="1"/>
  <c r="B158" i="15"/>
  <c r="F84" i="14"/>
  <c r="G84" i="14" s="1"/>
  <c r="F84" i="13"/>
  <c r="G84" i="13" s="1"/>
  <c r="B159" i="13"/>
  <c r="D158" i="13"/>
  <c r="I158" i="13" s="1"/>
  <c r="H84" i="12"/>
  <c r="E85" i="12" s="1"/>
  <c r="B159" i="11"/>
  <c r="D158" i="11"/>
  <c r="I158" i="11" s="1"/>
  <c r="B160" i="17"/>
  <c r="D159" i="17"/>
  <c r="F85" i="15" l="1"/>
  <c r="G85" i="15" s="1"/>
  <c r="D158" i="15"/>
  <c r="I158" i="15" s="1"/>
  <c r="B159" i="15"/>
  <c r="H84" i="14"/>
  <c r="E85" i="14" s="1"/>
  <c r="H84" i="13"/>
  <c r="E85" i="13" s="1"/>
  <c r="B160" i="13"/>
  <c r="D159" i="13"/>
  <c r="I159" i="13" s="1"/>
  <c r="F85" i="12"/>
  <c r="G85" i="12" s="1"/>
  <c r="D159" i="11"/>
  <c r="I159" i="11" s="1"/>
  <c r="B160" i="11"/>
  <c r="B161" i="17"/>
  <c r="D160" i="17"/>
  <c r="H85" i="15" l="1"/>
  <c r="E86" i="15" s="1"/>
  <c r="D159" i="15"/>
  <c r="I159" i="15" s="1"/>
  <c r="B160" i="15"/>
  <c r="F85" i="14"/>
  <c r="G85" i="14" s="1"/>
  <c r="F85" i="13"/>
  <c r="G85" i="13" s="1"/>
  <c r="B161" i="13"/>
  <c r="D160" i="13"/>
  <c r="I160" i="13" s="1"/>
  <c r="H85" i="12"/>
  <c r="E86" i="12" s="1"/>
  <c r="D160" i="11"/>
  <c r="I160" i="11" s="1"/>
  <c r="B161" i="11"/>
  <c r="B162" i="17"/>
  <c r="D161" i="17"/>
  <c r="F86" i="15" l="1"/>
  <c r="G86" i="15" s="1"/>
  <c r="D160" i="15"/>
  <c r="I160" i="15" s="1"/>
  <c r="B161" i="15"/>
  <c r="H85" i="14"/>
  <c r="E86" i="14" s="1"/>
  <c r="H85" i="13"/>
  <c r="E86" i="13" s="1"/>
  <c r="B162" i="13"/>
  <c r="D161" i="13"/>
  <c r="I161" i="13" s="1"/>
  <c r="F86" i="12"/>
  <c r="G86" i="12" s="1"/>
  <c r="D161" i="11"/>
  <c r="I161" i="11" s="1"/>
  <c r="B162" i="11"/>
  <c r="B163" i="17"/>
  <c r="D162" i="17"/>
  <c r="H86" i="15" l="1"/>
  <c r="E87" i="15" s="1"/>
  <c r="D161" i="15"/>
  <c r="I161" i="15" s="1"/>
  <c r="B162" i="15"/>
  <c r="F86" i="14"/>
  <c r="G86" i="14" s="1"/>
  <c r="F86" i="13"/>
  <c r="G86" i="13" s="1"/>
  <c r="B163" i="13"/>
  <c r="D162" i="13"/>
  <c r="I162" i="13" s="1"/>
  <c r="H86" i="12"/>
  <c r="E87" i="12" s="1"/>
  <c r="D162" i="11"/>
  <c r="I162" i="11" s="1"/>
  <c r="B163" i="11"/>
  <c r="D163" i="17"/>
  <c r="B164" i="17"/>
  <c r="F87" i="15" l="1"/>
  <c r="G87" i="15" s="1"/>
  <c r="D162" i="15"/>
  <c r="I162" i="15" s="1"/>
  <c r="B163" i="15"/>
  <c r="H86" i="14"/>
  <c r="E87" i="14" s="1"/>
  <c r="H86" i="13"/>
  <c r="E87" i="13" s="1"/>
  <c r="B164" i="13"/>
  <c r="D163" i="13"/>
  <c r="I163" i="13" s="1"/>
  <c r="F87" i="12"/>
  <c r="G87" i="12" s="1"/>
  <c r="D163" i="11"/>
  <c r="I163" i="11" s="1"/>
  <c r="B164" i="11"/>
  <c r="D164" i="17"/>
  <c r="B165" i="17"/>
  <c r="H87" i="15" l="1"/>
  <c r="E88" i="15" s="1"/>
  <c r="D163" i="15"/>
  <c r="I163" i="15" s="1"/>
  <c r="B164" i="15"/>
  <c r="F87" i="14"/>
  <c r="G87" i="14" s="1"/>
  <c r="F87" i="13"/>
  <c r="G87" i="13" s="1"/>
  <c r="B165" i="13"/>
  <c r="D164" i="13"/>
  <c r="I164" i="13" s="1"/>
  <c r="H87" i="12"/>
  <c r="E88" i="12" s="1"/>
  <c r="B165" i="11"/>
  <c r="D164" i="11"/>
  <c r="I164" i="11" s="1"/>
  <c r="D165" i="17"/>
  <c r="B166" i="17"/>
  <c r="F88" i="15" l="1"/>
  <c r="G88" i="15" s="1"/>
  <c r="D164" i="15"/>
  <c r="I164" i="15" s="1"/>
  <c r="B165" i="15"/>
  <c r="H87" i="14"/>
  <c r="E88" i="14" s="1"/>
  <c r="H87" i="13"/>
  <c r="E88" i="13" s="1"/>
  <c r="B166" i="13"/>
  <c r="D165" i="13"/>
  <c r="I165" i="13" s="1"/>
  <c r="F88" i="12"/>
  <c r="G88" i="12" s="1"/>
  <c r="B166" i="11"/>
  <c r="D165" i="11"/>
  <c r="I165" i="11" s="1"/>
  <c r="D166" i="17"/>
  <c r="B167" i="17"/>
  <c r="H88" i="15" l="1"/>
  <c r="E89" i="15" s="1"/>
  <c r="D165" i="15"/>
  <c r="I165" i="15" s="1"/>
  <c r="B166" i="15"/>
  <c r="F88" i="14"/>
  <c r="G88" i="14" s="1"/>
  <c r="F88" i="13"/>
  <c r="G88" i="13" s="1"/>
  <c r="B167" i="13"/>
  <c r="D166" i="13"/>
  <c r="I166" i="13" s="1"/>
  <c r="H88" i="12"/>
  <c r="E89" i="12" s="1"/>
  <c r="B167" i="11"/>
  <c r="D166" i="11"/>
  <c r="I166" i="11" s="1"/>
  <c r="B168" i="17"/>
  <c r="D167" i="17"/>
  <c r="F89" i="15" l="1"/>
  <c r="G89" i="15" s="1"/>
  <c r="D166" i="15"/>
  <c r="I166" i="15" s="1"/>
  <c r="B167" i="15"/>
  <c r="H88" i="14"/>
  <c r="E89" i="14" s="1"/>
  <c r="H88" i="13"/>
  <c r="E89" i="13" s="1"/>
  <c r="B168" i="13"/>
  <c r="D167" i="13"/>
  <c r="I167" i="13" s="1"/>
  <c r="F89" i="12"/>
  <c r="G89" i="12" s="1"/>
  <c r="D167" i="11"/>
  <c r="I167" i="11" s="1"/>
  <c r="B168" i="11"/>
  <c r="B169" i="17"/>
  <c r="D168" i="17"/>
  <c r="H89" i="15" l="1"/>
  <c r="E90" i="15" s="1"/>
  <c r="D167" i="15"/>
  <c r="I167" i="15" s="1"/>
  <c r="B168" i="15"/>
  <c r="F89" i="14"/>
  <c r="G89" i="14" s="1"/>
  <c r="F89" i="13"/>
  <c r="G89" i="13" s="1"/>
  <c r="B169" i="13"/>
  <c r="D168" i="13"/>
  <c r="I168" i="13" s="1"/>
  <c r="H89" i="12"/>
  <c r="E90" i="12" s="1"/>
  <c r="D168" i="11"/>
  <c r="I168" i="11" s="1"/>
  <c r="B169" i="11"/>
  <c r="B170" i="17"/>
  <c r="D169" i="17"/>
  <c r="F90" i="15" l="1"/>
  <c r="G90" i="15" s="1"/>
  <c r="D168" i="15"/>
  <c r="I168" i="15" s="1"/>
  <c r="B169" i="15"/>
  <c r="H89" i="14"/>
  <c r="E90" i="14" s="1"/>
  <c r="H89" i="13"/>
  <c r="E90" i="13" s="1"/>
  <c r="B170" i="13"/>
  <c r="D169" i="13"/>
  <c r="I169" i="13" s="1"/>
  <c r="F90" i="12"/>
  <c r="G90" i="12" s="1"/>
  <c r="D169" i="11"/>
  <c r="I169" i="11" s="1"/>
  <c r="B170" i="11"/>
  <c r="B171" i="17"/>
  <c r="D170" i="17"/>
  <c r="H90" i="15" l="1"/>
  <c r="E91" i="15" s="1"/>
  <c r="D169" i="15"/>
  <c r="I169" i="15" s="1"/>
  <c r="B170" i="15"/>
  <c r="F90" i="14"/>
  <c r="G90" i="14" s="1"/>
  <c r="F90" i="13"/>
  <c r="G90" i="13" s="1"/>
  <c r="B171" i="13"/>
  <c r="D170" i="13"/>
  <c r="I170" i="13" s="1"/>
  <c r="H90" i="12"/>
  <c r="E91" i="12" s="1"/>
  <c r="D170" i="11"/>
  <c r="I170" i="11" s="1"/>
  <c r="B171" i="11"/>
  <c r="D171" i="17"/>
  <c r="B172" i="17"/>
  <c r="F91" i="15" l="1"/>
  <c r="G91" i="15" s="1"/>
  <c r="D170" i="15"/>
  <c r="I170" i="15" s="1"/>
  <c r="B171" i="15"/>
  <c r="H90" i="14"/>
  <c r="E91" i="14" s="1"/>
  <c r="H90" i="13"/>
  <c r="E91" i="13" s="1"/>
  <c r="B172" i="13"/>
  <c r="D171" i="13"/>
  <c r="I171" i="13" s="1"/>
  <c r="F91" i="12"/>
  <c r="G91" i="12" s="1"/>
  <c r="D171" i="11"/>
  <c r="I171" i="11" s="1"/>
  <c r="B172" i="11"/>
  <c r="D172" i="17"/>
  <c r="B173" i="17"/>
  <c r="H91" i="15" l="1"/>
  <c r="E92" i="15" s="1"/>
  <c r="D171" i="15"/>
  <c r="I171" i="15" s="1"/>
  <c r="B172" i="15"/>
  <c r="F91" i="14"/>
  <c r="G91" i="14" s="1"/>
  <c r="F91" i="13"/>
  <c r="G91" i="13" s="1"/>
  <c r="B173" i="13"/>
  <c r="D172" i="13"/>
  <c r="I172" i="13" s="1"/>
  <c r="H91" i="12"/>
  <c r="E92" i="12" s="1"/>
  <c r="B173" i="11"/>
  <c r="D172" i="11"/>
  <c r="I172" i="11" s="1"/>
  <c r="D173" i="17"/>
  <c r="B174" i="17"/>
  <c r="F92" i="15" l="1"/>
  <c r="G92" i="15" s="1"/>
  <c r="D172" i="15"/>
  <c r="I172" i="15" s="1"/>
  <c r="B173" i="15"/>
  <c r="H91" i="14"/>
  <c r="E92" i="14" s="1"/>
  <c r="H91" i="13"/>
  <c r="E92" i="13" s="1"/>
  <c r="B174" i="13"/>
  <c r="D173" i="13"/>
  <c r="I173" i="13" s="1"/>
  <c r="F92" i="12"/>
  <c r="G92" i="12" s="1"/>
  <c r="B174" i="11"/>
  <c r="D173" i="11"/>
  <c r="I173" i="11" s="1"/>
  <c r="D174" i="17"/>
  <c r="B175" i="17"/>
  <c r="H92" i="15" l="1"/>
  <c r="E93" i="15" s="1"/>
  <c r="D173" i="15"/>
  <c r="I173" i="15" s="1"/>
  <c r="B174" i="15"/>
  <c r="F92" i="14"/>
  <c r="G92" i="14" s="1"/>
  <c r="F92" i="13"/>
  <c r="G92" i="13" s="1"/>
  <c r="B175" i="13"/>
  <c r="D174" i="13"/>
  <c r="I174" i="13" s="1"/>
  <c r="H92" i="12"/>
  <c r="E93" i="12" s="1"/>
  <c r="B175" i="11"/>
  <c r="D174" i="11"/>
  <c r="I174" i="11" s="1"/>
  <c r="B176" i="17"/>
  <c r="D175" i="17"/>
  <c r="F93" i="15" l="1"/>
  <c r="G93" i="15" s="1"/>
  <c r="D174" i="15"/>
  <c r="I174" i="15" s="1"/>
  <c r="B175" i="15"/>
  <c r="H92" i="14"/>
  <c r="E93" i="14" s="1"/>
  <c r="H92" i="13"/>
  <c r="E93" i="13" s="1"/>
  <c r="B176" i="13"/>
  <c r="D175" i="13"/>
  <c r="I175" i="13" s="1"/>
  <c r="F93" i="12"/>
  <c r="G93" i="12" s="1"/>
  <c r="D175" i="11"/>
  <c r="I175" i="11" s="1"/>
  <c r="B176" i="11"/>
  <c r="B177" i="17"/>
  <c r="D176" i="17"/>
  <c r="H93" i="15" l="1"/>
  <c r="E94" i="15" s="1"/>
  <c r="D175" i="15"/>
  <c r="I175" i="15" s="1"/>
  <c r="B176" i="15"/>
  <c r="F93" i="14"/>
  <c r="G93" i="14" s="1"/>
  <c r="F93" i="13"/>
  <c r="G93" i="13" s="1"/>
  <c r="B177" i="13"/>
  <c r="D176" i="13"/>
  <c r="I176" i="13" s="1"/>
  <c r="H93" i="12"/>
  <c r="E94" i="12" s="1"/>
  <c r="D176" i="11"/>
  <c r="I176" i="11" s="1"/>
  <c r="B177" i="11"/>
  <c r="B178" i="17"/>
  <c r="D177" i="17"/>
  <c r="D176" i="15" l="1"/>
  <c r="I176" i="15" s="1"/>
  <c r="B177" i="15"/>
  <c r="F94" i="15"/>
  <c r="G94" i="15" s="1"/>
  <c r="H93" i="14"/>
  <c r="E94" i="14" s="1"/>
  <c r="H93" i="13"/>
  <c r="E94" i="13" s="1"/>
  <c r="B178" i="13"/>
  <c r="D177" i="13"/>
  <c r="I177" i="13" s="1"/>
  <c r="F94" i="12"/>
  <c r="G94" i="12" s="1"/>
  <c r="D177" i="11"/>
  <c r="I177" i="11" s="1"/>
  <c r="B178" i="11"/>
  <c r="B179" i="17"/>
  <c r="D178" i="17"/>
  <c r="H94" i="15" l="1"/>
  <c r="E95" i="15" s="1"/>
  <c r="D177" i="15"/>
  <c r="I177" i="15" s="1"/>
  <c r="B178" i="15"/>
  <c r="F94" i="14"/>
  <c r="G94" i="14" s="1"/>
  <c r="F94" i="13"/>
  <c r="G94" i="13" s="1"/>
  <c r="B179" i="13"/>
  <c r="D178" i="13"/>
  <c r="I178" i="13" s="1"/>
  <c r="H94" i="12"/>
  <c r="E95" i="12" s="1"/>
  <c r="D178" i="11"/>
  <c r="I178" i="11" s="1"/>
  <c r="B179" i="11"/>
  <c r="D179" i="17"/>
  <c r="B180" i="17"/>
  <c r="D178" i="15" l="1"/>
  <c r="I178" i="15" s="1"/>
  <c r="B179" i="15"/>
  <c r="F95" i="15"/>
  <c r="G95" i="15" s="1"/>
  <c r="H94" i="14"/>
  <c r="E95" i="14" s="1"/>
  <c r="H94" i="13"/>
  <c r="E95" i="13" s="1"/>
  <c r="B180" i="13"/>
  <c r="D179" i="13"/>
  <c r="I179" i="13" s="1"/>
  <c r="F95" i="12"/>
  <c r="G95" i="12" s="1"/>
  <c r="D179" i="11"/>
  <c r="I179" i="11" s="1"/>
  <c r="B180" i="11"/>
  <c r="D180" i="17"/>
  <c r="B181" i="17"/>
  <c r="H95" i="15" l="1"/>
  <c r="E96" i="15" s="1"/>
  <c r="D179" i="15"/>
  <c r="I179" i="15" s="1"/>
  <c r="B180" i="15"/>
  <c r="F95" i="14"/>
  <c r="G95" i="14" s="1"/>
  <c r="B181" i="13"/>
  <c r="D180" i="13"/>
  <c r="I180" i="13" s="1"/>
  <c r="F95" i="13"/>
  <c r="G95" i="13" s="1"/>
  <c r="H95" i="12"/>
  <c r="E96" i="12" s="1"/>
  <c r="B181" i="11"/>
  <c r="D180" i="11"/>
  <c r="I180" i="11" s="1"/>
  <c r="D181" i="17"/>
  <c r="B182" i="17"/>
  <c r="F96" i="15" l="1"/>
  <c r="G96" i="15" s="1"/>
  <c r="D180" i="15"/>
  <c r="I180" i="15" s="1"/>
  <c r="B181" i="15"/>
  <c r="H95" i="14"/>
  <c r="E96" i="14" s="1"/>
  <c r="H95" i="13"/>
  <c r="E96" i="13" s="1"/>
  <c r="B182" i="13"/>
  <c r="D181" i="13"/>
  <c r="I181" i="13" s="1"/>
  <c r="F96" i="12"/>
  <c r="G96" i="12" s="1"/>
  <c r="B182" i="11"/>
  <c r="D181" i="11"/>
  <c r="I181" i="11" s="1"/>
  <c r="D182" i="17"/>
  <c r="B183" i="17"/>
  <c r="H96" i="15" l="1"/>
  <c r="E97" i="15" s="1"/>
  <c r="D181" i="15"/>
  <c r="I181" i="15" s="1"/>
  <c r="B182" i="15"/>
  <c r="F96" i="14"/>
  <c r="G96" i="14" s="1"/>
  <c r="F96" i="13"/>
  <c r="G96" i="13" s="1"/>
  <c r="B183" i="13"/>
  <c r="D182" i="13"/>
  <c r="I182" i="13" s="1"/>
  <c r="H96" i="12"/>
  <c r="E97" i="12" s="1"/>
  <c r="B183" i="11"/>
  <c r="D182" i="11"/>
  <c r="I182" i="11" s="1"/>
  <c r="B184" i="17"/>
  <c r="D183" i="17"/>
  <c r="F97" i="15" l="1"/>
  <c r="G97" i="15" s="1"/>
  <c r="D182" i="15"/>
  <c r="I182" i="15" s="1"/>
  <c r="B183" i="15"/>
  <c r="H96" i="14"/>
  <c r="E97" i="14" s="1"/>
  <c r="H96" i="13"/>
  <c r="E97" i="13" s="1"/>
  <c r="B184" i="13"/>
  <c r="D183" i="13"/>
  <c r="I183" i="13" s="1"/>
  <c r="F97" i="12"/>
  <c r="G97" i="12" s="1"/>
  <c r="D183" i="11"/>
  <c r="I183" i="11" s="1"/>
  <c r="B184" i="11"/>
  <c r="B185" i="17"/>
  <c r="D184" i="17"/>
  <c r="H97" i="15" l="1"/>
  <c r="E98" i="15" s="1"/>
  <c r="D183" i="15"/>
  <c r="I183" i="15" s="1"/>
  <c r="B184" i="15"/>
  <c r="F97" i="14"/>
  <c r="G97" i="14" s="1"/>
  <c r="F97" i="13"/>
  <c r="G97" i="13" s="1"/>
  <c r="B185" i="13"/>
  <c r="D184" i="13"/>
  <c r="I184" i="13" s="1"/>
  <c r="H97" i="12"/>
  <c r="E98" i="12" s="1"/>
  <c r="D184" i="11"/>
  <c r="I184" i="11" s="1"/>
  <c r="B185" i="11"/>
  <c r="B186" i="17"/>
  <c r="D185" i="17"/>
  <c r="F98" i="15" l="1"/>
  <c r="G98" i="15" s="1"/>
  <c r="D184" i="15"/>
  <c r="I184" i="15" s="1"/>
  <c r="B185" i="15"/>
  <c r="H97" i="14"/>
  <c r="E98" i="14" s="1"/>
  <c r="B186" i="13"/>
  <c r="D185" i="13"/>
  <c r="I185" i="13" s="1"/>
  <c r="H97" i="13"/>
  <c r="E98" i="13" s="1"/>
  <c r="F98" i="12"/>
  <c r="G98" i="12" s="1"/>
  <c r="D185" i="11"/>
  <c r="I185" i="11" s="1"/>
  <c r="B186" i="11"/>
  <c r="B187" i="17"/>
  <c r="D186" i="17"/>
  <c r="H98" i="15" l="1"/>
  <c r="E99" i="15" s="1"/>
  <c r="D185" i="15"/>
  <c r="I185" i="15" s="1"/>
  <c r="B186" i="15"/>
  <c r="F98" i="14"/>
  <c r="G98" i="14" s="1"/>
  <c r="F98" i="13"/>
  <c r="G98" i="13" s="1"/>
  <c r="B187" i="13"/>
  <c r="D186" i="13"/>
  <c r="I186" i="13" s="1"/>
  <c r="H98" i="12"/>
  <c r="E99" i="12" s="1"/>
  <c r="D186" i="11"/>
  <c r="I186" i="11" s="1"/>
  <c r="B187" i="11"/>
  <c r="D187" i="17"/>
  <c r="B188" i="17"/>
  <c r="F99" i="15" l="1"/>
  <c r="G99" i="15" s="1"/>
  <c r="D186" i="15"/>
  <c r="I186" i="15" s="1"/>
  <c r="B187" i="15"/>
  <c r="H98" i="14"/>
  <c r="E99" i="14" s="1"/>
  <c r="H98" i="13"/>
  <c r="E99" i="13" s="1"/>
  <c r="B188" i="13"/>
  <c r="D187" i="13"/>
  <c r="I187" i="13" s="1"/>
  <c r="F99" i="12"/>
  <c r="G99" i="12" s="1"/>
  <c r="D187" i="11"/>
  <c r="I187" i="11" s="1"/>
  <c r="B188" i="11"/>
  <c r="D188" i="17"/>
  <c r="B189" i="17"/>
  <c r="H99" i="15" l="1"/>
  <c r="E100" i="15" s="1"/>
  <c r="D187" i="15"/>
  <c r="I187" i="15" s="1"/>
  <c r="B188" i="15"/>
  <c r="F99" i="14"/>
  <c r="G99" i="14" s="1"/>
  <c r="F99" i="13"/>
  <c r="G99" i="13" s="1"/>
  <c r="B189" i="13"/>
  <c r="D188" i="13"/>
  <c r="I188" i="13" s="1"/>
  <c r="H99" i="12"/>
  <c r="E100" i="12" s="1"/>
  <c r="B189" i="11"/>
  <c r="D188" i="11"/>
  <c r="I188" i="11" s="1"/>
  <c r="D189" i="17"/>
  <c r="B190" i="17"/>
  <c r="F100" i="15" l="1"/>
  <c r="G100" i="15" s="1"/>
  <c r="D188" i="15"/>
  <c r="I188" i="15" s="1"/>
  <c r="B189" i="15"/>
  <c r="H99" i="14"/>
  <c r="E100" i="14" s="1"/>
  <c r="H99" i="13"/>
  <c r="E100" i="13" s="1"/>
  <c r="B190" i="13"/>
  <c r="D189" i="13"/>
  <c r="I189" i="13" s="1"/>
  <c r="F100" i="12"/>
  <c r="G100" i="12" s="1"/>
  <c r="B190" i="11"/>
  <c r="D189" i="11"/>
  <c r="I189" i="11" s="1"/>
  <c r="D190" i="17"/>
  <c r="B191" i="17"/>
  <c r="H100" i="15" l="1"/>
  <c r="E101" i="15" s="1"/>
  <c r="D189" i="15"/>
  <c r="I189" i="15" s="1"/>
  <c r="B190" i="15"/>
  <c r="F100" i="14"/>
  <c r="G100" i="14" s="1"/>
  <c r="F100" i="13"/>
  <c r="G100" i="13" s="1"/>
  <c r="B191" i="13"/>
  <c r="D190" i="13"/>
  <c r="I190" i="13" s="1"/>
  <c r="H100" i="12"/>
  <c r="E101" i="12" s="1"/>
  <c r="B191" i="11"/>
  <c r="D190" i="11"/>
  <c r="I190" i="11" s="1"/>
  <c r="B192" i="17"/>
  <c r="D191" i="17"/>
  <c r="F101" i="15" l="1"/>
  <c r="G101" i="15" s="1"/>
  <c r="D190" i="15"/>
  <c r="I190" i="15" s="1"/>
  <c r="B191" i="15"/>
  <c r="H100" i="14"/>
  <c r="E101" i="14" s="1"/>
  <c r="H100" i="13"/>
  <c r="E101" i="13" s="1"/>
  <c r="B192" i="13"/>
  <c r="D191" i="13"/>
  <c r="I191" i="13" s="1"/>
  <c r="F101" i="12"/>
  <c r="G101" i="12" s="1"/>
  <c r="D191" i="11"/>
  <c r="I191" i="11" s="1"/>
  <c r="B192" i="11"/>
  <c r="B193" i="17"/>
  <c r="D192" i="17"/>
  <c r="H101" i="15" l="1"/>
  <c r="E102" i="15" s="1"/>
  <c r="D191" i="15"/>
  <c r="I191" i="15" s="1"/>
  <c r="B192" i="15"/>
  <c r="F101" i="14"/>
  <c r="G101" i="14" s="1"/>
  <c r="B193" i="13"/>
  <c r="D192" i="13"/>
  <c r="I192" i="13" s="1"/>
  <c r="F101" i="13"/>
  <c r="G101" i="13" s="1"/>
  <c r="H101" i="12"/>
  <c r="E102" i="12" s="1"/>
  <c r="D192" i="11"/>
  <c r="I192" i="11" s="1"/>
  <c r="B193" i="11"/>
  <c r="B194" i="17"/>
  <c r="D193" i="17"/>
  <c r="F102" i="15" l="1"/>
  <c r="G102" i="15" s="1"/>
  <c r="D192" i="15"/>
  <c r="I192" i="15" s="1"/>
  <c r="B193" i="15"/>
  <c r="H101" i="14"/>
  <c r="E102" i="14" s="1"/>
  <c r="H101" i="13"/>
  <c r="E102" i="13" s="1"/>
  <c r="B194" i="13"/>
  <c r="D193" i="13"/>
  <c r="I193" i="13" s="1"/>
  <c r="F102" i="12"/>
  <c r="G102" i="12" s="1"/>
  <c r="D193" i="11"/>
  <c r="I193" i="11" s="1"/>
  <c r="B194" i="11"/>
  <c r="B195" i="17"/>
  <c r="D194" i="17"/>
  <c r="H102" i="15" l="1"/>
  <c r="E103" i="15" s="1"/>
  <c r="D193" i="15"/>
  <c r="I193" i="15" s="1"/>
  <c r="B194" i="15"/>
  <c r="F102" i="14"/>
  <c r="G102" i="14" s="1"/>
  <c r="F102" i="13"/>
  <c r="G102" i="13" s="1"/>
  <c r="B195" i="13"/>
  <c r="D194" i="13"/>
  <c r="I194" i="13" s="1"/>
  <c r="H102" i="12"/>
  <c r="E103" i="12" s="1"/>
  <c r="D194" i="11"/>
  <c r="I194" i="11" s="1"/>
  <c r="B195" i="11"/>
  <c r="D195" i="17"/>
  <c r="B196" i="17"/>
  <c r="F103" i="15" l="1"/>
  <c r="G103" i="15" s="1"/>
  <c r="D194" i="15"/>
  <c r="I194" i="15" s="1"/>
  <c r="B195" i="15"/>
  <c r="H102" i="14"/>
  <c r="E103" i="14" s="1"/>
  <c r="H102" i="13"/>
  <c r="E103" i="13" s="1"/>
  <c r="B196" i="13"/>
  <c r="D195" i="13"/>
  <c r="I195" i="13" s="1"/>
  <c r="F103" i="12"/>
  <c r="G103" i="12" s="1"/>
  <c r="D195" i="11"/>
  <c r="I195" i="11" s="1"/>
  <c r="B196" i="11"/>
  <c r="D196" i="17"/>
  <c r="B197" i="17"/>
  <c r="H103" i="15" l="1"/>
  <c r="E104" i="15" s="1"/>
  <c r="D195" i="15"/>
  <c r="I195" i="15" s="1"/>
  <c r="B196" i="15"/>
  <c r="F103" i="14"/>
  <c r="G103" i="14" s="1"/>
  <c r="F103" i="13"/>
  <c r="G103" i="13" s="1"/>
  <c r="B197" i="13"/>
  <c r="D196" i="13"/>
  <c r="I196" i="13" s="1"/>
  <c r="H103" i="12"/>
  <c r="E104" i="12" s="1"/>
  <c r="B197" i="11"/>
  <c r="D196" i="11"/>
  <c r="I196" i="11" s="1"/>
  <c r="D197" i="17"/>
  <c r="B198" i="17"/>
  <c r="F104" i="15" l="1"/>
  <c r="G104" i="15" s="1"/>
  <c r="D196" i="15"/>
  <c r="I196" i="15" s="1"/>
  <c r="B197" i="15"/>
  <c r="H103" i="14"/>
  <c r="E104" i="14" s="1"/>
  <c r="H103" i="13"/>
  <c r="E104" i="13" s="1"/>
  <c r="B198" i="13"/>
  <c r="D197" i="13"/>
  <c r="I197" i="13" s="1"/>
  <c r="F104" i="12"/>
  <c r="G104" i="12" s="1"/>
  <c r="B198" i="11"/>
  <c r="D197" i="11"/>
  <c r="I197" i="11" s="1"/>
  <c r="D198" i="17"/>
  <c r="B199" i="17"/>
  <c r="D197" i="15" l="1"/>
  <c r="I197" i="15" s="1"/>
  <c r="B198" i="15"/>
  <c r="H104" i="15"/>
  <c r="E105" i="15" s="1"/>
  <c r="F104" i="14"/>
  <c r="G104" i="14" s="1"/>
  <c r="F104" i="13"/>
  <c r="G104" i="13" s="1"/>
  <c r="B199" i="13"/>
  <c r="D198" i="13"/>
  <c r="I198" i="13" s="1"/>
  <c r="H104" i="12"/>
  <c r="E105" i="12" s="1"/>
  <c r="B199" i="11"/>
  <c r="D198" i="11"/>
  <c r="I198" i="11" s="1"/>
  <c r="B200" i="17"/>
  <c r="D199" i="17"/>
  <c r="F105" i="15" l="1"/>
  <c r="G105" i="15" s="1"/>
  <c r="D198" i="15"/>
  <c r="I198" i="15" s="1"/>
  <c r="B199" i="15"/>
  <c r="H104" i="14"/>
  <c r="E105" i="14" s="1"/>
  <c r="H104" i="13"/>
  <c r="E105" i="13" s="1"/>
  <c r="B200" i="13"/>
  <c r="D199" i="13"/>
  <c r="I199" i="13" s="1"/>
  <c r="F105" i="12"/>
  <c r="G105" i="12" s="1"/>
  <c r="D199" i="11"/>
  <c r="I199" i="11" s="1"/>
  <c r="B200" i="11"/>
  <c r="B201" i="17"/>
  <c r="D200" i="17"/>
  <c r="H105" i="15" l="1"/>
  <c r="E106" i="15" s="1"/>
  <c r="D199" i="15"/>
  <c r="I199" i="15" s="1"/>
  <c r="B200" i="15"/>
  <c r="F105" i="14"/>
  <c r="G105" i="14" s="1"/>
  <c r="F105" i="13"/>
  <c r="G105" i="13" s="1"/>
  <c r="B201" i="13"/>
  <c r="D200" i="13"/>
  <c r="I200" i="13" s="1"/>
  <c r="H105" i="12"/>
  <c r="E106" i="12" s="1"/>
  <c r="D200" i="11"/>
  <c r="I200" i="11" s="1"/>
  <c r="B201" i="11"/>
  <c r="B202" i="17"/>
  <c r="D201" i="17"/>
  <c r="F106" i="15" l="1"/>
  <c r="G106" i="15" s="1"/>
  <c r="D200" i="15"/>
  <c r="I200" i="15" s="1"/>
  <c r="B201" i="15"/>
  <c r="H105" i="14"/>
  <c r="E106" i="14" s="1"/>
  <c r="H105" i="13"/>
  <c r="E106" i="13" s="1"/>
  <c r="B202" i="13"/>
  <c r="D201" i="13"/>
  <c r="I201" i="13" s="1"/>
  <c r="F106" i="12"/>
  <c r="G106" i="12" s="1"/>
  <c r="D201" i="11"/>
  <c r="I201" i="11" s="1"/>
  <c r="B202" i="11"/>
  <c r="B203" i="17"/>
  <c r="D202" i="17"/>
  <c r="H106" i="15" l="1"/>
  <c r="E107" i="15" s="1"/>
  <c r="D201" i="15"/>
  <c r="I201" i="15" s="1"/>
  <c r="B202" i="15"/>
  <c r="F106" i="14"/>
  <c r="G106" i="14" s="1"/>
  <c r="F106" i="13"/>
  <c r="G106" i="13" s="1"/>
  <c r="B203" i="13"/>
  <c r="D202" i="13"/>
  <c r="I202" i="13" s="1"/>
  <c r="H106" i="12"/>
  <c r="E107" i="12" s="1"/>
  <c r="D202" i="11"/>
  <c r="I202" i="11" s="1"/>
  <c r="B203" i="11"/>
  <c r="D203" i="17"/>
  <c r="B204" i="17"/>
  <c r="F107" i="15" l="1"/>
  <c r="G107" i="15" s="1"/>
  <c r="D202" i="15"/>
  <c r="I202" i="15" s="1"/>
  <c r="B203" i="15"/>
  <c r="H106" i="14"/>
  <c r="E107" i="14" s="1"/>
  <c r="H106" i="13"/>
  <c r="E107" i="13" s="1"/>
  <c r="B204" i="13"/>
  <c r="D203" i="13"/>
  <c r="I203" i="13" s="1"/>
  <c r="F107" i="12"/>
  <c r="G107" i="12" s="1"/>
  <c r="D203" i="11"/>
  <c r="I203" i="11" s="1"/>
  <c r="B204" i="11"/>
  <c r="D204" i="17"/>
  <c r="B205" i="17"/>
  <c r="H107" i="15" l="1"/>
  <c r="E108" i="15" s="1"/>
  <c r="D203" i="15"/>
  <c r="I203" i="15" s="1"/>
  <c r="B204" i="15"/>
  <c r="F107" i="14"/>
  <c r="G107" i="14" s="1"/>
  <c r="B205" i="13"/>
  <c r="D204" i="13"/>
  <c r="I204" i="13" s="1"/>
  <c r="F107" i="13"/>
  <c r="G107" i="13" s="1"/>
  <c r="H107" i="12"/>
  <c r="E108" i="12" s="1"/>
  <c r="B205" i="11"/>
  <c r="D204" i="11"/>
  <c r="I204" i="11" s="1"/>
  <c r="D205" i="17"/>
  <c r="B206" i="17"/>
  <c r="D204" i="15" l="1"/>
  <c r="I204" i="15" s="1"/>
  <c r="B205" i="15"/>
  <c r="F108" i="15"/>
  <c r="G108" i="15" s="1"/>
  <c r="H107" i="14"/>
  <c r="E108" i="14" s="1"/>
  <c r="H107" i="13"/>
  <c r="E108" i="13" s="1"/>
  <c r="B206" i="13"/>
  <c r="D205" i="13"/>
  <c r="I205" i="13" s="1"/>
  <c r="F108" i="12"/>
  <c r="G108" i="12" s="1"/>
  <c r="B206" i="11"/>
  <c r="D205" i="11"/>
  <c r="I205" i="11" s="1"/>
  <c r="D206" i="17"/>
  <c r="B207" i="17"/>
  <c r="H108" i="15" l="1"/>
  <c r="E109" i="15" s="1"/>
  <c r="D205" i="15"/>
  <c r="I205" i="15" s="1"/>
  <c r="B206" i="15"/>
  <c r="F108" i="14"/>
  <c r="G108" i="14" s="1"/>
  <c r="F108" i="13"/>
  <c r="G108" i="13" s="1"/>
  <c r="B207" i="13"/>
  <c r="D206" i="13"/>
  <c r="I206" i="13" s="1"/>
  <c r="H108" i="12"/>
  <c r="E109" i="12" s="1"/>
  <c r="B207" i="11"/>
  <c r="D206" i="11"/>
  <c r="I206" i="11" s="1"/>
  <c r="B208" i="17"/>
  <c r="D207" i="17"/>
  <c r="F109" i="15" l="1"/>
  <c r="G109" i="15" s="1"/>
  <c r="D206" i="15"/>
  <c r="I206" i="15" s="1"/>
  <c r="B207" i="15"/>
  <c r="H108" i="14"/>
  <c r="E109" i="14" s="1"/>
  <c r="H108" i="13"/>
  <c r="E109" i="13" s="1"/>
  <c r="B208" i="13"/>
  <c r="D207" i="13"/>
  <c r="I207" i="13" s="1"/>
  <c r="F109" i="12"/>
  <c r="G109" i="12" s="1"/>
  <c r="D207" i="11"/>
  <c r="I207" i="11" s="1"/>
  <c r="B208" i="11"/>
  <c r="B209" i="17"/>
  <c r="D208" i="17"/>
  <c r="H109" i="15" l="1"/>
  <c r="E110" i="15" s="1"/>
  <c r="D207" i="15"/>
  <c r="I207" i="15" s="1"/>
  <c r="B208" i="15"/>
  <c r="F109" i="14"/>
  <c r="G109" i="14" s="1"/>
  <c r="F109" i="13"/>
  <c r="G109" i="13" s="1"/>
  <c r="B209" i="13"/>
  <c r="D208" i="13"/>
  <c r="I208" i="13" s="1"/>
  <c r="H109" i="12"/>
  <c r="E110" i="12" s="1"/>
  <c r="D208" i="11"/>
  <c r="I208" i="11" s="1"/>
  <c r="B209" i="11"/>
  <c r="B210" i="17"/>
  <c r="D209" i="17"/>
  <c r="D208" i="15" l="1"/>
  <c r="I208" i="15" s="1"/>
  <c r="B209" i="15"/>
  <c r="F110" i="15"/>
  <c r="G110" i="15" s="1"/>
  <c r="H109" i="14"/>
  <c r="E110" i="14" s="1"/>
  <c r="H109" i="13"/>
  <c r="E110" i="13" s="1"/>
  <c r="B210" i="13"/>
  <c r="D209" i="13"/>
  <c r="I209" i="13" s="1"/>
  <c r="F110" i="12"/>
  <c r="G110" i="12" s="1"/>
  <c r="D209" i="11"/>
  <c r="I209" i="11" s="1"/>
  <c r="B210" i="11"/>
  <c r="B211" i="17"/>
  <c r="D211" i="17" s="1"/>
  <c r="D210" i="17"/>
  <c r="H110" i="15" l="1"/>
  <c r="E111" i="15" s="1"/>
  <c r="D209" i="15"/>
  <c r="I209" i="15" s="1"/>
  <c r="B210" i="15"/>
  <c r="F110" i="14"/>
  <c r="G110" i="14" s="1"/>
  <c r="F110" i="13"/>
  <c r="G110" i="13" s="1"/>
  <c r="B211" i="13"/>
  <c r="D211" i="13" s="1"/>
  <c r="I211" i="13" s="1"/>
  <c r="D210" i="13"/>
  <c r="I210" i="13" s="1"/>
  <c r="H110" i="12"/>
  <c r="E111" i="12" s="1"/>
  <c r="D210" i="11"/>
  <c r="I210" i="11" s="1"/>
  <c r="B211" i="11"/>
  <c r="D211" i="11" s="1"/>
  <c r="F4" i="13" l="1"/>
  <c r="F111" i="15"/>
  <c r="G111" i="15" s="1"/>
  <c r="D210" i="15"/>
  <c r="I210" i="15" s="1"/>
  <c r="B211" i="15"/>
  <c r="D211" i="15" s="1"/>
  <c r="I211" i="15" s="1"/>
  <c r="F4" i="15" s="1"/>
  <c r="H110" i="14"/>
  <c r="E111" i="14" s="1"/>
  <c r="H110" i="13"/>
  <c r="F111" i="12"/>
  <c r="G111" i="12" s="1"/>
  <c r="I211" i="11"/>
  <c r="F4" i="11" s="1"/>
  <c r="H111" i="15" l="1"/>
  <c r="F111" i="14"/>
  <c r="G111" i="14" s="1"/>
  <c r="E111" i="13"/>
  <c r="H111" i="12"/>
  <c r="E112" i="12" s="1"/>
  <c r="E112" i="15" l="1"/>
  <c r="H111" i="14"/>
  <c r="E112" i="14" s="1"/>
  <c r="F111" i="13"/>
  <c r="G111" i="13" s="1"/>
  <c r="F112" i="12"/>
  <c r="G112" i="12" s="1"/>
  <c r="F112" i="15" l="1"/>
  <c r="G112" i="15" s="1"/>
  <c r="F112" i="14"/>
  <c r="G112" i="14" s="1"/>
  <c r="H111" i="13"/>
  <c r="H112" i="12"/>
  <c r="E113" i="12" s="1"/>
  <c r="H112" i="15" l="1"/>
  <c r="H112" i="14"/>
  <c r="E112" i="13"/>
  <c r="F113" i="12"/>
  <c r="G113" i="12" s="1"/>
  <c r="E113" i="15" l="1"/>
  <c r="E113" i="14"/>
  <c r="F112" i="13"/>
  <c r="G112" i="13" s="1"/>
  <c r="H113" i="12"/>
  <c r="E114" i="12" s="1"/>
  <c r="F113" i="15" l="1"/>
  <c r="G113" i="15" s="1"/>
  <c r="F113" i="14"/>
  <c r="G113" i="14" s="1"/>
  <c r="H112" i="13"/>
  <c r="F114" i="12"/>
  <c r="G114" i="12" s="1"/>
  <c r="H113" i="15" l="1"/>
  <c r="H113" i="14"/>
  <c r="E114" i="14" s="1"/>
  <c r="E113" i="13"/>
  <c r="H114" i="12"/>
  <c r="E115" i="12" s="1"/>
  <c r="E114" i="15" l="1"/>
  <c r="F114" i="14"/>
  <c r="G114" i="14" s="1"/>
  <c r="F113" i="13"/>
  <c r="G113" i="13" s="1"/>
  <c r="F115" i="12"/>
  <c r="G115" i="12" s="1"/>
  <c r="F114" i="15" l="1"/>
  <c r="G114" i="15" s="1"/>
  <c r="H114" i="14"/>
  <c r="E115" i="14" s="1"/>
  <c r="H113" i="13"/>
  <c r="E114" i="13" s="1"/>
  <c r="H115" i="12"/>
  <c r="E116" i="12" s="1"/>
  <c r="H114" i="15" l="1"/>
  <c r="E115" i="15" s="1"/>
  <c r="F115" i="14"/>
  <c r="G115" i="14" s="1"/>
  <c r="F114" i="13"/>
  <c r="G114" i="13" s="1"/>
  <c r="F116" i="12"/>
  <c r="G116" i="12" s="1"/>
  <c r="F115" i="15" l="1"/>
  <c r="G115" i="15" s="1"/>
  <c r="H115" i="14"/>
  <c r="E116" i="14" s="1"/>
  <c r="H114" i="13"/>
  <c r="E115" i="13" s="1"/>
  <c r="H116" i="12"/>
  <c r="E117" i="12" s="1"/>
  <c r="H115" i="15" l="1"/>
  <c r="E116" i="15" s="1"/>
  <c r="F116" i="14"/>
  <c r="G116" i="14" s="1"/>
  <c r="F115" i="13"/>
  <c r="G115" i="13" s="1"/>
  <c r="F117" i="12"/>
  <c r="F4" i="12"/>
  <c r="F116" i="15" l="1"/>
  <c r="G116" i="15" s="1"/>
  <c r="H116" i="14"/>
  <c r="E117" i="14" s="1"/>
  <c r="H115" i="13"/>
  <c r="E116" i="13" s="1"/>
  <c r="G117" i="12"/>
  <c r="H116" i="15" l="1"/>
  <c r="E117" i="15" s="1"/>
  <c r="F117" i="14"/>
  <c r="G117" i="14" s="1"/>
  <c r="F116" i="13"/>
  <c r="G116" i="13" s="1"/>
  <c r="H117" i="12"/>
  <c r="E118" i="12" s="1"/>
  <c r="F117" i="15" l="1"/>
  <c r="G117" i="15" s="1"/>
  <c r="H117" i="14"/>
  <c r="E118" i="14" s="1"/>
  <c r="H116" i="13"/>
  <c r="E117" i="13" s="1"/>
  <c r="F118" i="12"/>
  <c r="H117" i="15" l="1"/>
  <c r="E118" i="15" s="1"/>
  <c r="F118" i="14"/>
  <c r="G118" i="14" s="1"/>
  <c r="F117" i="13"/>
  <c r="G117" i="13" s="1"/>
  <c r="G118" i="12"/>
  <c r="F118" i="15" l="1"/>
  <c r="G118" i="15" s="1"/>
  <c r="H118" i="14"/>
  <c r="E119" i="14" s="1"/>
  <c r="H117" i="13"/>
  <c r="E118" i="13" s="1"/>
  <c r="H118" i="12"/>
  <c r="E119" i="12" s="1"/>
  <c r="H118" i="15" l="1"/>
  <c r="E119" i="15" s="1"/>
  <c r="F119" i="14"/>
  <c r="G119" i="14" s="1"/>
  <c r="F118" i="13"/>
  <c r="G118" i="13" s="1"/>
  <c r="F119" i="12"/>
  <c r="G119" i="12" s="1"/>
  <c r="F119" i="15" l="1"/>
  <c r="G119" i="15" s="1"/>
  <c r="H119" i="14"/>
  <c r="E120" i="14" s="1"/>
  <c r="H118" i="13"/>
  <c r="E119" i="13" s="1"/>
  <c r="H119" i="12"/>
  <c r="E120" i="12" s="1"/>
  <c r="H119" i="15" l="1"/>
  <c r="E120" i="15" s="1"/>
  <c r="F120" i="14"/>
  <c r="G120" i="14" s="1"/>
  <c r="F119" i="13"/>
  <c r="G119" i="13" s="1"/>
  <c r="F120" i="12"/>
  <c r="G120" i="12" s="1"/>
  <c r="F120" i="15" l="1"/>
  <c r="G120" i="15" s="1"/>
  <c r="H120" i="14"/>
  <c r="E121" i="14" s="1"/>
  <c r="H119" i="13"/>
  <c r="E120" i="13" s="1"/>
  <c r="H120" i="12"/>
  <c r="E121" i="12" s="1"/>
  <c r="H120" i="15" l="1"/>
  <c r="E121" i="15" s="1"/>
  <c r="F121" i="14"/>
  <c r="G121" i="14" s="1"/>
  <c r="F120" i="13"/>
  <c r="G120" i="13" s="1"/>
  <c r="F121" i="12"/>
  <c r="G121" i="12" s="1"/>
  <c r="F121" i="15" l="1"/>
  <c r="G121" i="15" s="1"/>
  <c r="H121" i="14"/>
  <c r="E122" i="14" s="1"/>
  <c r="H120" i="13"/>
  <c r="E121" i="13" s="1"/>
  <c r="H121" i="12"/>
  <c r="E122" i="12" s="1"/>
  <c r="H121" i="15" l="1"/>
  <c r="E122" i="15" s="1"/>
  <c r="F122" i="14"/>
  <c r="G122" i="14" s="1"/>
  <c r="F121" i="13"/>
  <c r="G121" i="13" s="1"/>
  <c r="F122" i="12"/>
  <c r="G122" i="12" s="1"/>
  <c r="F122" i="15" l="1"/>
  <c r="G122" i="15" s="1"/>
  <c r="H122" i="14"/>
  <c r="E123" i="14" s="1"/>
  <c r="H121" i="13"/>
  <c r="E122" i="13" s="1"/>
  <c r="H122" i="12"/>
  <c r="E123" i="12" s="1"/>
  <c r="H122" i="15" l="1"/>
  <c r="E123" i="15" s="1"/>
  <c r="F123" i="14"/>
  <c r="G123" i="14" s="1"/>
  <c r="F122" i="13"/>
  <c r="G122" i="13" s="1"/>
  <c r="F123" i="12"/>
  <c r="G123" i="12" s="1"/>
  <c r="F123" i="15" l="1"/>
  <c r="G123" i="15" s="1"/>
  <c r="H123" i="14"/>
  <c r="E124" i="14" s="1"/>
  <c r="H122" i="13"/>
  <c r="E123" i="13" s="1"/>
  <c r="H123" i="12"/>
  <c r="E124" i="12" s="1"/>
  <c r="H123" i="15" l="1"/>
  <c r="E124" i="15" s="1"/>
  <c r="F124" i="14"/>
  <c r="G124" i="14" s="1"/>
  <c r="F123" i="13"/>
  <c r="G123" i="13" s="1"/>
  <c r="F124" i="12"/>
  <c r="G124" i="12" s="1"/>
  <c r="F124" i="15" l="1"/>
  <c r="G124" i="15" s="1"/>
  <c r="H124" i="14"/>
  <c r="E125" i="14" s="1"/>
  <c r="H123" i="13"/>
  <c r="E124" i="13" s="1"/>
  <c r="H124" i="12"/>
  <c r="E125" i="12" s="1"/>
  <c r="H124" i="15" l="1"/>
  <c r="E125" i="15" s="1"/>
  <c r="F125" i="14"/>
  <c r="G125" i="14" s="1"/>
  <c r="F124" i="13"/>
  <c r="G124" i="13" s="1"/>
  <c r="F125" i="12"/>
  <c r="G125" i="12" s="1"/>
  <c r="F125" i="15" l="1"/>
  <c r="G125" i="15" s="1"/>
  <c r="H125" i="14"/>
  <c r="E126" i="14" s="1"/>
  <c r="H124" i="13"/>
  <c r="E125" i="13" s="1"/>
  <c r="H125" i="12"/>
  <c r="E126" i="12" s="1"/>
  <c r="H125" i="15" l="1"/>
  <c r="E126" i="15" s="1"/>
  <c r="F126" i="14"/>
  <c r="G126" i="14" s="1"/>
  <c r="F125" i="13"/>
  <c r="G125" i="13" s="1"/>
  <c r="F126" i="12"/>
  <c r="G126" i="12" s="1"/>
  <c r="F126" i="15" l="1"/>
  <c r="G126" i="15" s="1"/>
  <c r="H126" i="14"/>
  <c r="E127" i="14" s="1"/>
  <c r="H125" i="13"/>
  <c r="E126" i="13" s="1"/>
  <c r="H126" i="12"/>
  <c r="E127" i="12" s="1"/>
  <c r="H126" i="15" l="1"/>
  <c r="E127" i="15" s="1"/>
  <c r="F127" i="14"/>
  <c r="F126" i="13"/>
  <c r="G126" i="13" s="1"/>
  <c r="F127" i="12"/>
  <c r="G127" i="12" s="1"/>
  <c r="F127" i="15" l="1"/>
  <c r="G127" i="15" s="1"/>
  <c r="G127" i="14"/>
  <c r="H126" i="13"/>
  <c r="E127" i="13" s="1"/>
  <c r="H127" i="12"/>
  <c r="E128" i="12" s="1"/>
  <c r="H127" i="15" l="1"/>
  <c r="E128" i="15" s="1"/>
  <c r="H127" i="14"/>
  <c r="E128" i="14" s="1"/>
  <c r="F127" i="13"/>
  <c r="F128" i="12"/>
  <c r="G128" i="12" s="1"/>
  <c r="F128" i="15" l="1"/>
  <c r="G128" i="15" s="1"/>
  <c r="F128" i="14"/>
  <c r="G127" i="13"/>
  <c r="H128" i="12"/>
  <c r="E129" i="12" s="1"/>
  <c r="H128" i="15" l="1"/>
  <c r="E129" i="15" s="1"/>
  <c r="G128" i="14"/>
  <c r="H127" i="13"/>
  <c r="E128" i="13" s="1"/>
  <c r="F129" i="12"/>
  <c r="G129" i="12" s="1"/>
  <c r="F129" i="15" l="1"/>
  <c r="G129" i="15" s="1"/>
  <c r="H128" i="14"/>
  <c r="E129" i="14" s="1"/>
  <c r="F128" i="13"/>
  <c r="H129" i="12"/>
  <c r="E130" i="12" s="1"/>
  <c r="H129" i="15" l="1"/>
  <c r="E130" i="15" s="1"/>
  <c r="F129" i="14"/>
  <c r="G129" i="14" s="1"/>
  <c r="G128" i="13"/>
  <c r="F130" i="12"/>
  <c r="G130" i="12" s="1"/>
  <c r="F130" i="15" l="1"/>
  <c r="G130" i="15" s="1"/>
  <c r="H129" i="14"/>
  <c r="E130" i="14" s="1"/>
  <c r="H128" i="13"/>
  <c r="E129" i="13" s="1"/>
  <c r="H130" i="12"/>
  <c r="E131" i="12" s="1"/>
  <c r="H130" i="15" l="1"/>
  <c r="E131" i="15" s="1"/>
  <c r="F130" i="14"/>
  <c r="G130" i="14" s="1"/>
  <c r="F129" i="13"/>
  <c r="F131" i="12"/>
  <c r="G131" i="12" s="1"/>
  <c r="F131" i="15" l="1"/>
  <c r="G131" i="15" s="1"/>
  <c r="H130" i="14"/>
  <c r="E131" i="14" s="1"/>
  <c r="G129" i="13"/>
  <c r="H131" i="12"/>
  <c r="E132" i="12" s="1"/>
  <c r="H131" i="15" l="1"/>
  <c r="E132" i="15" s="1"/>
  <c r="F131" i="14"/>
  <c r="G131" i="14" s="1"/>
  <c r="H129" i="13"/>
  <c r="E130" i="13" s="1"/>
  <c r="F132" i="12"/>
  <c r="G132" i="12" s="1"/>
  <c r="F132" i="15" l="1"/>
  <c r="G132" i="15" s="1"/>
  <c r="H131" i="14"/>
  <c r="E132" i="14" s="1"/>
  <c r="F130" i="13"/>
  <c r="G130" i="13" s="1"/>
  <c r="H132" i="12"/>
  <c r="E133" i="12" s="1"/>
  <c r="H132" i="15" l="1"/>
  <c r="E133" i="15" s="1"/>
  <c r="F132" i="14"/>
  <c r="G132" i="14" s="1"/>
  <c r="H130" i="13"/>
  <c r="E131" i="13" s="1"/>
  <c r="F133" i="12"/>
  <c r="G133" i="12" s="1"/>
  <c r="F133" i="15" l="1"/>
  <c r="G133" i="15" s="1"/>
  <c r="H132" i="14"/>
  <c r="E133" i="14" s="1"/>
  <c r="F131" i="13"/>
  <c r="G131" i="13" s="1"/>
  <c r="H133" i="12"/>
  <c r="E134" i="12" s="1"/>
  <c r="H133" i="15" l="1"/>
  <c r="E134" i="15" s="1"/>
  <c r="F133" i="14"/>
  <c r="G133" i="14" s="1"/>
  <c r="H131" i="13"/>
  <c r="E132" i="13" s="1"/>
  <c r="F134" i="12"/>
  <c r="F134" i="15" l="1"/>
  <c r="G134" i="15" s="1"/>
  <c r="H133" i="14"/>
  <c r="E134" i="14" s="1"/>
  <c r="F132" i="13"/>
  <c r="G132" i="13" s="1"/>
  <c r="F5" i="12"/>
  <c r="I2" i="12"/>
  <c r="G134" i="12"/>
  <c r="H134" i="15" l="1"/>
  <c r="E135" i="15" s="1"/>
  <c r="F134" i="14"/>
  <c r="G134" i="14" s="1"/>
  <c r="H132" i="13"/>
  <c r="E133" i="13" s="1"/>
  <c r="G135" i="12"/>
  <c r="G136" i="12" s="1"/>
  <c r="G137" i="12" s="1"/>
  <c r="G138" i="12" s="1"/>
  <c r="G139" i="12" s="1"/>
  <c r="G140" i="12" s="1"/>
  <c r="G141" i="12" s="1"/>
  <c r="G142" i="12" s="1"/>
  <c r="G143" i="12" s="1"/>
  <c r="G144" i="12" s="1"/>
  <c r="G145" i="12" s="1"/>
  <c r="G146" i="12" s="1"/>
  <c r="G147" i="12" s="1"/>
  <c r="G148" i="12" s="1"/>
  <c r="G149" i="12" s="1"/>
  <c r="G150" i="12" s="1"/>
  <c r="G151" i="12" s="1"/>
  <c r="G152" i="12" s="1"/>
  <c r="G153" i="12" s="1"/>
  <c r="G154" i="12" s="1"/>
  <c r="G155" i="12" s="1"/>
  <c r="G156" i="12" s="1"/>
  <c r="G157" i="12" s="1"/>
  <c r="G158" i="12" s="1"/>
  <c r="G159" i="12" s="1"/>
  <c r="G160" i="12" s="1"/>
  <c r="G161" i="12" s="1"/>
  <c r="G162" i="12" s="1"/>
  <c r="G163" i="12" s="1"/>
  <c r="G164" i="12" s="1"/>
  <c r="G165" i="12" s="1"/>
  <c r="G166" i="12" s="1"/>
  <c r="G167" i="12" s="1"/>
  <c r="G168" i="12" s="1"/>
  <c r="G169" i="12" s="1"/>
  <c r="G170" i="12" s="1"/>
  <c r="G171" i="12" s="1"/>
  <c r="G172" i="12" s="1"/>
  <c r="G173" i="12" s="1"/>
  <c r="G174" i="12" s="1"/>
  <c r="G175" i="12" s="1"/>
  <c r="G176" i="12" s="1"/>
  <c r="G177" i="12" s="1"/>
  <c r="G178" i="12" s="1"/>
  <c r="G179" i="12" s="1"/>
  <c r="G180" i="12" s="1"/>
  <c r="G181" i="12" s="1"/>
  <c r="G182" i="12" s="1"/>
  <c r="G183" i="12" s="1"/>
  <c r="G184" i="12" s="1"/>
  <c r="G185" i="12" s="1"/>
  <c r="G186" i="12" s="1"/>
  <c r="G187" i="12" s="1"/>
  <c r="G188" i="12" s="1"/>
  <c r="G189" i="12" s="1"/>
  <c r="G190" i="12" s="1"/>
  <c r="G191" i="12" s="1"/>
  <c r="G192" i="12" s="1"/>
  <c r="G193" i="12" s="1"/>
  <c r="G194" i="12" s="1"/>
  <c r="G195" i="12" s="1"/>
  <c r="G196" i="12" s="1"/>
  <c r="G197" i="12" s="1"/>
  <c r="G198" i="12" s="1"/>
  <c r="G199" i="12" s="1"/>
  <c r="G200" i="12" s="1"/>
  <c r="G201" i="12" s="1"/>
  <c r="G202" i="12" s="1"/>
  <c r="G203" i="12" s="1"/>
  <c r="G204" i="12" s="1"/>
  <c r="G205" i="12" s="1"/>
  <c r="G206" i="12" s="1"/>
  <c r="G207" i="12" s="1"/>
  <c r="G208" i="12" s="1"/>
  <c r="G209" i="12" s="1"/>
  <c r="G210" i="12" s="1"/>
  <c r="G211" i="12" s="1"/>
  <c r="H134" i="12"/>
  <c r="F3" i="12" s="1"/>
  <c r="F135" i="15" l="1"/>
  <c r="G135" i="15" s="1"/>
  <c r="H134" i="14"/>
  <c r="E135" i="14" s="1"/>
  <c r="F133" i="13"/>
  <c r="G133" i="13" s="1"/>
  <c r="C3" i="12"/>
  <c r="E7" i="12"/>
  <c r="H135" i="15" l="1"/>
  <c r="E136" i="15" s="1"/>
  <c r="F135" i="14"/>
  <c r="G135" i="14" s="1"/>
  <c r="H133" i="13"/>
  <c r="E134" i="13" s="1"/>
  <c r="F136" i="15" l="1"/>
  <c r="G136" i="15" s="1"/>
  <c r="H135" i="14"/>
  <c r="E136" i="14" s="1"/>
  <c r="F134" i="13"/>
  <c r="G134" i="13" s="1"/>
  <c r="H136" i="15" l="1"/>
  <c r="E137" i="15" s="1"/>
  <c r="F136" i="14"/>
  <c r="G136" i="14" s="1"/>
  <c r="H134" i="13"/>
  <c r="E135" i="13" s="1"/>
  <c r="F137" i="15" l="1"/>
  <c r="G137" i="15" s="1"/>
  <c r="H136" i="14"/>
  <c r="E137" i="14" s="1"/>
  <c r="F135" i="13"/>
  <c r="G135" i="13" s="1"/>
  <c r="H137" i="15" l="1"/>
  <c r="E138" i="15" s="1"/>
  <c r="F137" i="14"/>
  <c r="G137" i="14" s="1"/>
  <c r="H135" i="13"/>
  <c r="E136" i="13" s="1"/>
  <c r="F138" i="15" l="1"/>
  <c r="G138" i="15" s="1"/>
  <c r="H137" i="14"/>
  <c r="E138" i="14" s="1"/>
  <c r="F136" i="13"/>
  <c r="G136" i="13" s="1"/>
  <c r="H138" i="15" l="1"/>
  <c r="E139" i="15" s="1"/>
  <c r="F138" i="14"/>
  <c r="G138" i="14" s="1"/>
  <c r="H136" i="13"/>
  <c r="E137" i="13" s="1"/>
  <c r="F139" i="15" l="1"/>
  <c r="G139" i="15" s="1"/>
  <c r="H138" i="14"/>
  <c r="E139" i="14" s="1"/>
  <c r="F137" i="13"/>
  <c r="G137" i="13" s="1"/>
  <c r="H139" i="15" l="1"/>
  <c r="E140" i="15" s="1"/>
  <c r="F139" i="14"/>
  <c r="G139" i="14" s="1"/>
  <c r="H137" i="13"/>
  <c r="E138" i="13" s="1"/>
  <c r="F140" i="15" l="1"/>
  <c r="G140" i="15" s="1"/>
  <c r="H139" i="14"/>
  <c r="E140" i="14" s="1"/>
  <c r="F138" i="13"/>
  <c r="G138" i="13" s="1"/>
  <c r="H140" i="15" l="1"/>
  <c r="E141" i="15" s="1"/>
  <c r="F140" i="14"/>
  <c r="G140" i="14" s="1"/>
  <c r="H138" i="13"/>
  <c r="E139" i="13" s="1"/>
  <c r="F141" i="15" l="1"/>
  <c r="G141" i="15" s="1"/>
  <c r="H140" i="14"/>
  <c r="E141" i="14" s="1"/>
  <c r="F139" i="13"/>
  <c r="G139" i="13" s="1"/>
  <c r="H141" i="15" l="1"/>
  <c r="E142" i="15" s="1"/>
  <c r="F141" i="14"/>
  <c r="G141" i="14" s="1"/>
  <c r="H139" i="13"/>
  <c r="E140" i="13" s="1"/>
  <c r="F142" i="15" l="1"/>
  <c r="G142" i="15" s="1"/>
  <c r="H141" i="14"/>
  <c r="E142" i="14" s="1"/>
  <c r="F140" i="13"/>
  <c r="G140" i="13" s="1"/>
  <c r="H142" i="15" l="1"/>
  <c r="E143" i="15" s="1"/>
  <c r="F142" i="14"/>
  <c r="G142" i="14" s="1"/>
  <c r="H140" i="13"/>
  <c r="E141" i="13" s="1"/>
  <c r="F143" i="15" l="1"/>
  <c r="G143" i="15" s="1"/>
  <c r="H142" i="14"/>
  <c r="E143" i="14" s="1"/>
  <c r="F141" i="13"/>
  <c r="G141" i="13" s="1"/>
  <c r="H143" i="15" l="1"/>
  <c r="E144" i="15" s="1"/>
  <c r="F143" i="14"/>
  <c r="G143" i="14" s="1"/>
  <c r="H141" i="13"/>
  <c r="E142" i="13" s="1"/>
  <c r="F144" i="15" l="1"/>
  <c r="G144" i="15" s="1"/>
  <c r="H143" i="14"/>
  <c r="E144" i="14" s="1"/>
  <c r="F142" i="13"/>
  <c r="G142" i="13" s="1"/>
  <c r="H144" i="15" l="1"/>
  <c r="E145" i="15" s="1"/>
  <c r="F144" i="14"/>
  <c r="G144" i="14" s="1"/>
  <c r="H142" i="13"/>
  <c r="E143" i="13" s="1"/>
  <c r="F145" i="15" l="1"/>
  <c r="G145" i="15" s="1"/>
  <c r="H144" i="14"/>
  <c r="E145" i="14" s="1"/>
  <c r="F143" i="13"/>
  <c r="G143" i="13" s="1"/>
  <c r="H145" i="15" l="1"/>
  <c r="E146" i="15" s="1"/>
  <c r="F145" i="14"/>
  <c r="G145" i="14" s="1"/>
  <c r="H143" i="13"/>
  <c r="E144" i="13" s="1"/>
  <c r="F146" i="15" l="1"/>
  <c r="G146" i="15" s="1"/>
  <c r="H145" i="14"/>
  <c r="E146" i="14" s="1"/>
  <c r="F144" i="13"/>
  <c r="G144" i="13" s="1"/>
  <c r="H146" i="15" l="1"/>
  <c r="E147" i="15" s="1"/>
  <c r="F146" i="14"/>
  <c r="G146" i="14" s="1"/>
  <c r="H144" i="13"/>
  <c r="E145" i="13" s="1"/>
  <c r="F147" i="15" l="1"/>
  <c r="G147" i="15" s="1"/>
  <c r="H146" i="14"/>
  <c r="E147" i="14" s="1"/>
  <c r="F145" i="13"/>
  <c r="G145" i="13" s="1"/>
  <c r="H147" i="15" l="1"/>
  <c r="E148" i="15" s="1"/>
  <c r="F147" i="14"/>
  <c r="G147" i="14" s="1"/>
  <c r="H145" i="13"/>
  <c r="E146" i="13" s="1"/>
  <c r="F148" i="15" l="1"/>
  <c r="G148" i="15" s="1"/>
  <c r="H147" i="14"/>
  <c r="E148" i="14" s="1"/>
  <c r="F146" i="13"/>
  <c r="G146" i="13" s="1"/>
  <c r="H148" i="15" l="1"/>
  <c r="E149" i="15" s="1"/>
  <c r="F148" i="14"/>
  <c r="G148" i="14" s="1"/>
  <c r="H146" i="13"/>
  <c r="E147" i="13" s="1"/>
  <c r="F149" i="15" l="1"/>
  <c r="G149" i="15" s="1"/>
  <c r="H148" i="14"/>
  <c r="E149" i="14" s="1"/>
  <c r="F147" i="13"/>
  <c r="G147" i="13" s="1"/>
  <c r="H149" i="15" l="1"/>
  <c r="E150" i="15" s="1"/>
  <c r="F149" i="14"/>
  <c r="G149" i="14" s="1"/>
  <c r="H147" i="13"/>
  <c r="E148" i="13" s="1"/>
  <c r="F150" i="15" l="1"/>
  <c r="G150" i="15" s="1"/>
  <c r="H149" i="14"/>
  <c r="E150" i="14" s="1"/>
  <c r="F148" i="13"/>
  <c r="G148" i="13" s="1"/>
  <c r="H150" i="15" l="1"/>
  <c r="E151" i="15" s="1"/>
  <c r="F150" i="14"/>
  <c r="G150" i="14" s="1"/>
  <c r="H148" i="13"/>
  <c r="E149" i="13" s="1"/>
  <c r="F151" i="15" l="1"/>
  <c r="G151" i="15" s="1"/>
  <c r="H150" i="14"/>
  <c r="E151" i="14" s="1"/>
  <c r="F149" i="13"/>
  <c r="G149" i="13" s="1"/>
  <c r="H151" i="15" l="1"/>
  <c r="E152" i="15" s="1"/>
  <c r="F151" i="14"/>
  <c r="G151" i="14" s="1"/>
  <c r="H149" i="13"/>
  <c r="E150" i="13" s="1"/>
  <c r="F152" i="15" l="1"/>
  <c r="G152" i="15" s="1"/>
  <c r="H151" i="14"/>
  <c r="E152" i="14" s="1"/>
  <c r="F150" i="13"/>
  <c r="G150" i="13" s="1"/>
  <c r="H152" i="15" l="1"/>
  <c r="E153" i="15" s="1"/>
  <c r="F152" i="14"/>
  <c r="G152" i="14" s="1"/>
  <c r="H150" i="13"/>
  <c r="E151" i="13" s="1"/>
  <c r="F153" i="15" l="1"/>
  <c r="G153" i="15" s="1"/>
  <c r="H152" i="14"/>
  <c r="E153" i="14" s="1"/>
  <c r="F151" i="13"/>
  <c r="G151" i="13" s="1"/>
  <c r="H153" i="15" l="1"/>
  <c r="E154" i="15" s="1"/>
  <c r="F153" i="14"/>
  <c r="G153" i="14" s="1"/>
  <c r="H151" i="13"/>
  <c r="E152" i="13" s="1"/>
  <c r="F154" i="15" l="1"/>
  <c r="G154" i="15" s="1"/>
  <c r="H153" i="14"/>
  <c r="E154" i="14" s="1"/>
  <c r="F152" i="13"/>
  <c r="G152" i="13" s="1"/>
  <c r="H154" i="15" l="1"/>
  <c r="E155" i="15" s="1"/>
  <c r="F154" i="14"/>
  <c r="G154" i="14" s="1"/>
  <c r="H152" i="13"/>
  <c r="E153" i="13" s="1"/>
  <c r="F155" i="15" l="1"/>
  <c r="G155" i="15" s="1"/>
  <c r="H154" i="14"/>
  <c r="E155" i="14" s="1"/>
  <c r="F153" i="13"/>
  <c r="G153" i="13" s="1"/>
  <c r="H155" i="15" l="1"/>
  <c r="E156" i="15" s="1"/>
  <c r="F155" i="14"/>
  <c r="G155" i="14" s="1"/>
  <c r="H153" i="13"/>
  <c r="E154" i="13" s="1"/>
  <c r="F156" i="15" l="1"/>
  <c r="G156" i="15" s="1"/>
  <c r="H155" i="14"/>
  <c r="E156" i="14" s="1"/>
  <c r="F154" i="13"/>
  <c r="G154" i="13" s="1"/>
  <c r="H156" i="15" l="1"/>
  <c r="E157" i="15" s="1"/>
  <c r="F156" i="14"/>
  <c r="G156" i="14" s="1"/>
  <c r="H154" i="13"/>
  <c r="E155" i="13" s="1"/>
  <c r="F157" i="15" l="1"/>
  <c r="G157" i="15" s="1"/>
  <c r="H156" i="14"/>
  <c r="E157" i="14" s="1"/>
  <c r="F155" i="13"/>
  <c r="G155" i="13" s="1"/>
  <c r="H157" i="15" l="1"/>
  <c r="E158" i="15" s="1"/>
  <c r="F157" i="14"/>
  <c r="G157" i="14" s="1"/>
  <c r="H155" i="13"/>
  <c r="E156" i="13" s="1"/>
  <c r="F158" i="15" l="1"/>
  <c r="G158" i="15" s="1"/>
  <c r="H157" i="14"/>
  <c r="E158" i="14" s="1"/>
  <c r="F156" i="13"/>
  <c r="G156" i="13" s="1"/>
  <c r="H158" i="15" l="1"/>
  <c r="E159" i="15" s="1"/>
  <c r="F158" i="14"/>
  <c r="G158" i="14" s="1"/>
  <c r="H156" i="13"/>
  <c r="E157" i="13" s="1"/>
  <c r="F159" i="15" l="1"/>
  <c r="G159" i="15" s="1"/>
  <c r="H158" i="14"/>
  <c r="E159" i="14" s="1"/>
  <c r="F157" i="13"/>
  <c r="G157" i="13" s="1"/>
  <c r="H159" i="15" l="1"/>
  <c r="E160" i="15" s="1"/>
  <c r="F159" i="14"/>
  <c r="G159" i="14" s="1"/>
  <c r="H157" i="13"/>
  <c r="E158" i="13" s="1"/>
  <c r="F160" i="15" l="1"/>
  <c r="G160" i="15" s="1"/>
  <c r="H159" i="14"/>
  <c r="E160" i="14" s="1"/>
  <c r="F158" i="13"/>
  <c r="G158" i="13" s="1"/>
  <c r="H160" i="15" l="1"/>
  <c r="E161" i="15" s="1"/>
  <c r="F160" i="14"/>
  <c r="G160" i="14" s="1"/>
  <c r="H158" i="13"/>
  <c r="E159" i="13" s="1"/>
  <c r="F161" i="15" l="1"/>
  <c r="H160" i="14"/>
  <c r="E161" i="14" s="1"/>
  <c r="F159" i="13"/>
  <c r="G159" i="13" s="1"/>
  <c r="G161" i="15" l="1"/>
  <c r="F161" i="14"/>
  <c r="G161" i="14" s="1"/>
  <c r="H159" i="13"/>
  <c r="E160" i="13" s="1"/>
  <c r="C4" i="10"/>
  <c r="B11" i="10"/>
  <c r="C4" i="9"/>
  <c r="B11" i="9"/>
  <c r="C4" i="8"/>
  <c r="B11" i="8"/>
  <c r="C4" i="7"/>
  <c r="B11" i="7"/>
  <c r="C4" i="6"/>
  <c r="B11" i="6"/>
  <c r="C4" i="5"/>
  <c r="F2" i="5"/>
  <c r="B11" i="5" s="1"/>
  <c r="B11" i="4"/>
  <c r="C4" i="4"/>
  <c r="C4" i="3"/>
  <c r="B11" i="3"/>
  <c r="C4" i="2"/>
  <c r="B11" i="2"/>
  <c r="H161" i="15" l="1"/>
  <c r="E162" i="15" s="1"/>
  <c r="H161" i="14"/>
  <c r="E162" i="14" s="1"/>
  <c r="F160" i="13"/>
  <c r="G160" i="13" s="1"/>
  <c r="B12" i="10"/>
  <c r="D11" i="10"/>
  <c r="I11" i="10" s="1"/>
  <c r="B12" i="9"/>
  <c r="D11" i="9"/>
  <c r="I11" i="9" s="1"/>
  <c r="B12" i="8"/>
  <c r="D11" i="8"/>
  <c r="I11" i="8" s="1"/>
  <c r="B12" i="7"/>
  <c r="D11" i="7"/>
  <c r="I11" i="7" s="1"/>
  <c r="B12" i="6"/>
  <c r="D11" i="6"/>
  <c r="I11" i="6" s="1"/>
  <c r="D11" i="5"/>
  <c r="I11" i="5" s="1"/>
  <c r="G11" i="5" s="1"/>
  <c r="H11" i="5" s="1"/>
  <c r="E12" i="5" s="1"/>
  <c r="F12" i="5" s="1"/>
  <c r="G12" i="5" s="1"/>
  <c r="H12" i="5" s="1"/>
  <c r="B12" i="5"/>
  <c r="B12" i="4"/>
  <c r="D11" i="4"/>
  <c r="I11" i="4" s="1"/>
  <c r="D11" i="3"/>
  <c r="I11" i="3" s="1"/>
  <c r="B12" i="3"/>
  <c r="D11" i="2"/>
  <c r="I11" i="2" s="1"/>
  <c r="B12" i="2"/>
  <c r="C12" i="1"/>
  <c r="C13" i="1" s="1"/>
  <c r="C14" i="1" s="1"/>
  <c r="C4" i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F162" i="15" l="1"/>
  <c r="F162" i="14"/>
  <c r="G162" i="14" s="1"/>
  <c r="H160" i="13"/>
  <c r="E161" i="13" s="1"/>
  <c r="G11" i="10"/>
  <c r="H11" i="10" s="1"/>
  <c r="G11" i="9"/>
  <c r="H11" i="9" s="1"/>
  <c r="G11" i="8"/>
  <c r="H11" i="8" s="1"/>
  <c r="G11" i="7"/>
  <c r="H11" i="7" s="1"/>
  <c r="G11" i="6"/>
  <c r="H11" i="6" s="1"/>
  <c r="B13" i="10"/>
  <c r="D12" i="10"/>
  <c r="I12" i="10" s="1"/>
  <c r="D12" i="9"/>
  <c r="I12" i="9" s="1"/>
  <c r="B13" i="9"/>
  <c r="B13" i="8"/>
  <c r="D12" i="8"/>
  <c r="I12" i="8" s="1"/>
  <c r="B13" i="7"/>
  <c r="D12" i="7"/>
  <c r="I12" i="7" s="1"/>
  <c r="D12" i="6"/>
  <c r="I12" i="6" s="1"/>
  <c r="B13" i="6"/>
  <c r="G11" i="2"/>
  <c r="G11" i="3"/>
  <c r="G11" i="4"/>
  <c r="B13" i="5"/>
  <c r="D12" i="5"/>
  <c r="I12" i="5" s="1"/>
  <c r="E13" i="5" s="1"/>
  <c r="F13" i="5" s="1"/>
  <c r="G13" i="5" s="1"/>
  <c r="D12" i="4"/>
  <c r="I12" i="4" s="1"/>
  <c r="B13" i="4"/>
  <c r="B13" i="3"/>
  <c r="D12" i="3"/>
  <c r="I12" i="3" s="1"/>
  <c r="B13" i="2"/>
  <c r="D12" i="2"/>
  <c r="I12" i="2" s="1"/>
  <c r="C15" i="1"/>
  <c r="D70" i="1"/>
  <c r="I70" i="1" s="1"/>
  <c r="B71" i="1"/>
  <c r="D11" i="1"/>
  <c r="I11" i="1" s="1"/>
  <c r="D14" i="1"/>
  <c r="I14" i="1" s="1"/>
  <c r="D18" i="1"/>
  <c r="I18" i="1" s="1"/>
  <c r="D22" i="1"/>
  <c r="I22" i="1" s="1"/>
  <c r="D26" i="1"/>
  <c r="I26" i="1" s="1"/>
  <c r="D30" i="1"/>
  <c r="I30" i="1" s="1"/>
  <c r="D34" i="1"/>
  <c r="I34" i="1" s="1"/>
  <c r="D38" i="1"/>
  <c r="I38" i="1" s="1"/>
  <c r="D42" i="1"/>
  <c r="I42" i="1" s="1"/>
  <c r="D46" i="1"/>
  <c r="I46" i="1" s="1"/>
  <c r="D50" i="1"/>
  <c r="I50" i="1" s="1"/>
  <c r="D54" i="1"/>
  <c r="I54" i="1" s="1"/>
  <c r="D58" i="1"/>
  <c r="I58" i="1" s="1"/>
  <c r="D62" i="1"/>
  <c r="I62" i="1" s="1"/>
  <c r="D66" i="1"/>
  <c r="I66" i="1" s="1"/>
  <c r="D69" i="1"/>
  <c r="I69" i="1" s="1"/>
  <c r="D13" i="1"/>
  <c r="I13" i="1" s="1"/>
  <c r="D17" i="1"/>
  <c r="I17" i="1" s="1"/>
  <c r="D21" i="1"/>
  <c r="I21" i="1" s="1"/>
  <c r="D25" i="1"/>
  <c r="I25" i="1" s="1"/>
  <c r="D29" i="1"/>
  <c r="I29" i="1" s="1"/>
  <c r="D33" i="1"/>
  <c r="I33" i="1" s="1"/>
  <c r="D37" i="1"/>
  <c r="I37" i="1" s="1"/>
  <c r="D41" i="1"/>
  <c r="I41" i="1" s="1"/>
  <c r="D45" i="1"/>
  <c r="I45" i="1" s="1"/>
  <c r="D49" i="1"/>
  <c r="I49" i="1" s="1"/>
  <c r="D53" i="1"/>
  <c r="I53" i="1" s="1"/>
  <c r="D57" i="1"/>
  <c r="I57" i="1" s="1"/>
  <c r="D61" i="1"/>
  <c r="I61" i="1" s="1"/>
  <c r="D65" i="1"/>
  <c r="I65" i="1" s="1"/>
  <c r="D12" i="1"/>
  <c r="I12" i="1" s="1"/>
  <c r="D16" i="1"/>
  <c r="I16" i="1" s="1"/>
  <c r="D20" i="1"/>
  <c r="I20" i="1" s="1"/>
  <c r="D24" i="1"/>
  <c r="I24" i="1" s="1"/>
  <c r="D28" i="1"/>
  <c r="I28" i="1" s="1"/>
  <c r="D32" i="1"/>
  <c r="I32" i="1" s="1"/>
  <c r="D36" i="1"/>
  <c r="I36" i="1" s="1"/>
  <c r="D40" i="1"/>
  <c r="I40" i="1" s="1"/>
  <c r="D44" i="1"/>
  <c r="I44" i="1" s="1"/>
  <c r="D48" i="1"/>
  <c r="I48" i="1" s="1"/>
  <c r="D52" i="1"/>
  <c r="I52" i="1" s="1"/>
  <c r="D56" i="1"/>
  <c r="I56" i="1" s="1"/>
  <c r="D60" i="1"/>
  <c r="I60" i="1" s="1"/>
  <c r="D64" i="1"/>
  <c r="I64" i="1" s="1"/>
  <c r="D68" i="1"/>
  <c r="I68" i="1" s="1"/>
  <c r="D15" i="1"/>
  <c r="I15" i="1" s="1"/>
  <c r="D19" i="1"/>
  <c r="I19" i="1" s="1"/>
  <c r="D23" i="1"/>
  <c r="I23" i="1" s="1"/>
  <c r="D27" i="1"/>
  <c r="I27" i="1" s="1"/>
  <c r="D31" i="1"/>
  <c r="I31" i="1" s="1"/>
  <c r="D35" i="1"/>
  <c r="I35" i="1" s="1"/>
  <c r="D39" i="1"/>
  <c r="I39" i="1" s="1"/>
  <c r="D43" i="1"/>
  <c r="I43" i="1" s="1"/>
  <c r="D47" i="1"/>
  <c r="I47" i="1" s="1"/>
  <c r="D51" i="1"/>
  <c r="I51" i="1" s="1"/>
  <c r="D55" i="1"/>
  <c r="I55" i="1" s="1"/>
  <c r="D59" i="1"/>
  <c r="I59" i="1" s="1"/>
  <c r="D63" i="1"/>
  <c r="I63" i="1" s="1"/>
  <c r="D67" i="1"/>
  <c r="I67" i="1" s="1"/>
  <c r="G162" i="15" l="1"/>
  <c r="H162" i="14"/>
  <c r="E163" i="14" s="1"/>
  <c r="F161" i="13"/>
  <c r="G161" i="13" s="1"/>
  <c r="E12" i="10"/>
  <c r="F12" i="10" s="1"/>
  <c r="E12" i="9"/>
  <c r="F12" i="9" s="1"/>
  <c r="E12" i="8"/>
  <c r="F12" i="8" s="1"/>
  <c r="E12" i="7"/>
  <c r="F12" i="7" s="1"/>
  <c r="E12" i="6"/>
  <c r="F12" i="6" s="1"/>
  <c r="B14" i="10"/>
  <c r="D13" i="10"/>
  <c r="I13" i="10" s="1"/>
  <c r="D13" i="9"/>
  <c r="I13" i="9" s="1"/>
  <c r="B14" i="9"/>
  <c r="B14" i="8"/>
  <c r="D13" i="8"/>
  <c r="I13" i="8" s="1"/>
  <c r="D13" i="7"/>
  <c r="I13" i="7" s="1"/>
  <c r="B14" i="7"/>
  <c r="D13" i="6"/>
  <c r="I13" i="6" s="1"/>
  <c r="B14" i="6"/>
  <c r="H11" i="2"/>
  <c r="E12" i="2" s="1"/>
  <c r="H11" i="3"/>
  <c r="E12" i="3" s="1"/>
  <c r="H11" i="4"/>
  <c r="E12" i="4" s="1"/>
  <c r="H13" i="5"/>
  <c r="D13" i="5"/>
  <c r="I13" i="5" s="1"/>
  <c r="B14" i="5"/>
  <c r="D13" i="4"/>
  <c r="I13" i="4" s="1"/>
  <c r="B14" i="4"/>
  <c r="B14" i="3"/>
  <c r="D13" i="3"/>
  <c r="I13" i="3" s="1"/>
  <c r="B14" i="2"/>
  <c r="D13" i="2"/>
  <c r="I13" i="2" s="1"/>
  <c r="G11" i="1"/>
  <c r="D71" i="1"/>
  <c r="I71" i="1" s="1"/>
  <c r="B72" i="1"/>
  <c r="C16" i="1"/>
  <c r="H162" i="15" l="1"/>
  <c r="E163" i="15" s="1"/>
  <c r="F163" i="14"/>
  <c r="G163" i="14" s="1"/>
  <c r="H161" i="13"/>
  <c r="E162" i="13" s="1"/>
  <c r="G12" i="10"/>
  <c r="H12" i="10" s="1"/>
  <c r="G12" i="9"/>
  <c r="H12" i="9" s="1"/>
  <c r="G12" i="8"/>
  <c r="H12" i="8" s="1"/>
  <c r="G12" i="7"/>
  <c r="H12" i="7" s="1"/>
  <c r="G12" i="6"/>
  <c r="H12" i="6" s="1"/>
  <c r="B15" i="10"/>
  <c r="D14" i="10"/>
  <c r="I14" i="10" s="1"/>
  <c r="D14" i="9"/>
  <c r="I14" i="9" s="1"/>
  <c r="B15" i="9"/>
  <c r="B15" i="8"/>
  <c r="D14" i="8"/>
  <c r="I14" i="8" s="1"/>
  <c r="D14" i="7"/>
  <c r="I14" i="7" s="1"/>
  <c r="B15" i="7"/>
  <c r="B15" i="6"/>
  <c r="D14" i="6"/>
  <c r="I14" i="6" s="1"/>
  <c r="F12" i="2"/>
  <c r="G12" i="2" s="1"/>
  <c r="H12" i="2" s="1"/>
  <c r="F12" i="3"/>
  <c r="G12" i="3" s="1"/>
  <c r="E14" i="5"/>
  <c r="F14" i="5" s="1"/>
  <c r="G14" i="5" s="1"/>
  <c r="H14" i="5" s="1"/>
  <c r="F12" i="4"/>
  <c r="G12" i="4" s="1"/>
  <c r="D14" i="5"/>
  <c r="I14" i="5" s="1"/>
  <c r="B15" i="5"/>
  <c r="B15" i="4"/>
  <c r="D14" i="4"/>
  <c r="I14" i="4" s="1"/>
  <c r="B15" i="3"/>
  <c r="D14" i="3"/>
  <c r="I14" i="3" s="1"/>
  <c r="H11" i="1"/>
  <c r="B15" i="2"/>
  <c r="D14" i="2"/>
  <c r="I14" i="2" s="1"/>
  <c r="C17" i="1"/>
  <c r="D72" i="1"/>
  <c r="I72" i="1" s="1"/>
  <c r="B73" i="1"/>
  <c r="F163" i="15" l="1"/>
  <c r="H163" i="14"/>
  <c r="E164" i="14" s="1"/>
  <c r="F162" i="13"/>
  <c r="G162" i="13" s="1"/>
  <c r="E13" i="10"/>
  <c r="F13" i="10" s="1"/>
  <c r="E13" i="9"/>
  <c r="F13" i="9" s="1"/>
  <c r="E13" i="8"/>
  <c r="F13" i="8" s="1"/>
  <c r="E13" i="7"/>
  <c r="F13" i="7" s="1"/>
  <c r="E13" i="6"/>
  <c r="F13" i="6" s="1"/>
  <c r="B16" i="10"/>
  <c r="D15" i="10"/>
  <c r="I15" i="10" s="1"/>
  <c r="D15" i="9"/>
  <c r="I15" i="9" s="1"/>
  <c r="B16" i="9"/>
  <c r="B16" i="8"/>
  <c r="D15" i="8"/>
  <c r="I15" i="8" s="1"/>
  <c r="B16" i="7"/>
  <c r="D15" i="7"/>
  <c r="I15" i="7" s="1"/>
  <c r="B16" i="6"/>
  <c r="D15" i="6"/>
  <c r="I15" i="6" s="1"/>
  <c r="E13" i="2"/>
  <c r="F13" i="2" s="1"/>
  <c r="G13" i="2" s="1"/>
  <c r="H13" i="2" s="1"/>
  <c r="E14" i="2" s="1"/>
  <c r="F14" i="2" s="1"/>
  <c r="G14" i="2" s="1"/>
  <c r="H14" i="2" s="1"/>
  <c r="E15" i="2" s="1"/>
  <c r="F15" i="2" s="1"/>
  <c r="G15" i="2" s="1"/>
  <c r="H15" i="2" s="1"/>
  <c r="H12" i="3"/>
  <c r="E13" i="3" s="1"/>
  <c r="E15" i="5"/>
  <c r="F15" i="5" s="1"/>
  <c r="G15" i="5" s="1"/>
  <c r="H15" i="5" s="1"/>
  <c r="H12" i="4"/>
  <c r="E13" i="4" s="1"/>
  <c r="D15" i="5"/>
  <c r="I15" i="5" s="1"/>
  <c r="B16" i="5"/>
  <c r="B16" i="4"/>
  <c r="D15" i="4"/>
  <c r="I15" i="4" s="1"/>
  <c r="D15" i="3"/>
  <c r="I15" i="3" s="1"/>
  <c r="B16" i="3"/>
  <c r="E12" i="1"/>
  <c r="F12" i="1" s="1"/>
  <c r="D15" i="2"/>
  <c r="I15" i="2" s="1"/>
  <c r="B16" i="2"/>
  <c r="C18" i="1"/>
  <c r="D73" i="1"/>
  <c r="I73" i="1" s="1"/>
  <c r="B74" i="1"/>
  <c r="G163" i="15" l="1"/>
  <c r="F164" i="14"/>
  <c r="F5" i="14" s="1"/>
  <c r="H162" i="13"/>
  <c r="E163" i="13" s="1"/>
  <c r="G13" i="10"/>
  <c r="H13" i="10" s="1"/>
  <c r="G13" i="9"/>
  <c r="H13" i="9" s="1"/>
  <c r="G13" i="8"/>
  <c r="H13" i="8" s="1"/>
  <c r="G13" i="7"/>
  <c r="H13" i="7" s="1"/>
  <c r="G13" i="6"/>
  <c r="H13" i="6" s="1"/>
  <c r="B17" i="10"/>
  <c r="D16" i="10"/>
  <c r="I16" i="10" s="1"/>
  <c r="D16" i="9"/>
  <c r="I16" i="9" s="1"/>
  <c r="B17" i="9"/>
  <c r="B17" i="8"/>
  <c r="D16" i="8"/>
  <c r="I16" i="8" s="1"/>
  <c r="B17" i="7"/>
  <c r="D16" i="7"/>
  <c r="I16" i="7" s="1"/>
  <c r="D16" i="6"/>
  <c r="I16" i="6" s="1"/>
  <c r="B17" i="6"/>
  <c r="E16" i="2"/>
  <c r="F16" i="2" s="1"/>
  <c r="G16" i="2" s="1"/>
  <c r="H16" i="2" s="1"/>
  <c r="F13" i="3"/>
  <c r="G13" i="3" s="1"/>
  <c r="E16" i="5"/>
  <c r="F16" i="5" s="1"/>
  <c r="G16" i="5" s="1"/>
  <c r="H16" i="5" s="1"/>
  <c r="F13" i="4"/>
  <c r="G13" i="4" s="1"/>
  <c r="D16" i="5"/>
  <c r="I16" i="5" s="1"/>
  <c r="B17" i="5"/>
  <c r="B17" i="4"/>
  <c r="D16" i="4"/>
  <c r="I16" i="4" s="1"/>
  <c r="D16" i="3"/>
  <c r="I16" i="3" s="1"/>
  <c r="B17" i="3"/>
  <c r="G12" i="1"/>
  <c r="D16" i="2"/>
  <c r="I16" i="2" s="1"/>
  <c r="B17" i="2"/>
  <c r="C19" i="1"/>
  <c r="D74" i="1"/>
  <c r="I74" i="1" s="1"/>
  <c r="B75" i="1"/>
  <c r="I2" i="14" l="1"/>
  <c r="H163" i="15"/>
  <c r="E164" i="15" s="1"/>
  <c r="G164" i="14"/>
  <c r="F163" i="13"/>
  <c r="G163" i="13" s="1"/>
  <c r="E14" i="10"/>
  <c r="F14" i="10" s="1"/>
  <c r="E14" i="9"/>
  <c r="F14" i="9" s="1"/>
  <c r="E14" i="8"/>
  <c r="F14" i="8" s="1"/>
  <c r="E14" i="7"/>
  <c r="F14" i="7" s="1"/>
  <c r="E14" i="6"/>
  <c r="F14" i="6" s="1"/>
  <c r="B18" i="10"/>
  <c r="D17" i="10"/>
  <c r="I17" i="10" s="1"/>
  <c r="D17" i="9"/>
  <c r="I17" i="9" s="1"/>
  <c r="B18" i="9"/>
  <c r="B18" i="8"/>
  <c r="D17" i="8"/>
  <c r="I17" i="8" s="1"/>
  <c r="D17" i="7"/>
  <c r="I17" i="7" s="1"/>
  <c r="B18" i="7"/>
  <c r="D17" i="6"/>
  <c r="I17" i="6" s="1"/>
  <c r="B18" i="6"/>
  <c r="E17" i="2"/>
  <c r="F17" i="2" s="1"/>
  <c r="G17" i="2" s="1"/>
  <c r="H17" i="2" s="1"/>
  <c r="H13" i="3"/>
  <c r="E14" i="3" s="1"/>
  <c r="E17" i="5"/>
  <c r="F17" i="5" s="1"/>
  <c r="G17" i="5" s="1"/>
  <c r="H17" i="5" s="1"/>
  <c r="H13" i="4"/>
  <c r="E14" i="4" s="1"/>
  <c r="D17" i="5"/>
  <c r="I17" i="5" s="1"/>
  <c r="B18" i="5"/>
  <c r="B18" i="4"/>
  <c r="D17" i="4"/>
  <c r="I17" i="4" s="1"/>
  <c r="B18" i="3"/>
  <c r="D17" i="3"/>
  <c r="I17" i="3" s="1"/>
  <c r="H12" i="1"/>
  <c r="E13" i="1" s="1"/>
  <c r="F13" i="1" s="1"/>
  <c r="D17" i="2"/>
  <c r="I17" i="2" s="1"/>
  <c r="B18" i="2"/>
  <c r="C20" i="1"/>
  <c r="D75" i="1"/>
  <c r="I75" i="1" s="1"/>
  <c r="B76" i="1"/>
  <c r="F164" i="15" l="1"/>
  <c r="G164" i="15" s="1"/>
  <c r="H164" i="14"/>
  <c r="F3" i="14" s="1"/>
  <c r="G165" i="14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H163" i="13"/>
  <c r="E164" i="13" s="1"/>
  <c r="G14" i="10"/>
  <c r="H14" i="10" s="1"/>
  <c r="G14" i="9"/>
  <c r="H14" i="9" s="1"/>
  <c r="G14" i="8"/>
  <c r="H14" i="8" s="1"/>
  <c r="G14" i="7"/>
  <c r="H14" i="7" s="1"/>
  <c r="G14" i="6"/>
  <c r="H14" i="6" s="1"/>
  <c r="B19" i="10"/>
  <c r="D18" i="10"/>
  <c r="I18" i="10" s="1"/>
  <c r="D18" i="9"/>
  <c r="I18" i="9" s="1"/>
  <c r="B19" i="9"/>
  <c r="B19" i="8"/>
  <c r="D18" i="8"/>
  <c r="I18" i="8" s="1"/>
  <c r="D18" i="7"/>
  <c r="I18" i="7" s="1"/>
  <c r="B19" i="7"/>
  <c r="D18" i="6"/>
  <c r="I18" i="6" s="1"/>
  <c r="B19" i="6"/>
  <c r="E18" i="2"/>
  <c r="F18" i="2" s="1"/>
  <c r="G18" i="2" s="1"/>
  <c r="H18" i="2" s="1"/>
  <c r="F14" i="3"/>
  <c r="G14" i="3" s="1"/>
  <c r="E18" i="5"/>
  <c r="F18" i="5" s="1"/>
  <c r="G18" i="5" s="1"/>
  <c r="H18" i="5" s="1"/>
  <c r="F14" i="4"/>
  <c r="G14" i="4" s="1"/>
  <c r="B19" i="5"/>
  <c r="D18" i="5"/>
  <c r="I18" i="5" s="1"/>
  <c r="D18" i="4"/>
  <c r="I18" i="4" s="1"/>
  <c r="B19" i="4"/>
  <c r="B19" i="3"/>
  <c r="D18" i="3"/>
  <c r="I18" i="3" s="1"/>
  <c r="G13" i="1"/>
  <c r="H13" i="1" s="1"/>
  <c r="B19" i="2"/>
  <c r="D18" i="2"/>
  <c r="I18" i="2" s="1"/>
  <c r="D76" i="1"/>
  <c r="I76" i="1" s="1"/>
  <c r="B77" i="1"/>
  <c r="C21" i="1"/>
  <c r="C3" i="14" l="1"/>
  <c r="E7" i="14"/>
  <c r="H164" i="15"/>
  <c r="E165" i="15" s="1"/>
  <c r="F164" i="13"/>
  <c r="E15" i="10"/>
  <c r="F15" i="10" s="1"/>
  <c r="E15" i="9"/>
  <c r="F15" i="9" s="1"/>
  <c r="E15" i="8"/>
  <c r="F15" i="8" s="1"/>
  <c r="E15" i="7"/>
  <c r="F15" i="7" s="1"/>
  <c r="E15" i="6"/>
  <c r="F15" i="6" s="1"/>
  <c r="B20" i="10"/>
  <c r="D19" i="10"/>
  <c r="I19" i="10" s="1"/>
  <c r="D19" i="9"/>
  <c r="I19" i="9" s="1"/>
  <c r="B20" i="9"/>
  <c r="B20" i="8"/>
  <c r="D19" i="8"/>
  <c r="I19" i="8" s="1"/>
  <c r="B20" i="7"/>
  <c r="D19" i="7"/>
  <c r="I19" i="7" s="1"/>
  <c r="D19" i="6"/>
  <c r="I19" i="6" s="1"/>
  <c r="B20" i="6"/>
  <c r="E19" i="2"/>
  <c r="F19" i="2" s="1"/>
  <c r="G19" i="2" s="1"/>
  <c r="H19" i="2" s="1"/>
  <c r="H14" i="3"/>
  <c r="E15" i="3" s="1"/>
  <c r="F15" i="3" s="1"/>
  <c r="G15" i="3" s="1"/>
  <c r="E19" i="5"/>
  <c r="F19" i="5" s="1"/>
  <c r="G19" i="5" s="1"/>
  <c r="H19" i="5" s="1"/>
  <c r="H14" i="4"/>
  <c r="E15" i="4" s="1"/>
  <c r="F15" i="4" s="1"/>
  <c r="G15" i="4" s="1"/>
  <c r="E14" i="1"/>
  <c r="F14" i="1" s="1"/>
  <c r="B20" i="5"/>
  <c r="D19" i="5"/>
  <c r="I19" i="5" s="1"/>
  <c r="D19" i="4"/>
  <c r="I19" i="4" s="1"/>
  <c r="B20" i="4"/>
  <c r="D19" i="3"/>
  <c r="I19" i="3" s="1"/>
  <c r="B20" i="3"/>
  <c r="D19" i="2"/>
  <c r="I19" i="2" s="1"/>
  <c r="B20" i="2"/>
  <c r="C22" i="1"/>
  <c r="D77" i="1"/>
  <c r="I77" i="1" s="1"/>
  <c r="B78" i="1"/>
  <c r="F165" i="15" l="1"/>
  <c r="G165" i="15" s="1"/>
  <c r="F5" i="13"/>
  <c r="I2" i="13"/>
  <c r="G164" i="13"/>
  <c r="G15" i="10"/>
  <c r="H15" i="10" s="1"/>
  <c r="G15" i="9"/>
  <c r="H15" i="9" s="1"/>
  <c r="G15" i="8"/>
  <c r="H15" i="8" s="1"/>
  <c r="G15" i="7"/>
  <c r="H15" i="7" s="1"/>
  <c r="E16" i="7" s="1"/>
  <c r="G15" i="6"/>
  <c r="H15" i="6" s="1"/>
  <c r="B21" i="10"/>
  <c r="D20" i="10"/>
  <c r="I20" i="10" s="1"/>
  <c r="D20" i="9"/>
  <c r="I20" i="9" s="1"/>
  <c r="B21" i="9"/>
  <c r="B21" i="8"/>
  <c r="D20" i="8"/>
  <c r="I20" i="8" s="1"/>
  <c r="D20" i="7"/>
  <c r="I20" i="7" s="1"/>
  <c r="B21" i="7"/>
  <c r="E20" i="5"/>
  <c r="F20" i="5" s="1"/>
  <c r="G20" i="5" s="1"/>
  <c r="H20" i="5" s="1"/>
  <c r="B21" i="6"/>
  <c r="D20" i="6"/>
  <c r="I20" i="6" s="1"/>
  <c r="E20" i="2"/>
  <c r="F20" i="2" s="1"/>
  <c r="G20" i="2" s="1"/>
  <c r="H20" i="2" s="1"/>
  <c r="H15" i="3"/>
  <c r="E16" i="3" s="1"/>
  <c r="F16" i="3" s="1"/>
  <c r="G16" i="3" s="1"/>
  <c r="H16" i="3" s="1"/>
  <c r="E17" i="3" s="1"/>
  <c r="F17" i="3" s="1"/>
  <c r="G17" i="3" s="1"/>
  <c r="H17" i="3" s="1"/>
  <c r="E18" i="3" s="1"/>
  <c r="F18" i="3" s="1"/>
  <c r="G18" i="3" s="1"/>
  <c r="H18" i="3" s="1"/>
  <c r="E19" i="3" s="1"/>
  <c r="F19" i="3" s="1"/>
  <c r="G19" i="3" s="1"/>
  <c r="H19" i="3" s="1"/>
  <c r="E20" i="3" s="1"/>
  <c r="F20" i="3" s="1"/>
  <c r="G20" i="3" s="1"/>
  <c r="H20" i="3" s="1"/>
  <c r="H15" i="4"/>
  <c r="E16" i="4" s="1"/>
  <c r="F16" i="4" s="1"/>
  <c r="G16" i="4" s="1"/>
  <c r="H16" i="4" s="1"/>
  <c r="E17" i="4" s="1"/>
  <c r="F17" i="4" s="1"/>
  <c r="G17" i="4" s="1"/>
  <c r="H17" i="4" s="1"/>
  <c r="E18" i="4" s="1"/>
  <c r="F18" i="4" s="1"/>
  <c r="G18" i="4" s="1"/>
  <c r="H18" i="4" s="1"/>
  <c r="E19" i="4" s="1"/>
  <c r="F19" i="4" s="1"/>
  <c r="G19" i="4" s="1"/>
  <c r="H19" i="4" s="1"/>
  <c r="E20" i="4" s="1"/>
  <c r="F20" i="4" s="1"/>
  <c r="G20" i="4" s="1"/>
  <c r="H20" i="4" s="1"/>
  <c r="B21" i="5"/>
  <c r="D20" i="5"/>
  <c r="I20" i="5" s="1"/>
  <c r="D20" i="4"/>
  <c r="I20" i="4" s="1"/>
  <c r="B21" i="4"/>
  <c r="B21" i="3"/>
  <c r="D20" i="3"/>
  <c r="I20" i="3" s="1"/>
  <c r="G14" i="1"/>
  <c r="H14" i="1" s="1"/>
  <c r="D20" i="2"/>
  <c r="I20" i="2" s="1"/>
  <c r="B21" i="2"/>
  <c r="D78" i="1"/>
  <c r="I78" i="1" s="1"/>
  <c r="B79" i="1"/>
  <c r="C23" i="1"/>
  <c r="H165" i="15" l="1"/>
  <c r="E166" i="15" s="1"/>
  <c r="H164" i="13"/>
  <c r="F3" i="13" s="1"/>
  <c r="G165" i="13"/>
  <c r="G166" i="13" s="1"/>
  <c r="G167" i="13" s="1"/>
  <c r="G168" i="13" s="1"/>
  <c r="G169" i="13" s="1"/>
  <c r="G170" i="13" s="1"/>
  <c r="G171" i="13" s="1"/>
  <c r="G172" i="13" s="1"/>
  <c r="G173" i="13" s="1"/>
  <c r="G174" i="13" s="1"/>
  <c r="G175" i="13" s="1"/>
  <c r="G176" i="13" s="1"/>
  <c r="G177" i="13" s="1"/>
  <c r="G178" i="13" s="1"/>
  <c r="G179" i="13" s="1"/>
  <c r="G180" i="13" s="1"/>
  <c r="G181" i="13" s="1"/>
  <c r="G182" i="13" s="1"/>
  <c r="G183" i="13" s="1"/>
  <c r="G184" i="13" s="1"/>
  <c r="G185" i="13" s="1"/>
  <c r="G186" i="13" s="1"/>
  <c r="G187" i="13" s="1"/>
  <c r="G188" i="13" s="1"/>
  <c r="G189" i="13" s="1"/>
  <c r="G190" i="13" s="1"/>
  <c r="G191" i="13" s="1"/>
  <c r="G192" i="13" s="1"/>
  <c r="G193" i="13" s="1"/>
  <c r="G194" i="13" s="1"/>
  <c r="G195" i="13" s="1"/>
  <c r="G196" i="13" s="1"/>
  <c r="G197" i="13" s="1"/>
  <c r="G198" i="13" s="1"/>
  <c r="G199" i="13" s="1"/>
  <c r="G200" i="13" s="1"/>
  <c r="G201" i="13" s="1"/>
  <c r="G202" i="13" s="1"/>
  <c r="G203" i="13" s="1"/>
  <c r="G204" i="13" s="1"/>
  <c r="G205" i="13" s="1"/>
  <c r="G206" i="13" s="1"/>
  <c r="G207" i="13" s="1"/>
  <c r="G208" i="13" s="1"/>
  <c r="G209" i="13" s="1"/>
  <c r="G210" i="13" s="1"/>
  <c r="G211" i="13" s="1"/>
  <c r="E7" i="13" s="1"/>
  <c r="E16" i="10"/>
  <c r="F16" i="10" s="1"/>
  <c r="E16" i="9"/>
  <c r="F16" i="9" s="1"/>
  <c r="E16" i="8"/>
  <c r="F16" i="8" s="1"/>
  <c r="E16" i="6"/>
  <c r="F16" i="6" s="1"/>
  <c r="B22" i="10"/>
  <c r="D21" i="10"/>
  <c r="I21" i="10" s="1"/>
  <c r="D21" i="9"/>
  <c r="I21" i="9" s="1"/>
  <c r="B22" i="9"/>
  <c r="B22" i="8"/>
  <c r="D21" i="8"/>
  <c r="I21" i="8" s="1"/>
  <c r="B22" i="7"/>
  <c r="D21" i="7"/>
  <c r="I21" i="7" s="1"/>
  <c r="F16" i="7"/>
  <c r="B22" i="6"/>
  <c r="D21" i="6"/>
  <c r="I21" i="6" s="1"/>
  <c r="E21" i="5"/>
  <c r="F21" i="5" s="1"/>
  <c r="G21" i="5" s="1"/>
  <c r="H21" i="5" s="1"/>
  <c r="E21" i="2"/>
  <c r="F21" i="2" s="1"/>
  <c r="G21" i="2" s="1"/>
  <c r="H21" i="2" s="1"/>
  <c r="E21" i="3"/>
  <c r="F21" i="3" s="1"/>
  <c r="G21" i="3" s="1"/>
  <c r="H21" i="3" s="1"/>
  <c r="E21" i="4"/>
  <c r="F21" i="4" s="1"/>
  <c r="G21" i="4" s="1"/>
  <c r="H21" i="4" s="1"/>
  <c r="E15" i="1"/>
  <c r="F15" i="1" s="1"/>
  <c r="D21" i="5"/>
  <c r="I21" i="5" s="1"/>
  <c r="B22" i="5"/>
  <c r="D21" i="4"/>
  <c r="I21" i="4" s="1"/>
  <c r="B22" i="4"/>
  <c r="B22" i="3"/>
  <c r="D21" i="3"/>
  <c r="I21" i="3" s="1"/>
  <c r="B22" i="2"/>
  <c r="D21" i="2"/>
  <c r="I21" i="2" s="1"/>
  <c r="D79" i="1"/>
  <c r="I79" i="1" s="1"/>
  <c r="B80" i="1"/>
  <c r="C24" i="1"/>
  <c r="F166" i="15" l="1"/>
  <c r="G166" i="15" s="1"/>
  <c r="C3" i="13"/>
  <c r="G16" i="10"/>
  <c r="H16" i="10" s="1"/>
  <c r="E17" i="10" s="1"/>
  <c r="G16" i="9"/>
  <c r="H16" i="9" s="1"/>
  <c r="E17" i="9" s="1"/>
  <c r="G16" i="8"/>
  <c r="H16" i="8" s="1"/>
  <c r="E17" i="8" s="1"/>
  <c r="G16" i="7"/>
  <c r="H16" i="7" s="1"/>
  <c r="E17" i="7" s="1"/>
  <c r="G16" i="6"/>
  <c r="H16" i="6" s="1"/>
  <c r="E17" i="6" s="1"/>
  <c r="B23" i="10"/>
  <c r="D22" i="10"/>
  <c r="I22" i="10" s="1"/>
  <c r="D22" i="9"/>
  <c r="I22" i="9" s="1"/>
  <c r="B23" i="9"/>
  <c r="B23" i="8"/>
  <c r="D22" i="8"/>
  <c r="I22" i="8" s="1"/>
  <c r="B23" i="7"/>
  <c r="D22" i="7"/>
  <c r="I22" i="7" s="1"/>
  <c r="E22" i="2"/>
  <c r="F22" i="2" s="1"/>
  <c r="G22" i="2" s="1"/>
  <c r="H22" i="2" s="1"/>
  <c r="B23" i="6"/>
  <c r="D22" i="6"/>
  <c r="I22" i="6" s="1"/>
  <c r="E22" i="4"/>
  <c r="F22" i="4" s="1"/>
  <c r="G22" i="4" s="1"/>
  <c r="H22" i="4" s="1"/>
  <c r="E22" i="3"/>
  <c r="F22" i="3" s="1"/>
  <c r="G22" i="3" s="1"/>
  <c r="H22" i="3" s="1"/>
  <c r="E22" i="5"/>
  <c r="F22" i="5" s="1"/>
  <c r="G22" i="5" s="1"/>
  <c r="H22" i="5" s="1"/>
  <c r="D22" i="5"/>
  <c r="I22" i="5" s="1"/>
  <c r="B23" i="5"/>
  <c r="D22" i="4"/>
  <c r="I22" i="4" s="1"/>
  <c r="B23" i="4"/>
  <c r="B23" i="3"/>
  <c r="D22" i="3"/>
  <c r="I22" i="3" s="1"/>
  <c r="G15" i="1"/>
  <c r="H15" i="1" s="1"/>
  <c r="B23" i="2"/>
  <c r="D22" i="2"/>
  <c r="I22" i="2" s="1"/>
  <c r="C25" i="1"/>
  <c r="D80" i="1"/>
  <c r="I80" i="1" s="1"/>
  <c r="B81" i="1"/>
  <c r="H166" i="15" l="1"/>
  <c r="E167" i="15" s="1"/>
  <c r="B24" i="10"/>
  <c r="D23" i="10"/>
  <c r="I23" i="10" s="1"/>
  <c r="E23" i="3"/>
  <c r="F23" i="3" s="1"/>
  <c r="G23" i="3" s="1"/>
  <c r="H23" i="3" s="1"/>
  <c r="F17" i="10"/>
  <c r="G17" i="10" s="1"/>
  <c r="D23" i="9"/>
  <c r="I23" i="9" s="1"/>
  <c r="B24" i="9"/>
  <c r="F17" i="9"/>
  <c r="G17" i="9" s="1"/>
  <c r="B24" i="8"/>
  <c r="D23" i="8"/>
  <c r="I23" i="8" s="1"/>
  <c r="F17" i="8"/>
  <c r="G17" i="8" s="1"/>
  <c r="E23" i="2"/>
  <c r="F23" i="2" s="1"/>
  <c r="G23" i="2" s="1"/>
  <c r="H23" i="2" s="1"/>
  <c r="D23" i="7"/>
  <c r="I23" i="7" s="1"/>
  <c r="B24" i="7"/>
  <c r="F17" i="7"/>
  <c r="G17" i="7" s="1"/>
  <c r="D23" i="6"/>
  <c r="I23" i="6" s="1"/>
  <c r="B24" i="6"/>
  <c r="E23" i="4"/>
  <c r="F23" i="4" s="1"/>
  <c r="G23" i="4" s="1"/>
  <c r="H23" i="4" s="1"/>
  <c r="F17" i="6"/>
  <c r="G17" i="6" s="1"/>
  <c r="E23" i="5"/>
  <c r="F23" i="5" s="1"/>
  <c r="G23" i="5" s="1"/>
  <c r="H23" i="5" s="1"/>
  <c r="E16" i="1"/>
  <c r="F16" i="1" s="1"/>
  <c r="D23" i="5"/>
  <c r="I23" i="5" s="1"/>
  <c r="B24" i="5"/>
  <c r="B24" i="4"/>
  <c r="D23" i="4"/>
  <c r="I23" i="4" s="1"/>
  <c r="D23" i="3"/>
  <c r="I23" i="3" s="1"/>
  <c r="B24" i="3"/>
  <c r="B24" i="2"/>
  <c r="D23" i="2"/>
  <c r="I23" i="2" s="1"/>
  <c r="D81" i="1"/>
  <c r="I81" i="1" s="1"/>
  <c r="B82" i="1"/>
  <c r="C26" i="1"/>
  <c r="F167" i="15" l="1"/>
  <c r="G167" i="15" s="1"/>
  <c r="E24" i="3"/>
  <c r="F24" i="3" s="1"/>
  <c r="G24" i="3" s="1"/>
  <c r="H24" i="3" s="1"/>
  <c r="H17" i="10"/>
  <c r="E18" i="10" s="1"/>
  <c r="B25" i="10"/>
  <c r="D24" i="10"/>
  <c r="I24" i="10" s="1"/>
  <c r="H17" i="9"/>
  <c r="E18" i="9" s="1"/>
  <c r="D24" i="9"/>
  <c r="I24" i="9" s="1"/>
  <c r="B25" i="9"/>
  <c r="E24" i="2"/>
  <c r="F24" i="2" s="1"/>
  <c r="G24" i="2" s="1"/>
  <c r="H24" i="2" s="1"/>
  <c r="H17" i="8"/>
  <c r="E18" i="8" s="1"/>
  <c r="B25" i="8"/>
  <c r="D24" i="8"/>
  <c r="I24" i="8" s="1"/>
  <c r="H17" i="7"/>
  <c r="E18" i="7" s="1"/>
  <c r="E24" i="4"/>
  <c r="F24" i="4" s="1"/>
  <c r="G24" i="4" s="1"/>
  <c r="H24" i="4" s="1"/>
  <c r="B25" i="7"/>
  <c r="D24" i="7"/>
  <c r="I24" i="7" s="1"/>
  <c r="H17" i="6"/>
  <c r="E18" i="6" s="1"/>
  <c r="D24" i="6"/>
  <c r="I24" i="6" s="1"/>
  <c r="B25" i="6"/>
  <c r="E24" i="5"/>
  <c r="F24" i="5" s="1"/>
  <c r="G24" i="5" s="1"/>
  <c r="H24" i="5" s="1"/>
  <c r="D24" i="5"/>
  <c r="I24" i="5" s="1"/>
  <c r="B25" i="5"/>
  <c r="B25" i="4"/>
  <c r="D24" i="4"/>
  <c r="I24" i="4" s="1"/>
  <c r="D24" i="3"/>
  <c r="I24" i="3" s="1"/>
  <c r="B25" i="3"/>
  <c r="G16" i="1"/>
  <c r="H16" i="1" s="1"/>
  <c r="D24" i="2"/>
  <c r="I24" i="2" s="1"/>
  <c r="B25" i="2"/>
  <c r="D82" i="1"/>
  <c r="I82" i="1" s="1"/>
  <c r="B83" i="1"/>
  <c r="C27" i="1"/>
  <c r="H167" i="15" l="1"/>
  <c r="E168" i="15" s="1"/>
  <c r="E25" i="3"/>
  <c r="F25" i="3" s="1"/>
  <c r="G25" i="3" s="1"/>
  <c r="H25" i="3" s="1"/>
  <c r="E25" i="2"/>
  <c r="F25" i="2" s="1"/>
  <c r="G25" i="2" s="1"/>
  <c r="H25" i="2" s="1"/>
  <c r="B26" i="10"/>
  <c r="D25" i="10"/>
  <c r="I25" i="10" s="1"/>
  <c r="F18" i="10"/>
  <c r="G18" i="10" s="1"/>
  <c r="F18" i="9"/>
  <c r="G18" i="9" s="1"/>
  <c r="D25" i="9"/>
  <c r="I25" i="9" s="1"/>
  <c r="B26" i="9"/>
  <c r="B26" i="8"/>
  <c r="D25" i="8"/>
  <c r="I25" i="8" s="1"/>
  <c r="E25" i="4"/>
  <c r="F25" i="4" s="1"/>
  <c r="G25" i="4" s="1"/>
  <c r="H25" i="4" s="1"/>
  <c r="F18" i="8"/>
  <c r="G18" i="8" s="1"/>
  <c r="D25" i="7"/>
  <c r="I25" i="7" s="1"/>
  <c r="B26" i="7"/>
  <c r="F18" i="7"/>
  <c r="G18" i="7" s="1"/>
  <c r="D25" i="6"/>
  <c r="I25" i="6" s="1"/>
  <c r="B26" i="6"/>
  <c r="F18" i="6"/>
  <c r="G18" i="6" s="1"/>
  <c r="E25" i="5"/>
  <c r="F25" i="5" s="1"/>
  <c r="G25" i="5" s="1"/>
  <c r="H25" i="5" s="1"/>
  <c r="E17" i="1"/>
  <c r="F17" i="1" s="1"/>
  <c r="G17" i="1" s="1"/>
  <c r="H17" i="1" s="1"/>
  <c r="E18" i="1" s="1"/>
  <c r="D25" i="5"/>
  <c r="I25" i="5" s="1"/>
  <c r="B26" i="5"/>
  <c r="B26" i="4"/>
  <c r="D25" i="4"/>
  <c r="I25" i="4" s="1"/>
  <c r="B26" i="3"/>
  <c r="D25" i="3"/>
  <c r="I25" i="3" s="1"/>
  <c r="D25" i="2"/>
  <c r="I25" i="2" s="1"/>
  <c r="B26" i="2"/>
  <c r="C28" i="1"/>
  <c r="D83" i="1"/>
  <c r="I83" i="1" s="1"/>
  <c r="B84" i="1"/>
  <c r="E26" i="3" l="1"/>
  <c r="F26" i="3" s="1"/>
  <c r="G26" i="3" s="1"/>
  <c r="H26" i="3" s="1"/>
  <c r="E26" i="2"/>
  <c r="F26" i="2" s="1"/>
  <c r="G26" i="2" s="1"/>
  <c r="H26" i="2" s="1"/>
  <c r="F168" i="15"/>
  <c r="G168" i="15" s="1"/>
  <c r="H18" i="10"/>
  <c r="E19" i="10" s="1"/>
  <c r="B27" i="10"/>
  <c r="D26" i="10"/>
  <c r="I26" i="10" s="1"/>
  <c r="H18" i="9"/>
  <c r="E19" i="9" s="1"/>
  <c r="E26" i="4"/>
  <c r="F26" i="4" s="1"/>
  <c r="G26" i="4" s="1"/>
  <c r="H26" i="4" s="1"/>
  <c r="D26" i="9"/>
  <c r="I26" i="9" s="1"/>
  <c r="B27" i="9"/>
  <c r="H18" i="8"/>
  <c r="E19" i="8" s="1"/>
  <c r="B27" i="8"/>
  <c r="D26" i="8"/>
  <c r="I26" i="8" s="1"/>
  <c r="H18" i="7"/>
  <c r="E19" i="7" s="1"/>
  <c r="D26" i="7"/>
  <c r="I26" i="7" s="1"/>
  <c r="B27" i="7"/>
  <c r="H18" i="6"/>
  <c r="E19" i="6" s="1"/>
  <c r="D26" i="6"/>
  <c r="I26" i="6" s="1"/>
  <c r="B27" i="6"/>
  <c r="E26" i="5"/>
  <c r="F26" i="5" s="1"/>
  <c r="G26" i="5" s="1"/>
  <c r="H26" i="5" s="1"/>
  <c r="B27" i="5"/>
  <c r="D26" i="5"/>
  <c r="I26" i="5" s="1"/>
  <c r="D26" i="4"/>
  <c r="I26" i="4" s="1"/>
  <c r="B27" i="4"/>
  <c r="D26" i="3"/>
  <c r="I26" i="3" s="1"/>
  <c r="E27" i="3" s="1"/>
  <c r="F27" i="3" s="1"/>
  <c r="G27" i="3" s="1"/>
  <c r="H27" i="3" s="1"/>
  <c r="B27" i="3"/>
  <c r="D26" i="2"/>
  <c r="I26" i="2" s="1"/>
  <c r="B27" i="2"/>
  <c r="F18" i="1"/>
  <c r="G18" i="1" s="1"/>
  <c r="H18" i="1" s="1"/>
  <c r="C29" i="1"/>
  <c r="D84" i="1"/>
  <c r="I84" i="1" s="1"/>
  <c r="B85" i="1"/>
  <c r="H168" i="15" l="1"/>
  <c r="E169" i="15" s="1"/>
  <c r="B28" i="10"/>
  <c r="D27" i="10"/>
  <c r="I27" i="10" s="1"/>
  <c r="E27" i="4"/>
  <c r="F27" i="4" s="1"/>
  <c r="G27" i="4" s="1"/>
  <c r="H27" i="4" s="1"/>
  <c r="F19" i="10"/>
  <c r="G19" i="10" s="1"/>
  <c r="D27" i="9"/>
  <c r="I27" i="9" s="1"/>
  <c r="B28" i="9"/>
  <c r="F19" i="9"/>
  <c r="G19" i="9" s="1"/>
  <c r="B28" i="8"/>
  <c r="D27" i="8"/>
  <c r="I27" i="8" s="1"/>
  <c r="F19" i="8"/>
  <c r="G19" i="8" s="1"/>
  <c r="B28" i="7"/>
  <c r="D27" i="7"/>
  <c r="I27" i="7" s="1"/>
  <c r="F19" i="7"/>
  <c r="G19" i="7" s="1"/>
  <c r="B28" i="6"/>
  <c r="D27" i="6"/>
  <c r="I27" i="6" s="1"/>
  <c r="F19" i="6"/>
  <c r="G19" i="6" s="1"/>
  <c r="E27" i="5"/>
  <c r="F27" i="5" s="1"/>
  <c r="G27" i="5" s="1"/>
  <c r="H27" i="5" s="1"/>
  <c r="E27" i="2"/>
  <c r="F27" i="2" s="1"/>
  <c r="G27" i="2" s="1"/>
  <c r="H27" i="2" s="1"/>
  <c r="B28" i="5"/>
  <c r="D27" i="5"/>
  <c r="I27" i="5" s="1"/>
  <c r="B28" i="4"/>
  <c r="D27" i="4"/>
  <c r="I27" i="4" s="1"/>
  <c r="D27" i="3"/>
  <c r="I27" i="3" s="1"/>
  <c r="E28" i="3" s="1"/>
  <c r="F28" i="3" s="1"/>
  <c r="G28" i="3" s="1"/>
  <c r="H28" i="3" s="1"/>
  <c r="B28" i="3"/>
  <c r="D27" i="2"/>
  <c r="I27" i="2" s="1"/>
  <c r="B28" i="2"/>
  <c r="E19" i="1"/>
  <c r="C30" i="1"/>
  <c r="D85" i="1"/>
  <c r="I85" i="1" s="1"/>
  <c r="B86" i="1"/>
  <c r="F169" i="15" l="1"/>
  <c r="G169" i="15" s="1"/>
  <c r="E28" i="4"/>
  <c r="F28" i="4" s="1"/>
  <c r="G28" i="4" s="1"/>
  <c r="H28" i="4" s="1"/>
  <c r="H19" i="10"/>
  <c r="E20" i="10" s="1"/>
  <c r="B29" i="10"/>
  <c r="D28" i="10"/>
  <c r="I28" i="10" s="1"/>
  <c r="H19" i="9"/>
  <c r="E20" i="9" s="1"/>
  <c r="D28" i="9"/>
  <c r="I28" i="9" s="1"/>
  <c r="B29" i="9"/>
  <c r="H19" i="8"/>
  <c r="E20" i="8" s="1"/>
  <c r="B29" i="8"/>
  <c r="D28" i="8"/>
  <c r="I28" i="8" s="1"/>
  <c r="H19" i="7"/>
  <c r="E20" i="7" s="1"/>
  <c r="D28" i="7"/>
  <c r="I28" i="7" s="1"/>
  <c r="B29" i="7"/>
  <c r="H19" i="6"/>
  <c r="E20" i="6" s="1"/>
  <c r="B29" i="6"/>
  <c r="D28" i="6"/>
  <c r="I28" i="6" s="1"/>
  <c r="E28" i="2"/>
  <c r="F28" i="2" s="1"/>
  <c r="G28" i="2" s="1"/>
  <c r="H28" i="2" s="1"/>
  <c r="E28" i="5"/>
  <c r="F28" i="5" s="1"/>
  <c r="G28" i="5" s="1"/>
  <c r="H28" i="5" s="1"/>
  <c r="D28" i="5"/>
  <c r="I28" i="5" s="1"/>
  <c r="B29" i="5"/>
  <c r="D28" i="4"/>
  <c r="I28" i="4" s="1"/>
  <c r="B29" i="4"/>
  <c r="B29" i="3"/>
  <c r="D28" i="3"/>
  <c r="I28" i="3" s="1"/>
  <c r="E29" i="3" s="1"/>
  <c r="F29" i="3" s="1"/>
  <c r="G29" i="3" s="1"/>
  <c r="H29" i="3" s="1"/>
  <c r="B29" i="2"/>
  <c r="D28" i="2"/>
  <c r="I28" i="2" s="1"/>
  <c r="F19" i="1"/>
  <c r="G19" i="1" s="1"/>
  <c r="H19" i="1" s="1"/>
  <c r="D86" i="1"/>
  <c r="I86" i="1" s="1"/>
  <c r="B87" i="1"/>
  <c r="C31" i="1"/>
  <c r="H169" i="15" l="1"/>
  <c r="E170" i="15" s="1"/>
  <c r="E29" i="4"/>
  <c r="F29" i="4" s="1"/>
  <c r="G29" i="4" s="1"/>
  <c r="H29" i="4" s="1"/>
  <c r="B30" i="10"/>
  <c r="D29" i="10"/>
  <c r="I29" i="10" s="1"/>
  <c r="F20" i="10"/>
  <c r="G20" i="10" s="1"/>
  <c r="F20" i="9"/>
  <c r="G20" i="9" s="1"/>
  <c r="D29" i="9"/>
  <c r="I29" i="9" s="1"/>
  <c r="B30" i="9"/>
  <c r="B30" i="8"/>
  <c r="D29" i="8"/>
  <c r="I29" i="8" s="1"/>
  <c r="F20" i="8"/>
  <c r="G20" i="8" s="1"/>
  <c r="B30" i="7"/>
  <c r="D29" i="7"/>
  <c r="I29" i="7" s="1"/>
  <c r="F20" i="7"/>
  <c r="G20" i="7" s="1"/>
  <c r="B30" i="6"/>
  <c r="D29" i="6"/>
  <c r="I29" i="6" s="1"/>
  <c r="F20" i="6"/>
  <c r="G20" i="6" s="1"/>
  <c r="E29" i="2"/>
  <c r="F29" i="2" s="1"/>
  <c r="G29" i="2" s="1"/>
  <c r="H29" i="2" s="1"/>
  <c r="E29" i="5"/>
  <c r="F29" i="5" s="1"/>
  <c r="G29" i="5" s="1"/>
  <c r="H29" i="5" s="1"/>
  <c r="B30" i="5"/>
  <c r="D29" i="5"/>
  <c r="I29" i="5" s="1"/>
  <c r="D29" i="4"/>
  <c r="I29" i="4" s="1"/>
  <c r="B30" i="4"/>
  <c r="B30" i="3"/>
  <c r="D29" i="3"/>
  <c r="I29" i="3" s="1"/>
  <c r="E30" i="3" s="1"/>
  <c r="F30" i="3" s="1"/>
  <c r="G30" i="3" s="1"/>
  <c r="H30" i="3" s="1"/>
  <c r="B30" i="2"/>
  <c r="D29" i="2"/>
  <c r="I29" i="2" s="1"/>
  <c r="E20" i="1"/>
  <c r="F20" i="1" s="1"/>
  <c r="G20" i="1" s="1"/>
  <c r="H20" i="1" s="1"/>
  <c r="D87" i="1"/>
  <c r="I87" i="1" s="1"/>
  <c r="B88" i="1"/>
  <c r="C32" i="1"/>
  <c r="E30" i="4" l="1"/>
  <c r="F30" i="4" s="1"/>
  <c r="G30" i="4" s="1"/>
  <c r="H30" i="4" s="1"/>
  <c r="F170" i="15"/>
  <c r="G170" i="15" s="1"/>
  <c r="H20" i="10"/>
  <c r="E21" i="10" s="1"/>
  <c r="B31" i="10"/>
  <c r="D30" i="10"/>
  <c r="I30" i="10" s="1"/>
  <c r="H20" i="9"/>
  <c r="E21" i="9" s="1"/>
  <c r="D30" i="9"/>
  <c r="I30" i="9" s="1"/>
  <c r="B31" i="9"/>
  <c r="H20" i="8"/>
  <c r="E21" i="8" s="1"/>
  <c r="D30" i="8"/>
  <c r="I30" i="8" s="1"/>
  <c r="B31" i="8"/>
  <c r="H20" i="7"/>
  <c r="E21" i="7" s="1"/>
  <c r="B31" i="7"/>
  <c r="D30" i="7"/>
  <c r="I30" i="7" s="1"/>
  <c r="H20" i="6"/>
  <c r="E21" i="6" s="1"/>
  <c r="B31" i="6"/>
  <c r="D30" i="6"/>
  <c r="I30" i="6" s="1"/>
  <c r="E30" i="2"/>
  <c r="F30" i="2" s="1"/>
  <c r="G30" i="2" s="1"/>
  <c r="H30" i="2" s="1"/>
  <c r="E30" i="5"/>
  <c r="F30" i="5" s="1"/>
  <c r="G30" i="5" s="1"/>
  <c r="H30" i="5" s="1"/>
  <c r="B31" i="5"/>
  <c r="D30" i="5"/>
  <c r="I30" i="5" s="1"/>
  <c r="D30" i="4"/>
  <c r="I30" i="4" s="1"/>
  <c r="E31" i="4" s="1"/>
  <c r="F31" i="4" s="1"/>
  <c r="G31" i="4" s="1"/>
  <c r="H31" i="4" s="1"/>
  <c r="B31" i="4"/>
  <c r="D30" i="3"/>
  <c r="I30" i="3" s="1"/>
  <c r="E31" i="3" s="1"/>
  <c r="F31" i="3" s="1"/>
  <c r="G31" i="3" s="1"/>
  <c r="H31" i="3" s="1"/>
  <c r="B31" i="3"/>
  <c r="B31" i="2"/>
  <c r="D30" i="2"/>
  <c r="I30" i="2" s="1"/>
  <c r="E21" i="1"/>
  <c r="C33" i="1"/>
  <c r="D88" i="1"/>
  <c r="I88" i="1" s="1"/>
  <c r="B89" i="1"/>
  <c r="H170" i="15" l="1"/>
  <c r="E171" i="15" s="1"/>
  <c r="E31" i="2"/>
  <c r="F31" i="2" s="1"/>
  <c r="G31" i="2" s="1"/>
  <c r="H31" i="2" s="1"/>
  <c r="B32" i="10"/>
  <c r="D31" i="10"/>
  <c r="I31" i="10" s="1"/>
  <c r="F21" i="10"/>
  <c r="G21" i="10" s="1"/>
  <c r="F21" i="9"/>
  <c r="G21" i="9" s="1"/>
  <c r="D31" i="9"/>
  <c r="I31" i="9" s="1"/>
  <c r="B32" i="9"/>
  <c r="D31" i="8"/>
  <c r="I31" i="8" s="1"/>
  <c r="B32" i="8"/>
  <c r="F21" i="8"/>
  <c r="G21" i="8" s="1"/>
  <c r="D31" i="7"/>
  <c r="I31" i="7" s="1"/>
  <c r="B32" i="7"/>
  <c r="F21" i="7"/>
  <c r="G21" i="7" s="1"/>
  <c r="B32" i="6"/>
  <c r="D31" i="6"/>
  <c r="I31" i="6" s="1"/>
  <c r="F21" i="6"/>
  <c r="G21" i="6" s="1"/>
  <c r="E31" i="5"/>
  <c r="F31" i="5" s="1"/>
  <c r="G31" i="5" s="1"/>
  <c r="H31" i="5" s="1"/>
  <c r="B32" i="5"/>
  <c r="D31" i="5"/>
  <c r="I31" i="5" s="1"/>
  <c r="B32" i="4"/>
  <c r="D31" i="4"/>
  <c r="I31" i="4" s="1"/>
  <c r="E32" i="4" s="1"/>
  <c r="F32" i="4" s="1"/>
  <c r="G32" i="4" s="1"/>
  <c r="H32" i="4" s="1"/>
  <c r="B32" i="3"/>
  <c r="D31" i="3"/>
  <c r="I31" i="3" s="1"/>
  <c r="E32" i="3" s="1"/>
  <c r="F32" i="3" s="1"/>
  <c r="G32" i="3" s="1"/>
  <c r="H32" i="3" s="1"/>
  <c r="B32" i="2"/>
  <c r="D31" i="2"/>
  <c r="I31" i="2" s="1"/>
  <c r="F21" i="1"/>
  <c r="G21" i="1" s="1"/>
  <c r="H21" i="1" s="1"/>
  <c r="C34" i="1"/>
  <c r="D89" i="1"/>
  <c r="I89" i="1" s="1"/>
  <c r="B90" i="1"/>
  <c r="F171" i="15" l="1"/>
  <c r="G171" i="15" s="1"/>
  <c r="E32" i="2"/>
  <c r="F32" i="2" s="1"/>
  <c r="G32" i="2" s="1"/>
  <c r="H32" i="2" s="1"/>
  <c r="H21" i="10"/>
  <c r="E22" i="10" s="1"/>
  <c r="B33" i="10"/>
  <c r="D32" i="10"/>
  <c r="I32" i="10" s="1"/>
  <c r="H21" i="9"/>
  <c r="E22" i="9" s="1"/>
  <c r="D32" i="9"/>
  <c r="I32" i="9" s="1"/>
  <c r="B33" i="9"/>
  <c r="H21" i="8"/>
  <c r="E22" i="8" s="1"/>
  <c r="D32" i="8"/>
  <c r="I32" i="8" s="1"/>
  <c r="B33" i="8"/>
  <c r="H21" i="7"/>
  <c r="E22" i="7" s="1"/>
  <c r="B33" i="7"/>
  <c r="D32" i="7"/>
  <c r="I32" i="7" s="1"/>
  <c r="H21" i="6"/>
  <c r="E22" i="6" s="1"/>
  <c r="B33" i="6"/>
  <c r="D32" i="6"/>
  <c r="I32" i="6" s="1"/>
  <c r="E32" i="5"/>
  <c r="F32" i="5" s="1"/>
  <c r="G32" i="5" s="1"/>
  <c r="H32" i="5" s="1"/>
  <c r="B33" i="5"/>
  <c r="D32" i="5"/>
  <c r="I32" i="5" s="1"/>
  <c r="B33" i="4"/>
  <c r="D32" i="4"/>
  <c r="I32" i="4" s="1"/>
  <c r="E33" i="4" s="1"/>
  <c r="F33" i="4" s="1"/>
  <c r="G33" i="4" s="1"/>
  <c r="H33" i="4" s="1"/>
  <c r="D32" i="3"/>
  <c r="I32" i="3" s="1"/>
  <c r="E33" i="3" s="1"/>
  <c r="F33" i="3" s="1"/>
  <c r="G33" i="3" s="1"/>
  <c r="H33" i="3" s="1"/>
  <c r="B33" i="3"/>
  <c r="D32" i="2"/>
  <c r="I32" i="2" s="1"/>
  <c r="B33" i="2"/>
  <c r="E22" i="1"/>
  <c r="D90" i="1"/>
  <c r="I90" i="1" s="1"/>
  <c r="B91" i="1"/>
  <c r="C35" i="1"/>
  <c r="H171" i="15" l="1"/>
  <c r="E172" i="15" s="1"/>
  <c r="E33" i="2"/>
  <c r="F33" i="2" s="1"/>
  <c r="G33" i="2" s="1"/>
  <c r="H33" i="2" s="1"/>
  <c r="B34" i="10"/>
  <c r="D33" i="10"/>
  <c r="I33" i="10" s="1"/>
  <c r="F22" i="10"/>
  <c r="G22" i="10" s="1"/>
  <c r="D33" i="9"/>
  <c r="I33" i="9" s="1"/>
  <c r="B34" i="9"/>
  <c r="F22" i="9"/>
  <c r="G22" i="9" s="1"/>
  <c r="D33" i="8"/>
  <c r="I33" i="8" s="1"/>
  <c r="B34" i="8"/>
  <c r="F22" i="8"/>
  <c r="G22" i="8" s="1"/>
  <c r="D33" i="7"/>
  <c r="I33" i="7" s="1"/>
  <c r="B34" i="7"/>
  <c r="F22" i="7"/>
  <c r="G22" i="7" s="1"/>
  <c r="F22" i="6"/>
  <c r="G22" i="6" s="1"/>
  <c r="D33" i="6"/>
  <c r="I33" i="6" s="1"/>
  <c r="B34" i="6"/>
  <c r="E33" i="5"/>
  <c r="F33" i="5" s="1"/>
  <c r="G33" i="5" s="1"/>
  <c r="H33" i="5" s="1"/>
  <c r="D33" i="5"/>
  <c r="I33" i="5" s="1"/>
  <c r="B34" i="5"/>
  <c r="B34" i="4"/>
  <c r="D33" i="4"/>
  <c r="I33" i="4" s="1"/>
  <c r="E34" i="4" s="1"/>
  <c r="F34" i="4" s="1"/>
  <c r="G34" i="4" s="1"/>
  <c r="H34" i="4" s="1"/>
  <c r="D33" i="3"/>
  <c r="I33" i="3" s="1"/>
  <c r="E34" i="3" s="1"/>
  <c r="F34" i="3" s="1"/>
  <c r="G34" i="3" s="1"/>
  <c r="H34" i="3" s="1"/>
  <c r="B34" i="3"/>
  <c r="D33" i="2"/>
  <c r="I33" i="2" s="1"/>
  <c r="B34" i="2"/>
  <c r="F22" i="1"/>
  <c r="G22" i="1" s="1"/>
  <c r="H22" i="1" s="1"/>
  <c r="C36" i="1"/>
  <c r="B92" i="1"/>
  <c r="D91" i="1"/>
  <c r="I91" i="1" s="1"/>
  <c r="E34" i="2" l="1"/>
  <c r="F34" i="2" s="1"/>
  <c r="G34" i="2" s="1"/>
  <c r="H34" i="2" s="1"/>
  <c r="F172" i="15"/>
  <c r="G172" i="15" s="1"/>
  <c r="H22" i="10"/>
  <c r="E23" i="10" s="1"/>
  <c r="B35" i="10"/>
  <c r="D34" i="10"/>
  <c r="I34" i="10" s="1"/>
  <c r="H22" i="9"/>
  <c r="E23" i="9" s="1"/>
  <c r="D34" i="9"/>
  <c r="I34" i="9" s="1"/>
  <c r="B35" i="9"/>
  <c r="H22" i="8"/>
  <c r="E23" i="8" s="1"/>
  <c r="D34" i="8"/>
  <c r="I34" i="8" s="1"/>
  <c r="B35" i="8"/>
  <c r="H22" i="7"/>
  <c r="E23" i="7" s="1"/>
  <c r="B35" i="7"/>
  <c r="D34" i="7"/>
  <c r="I34" i="7" s="1"/>
  <c r="H22" i="6"/>
  <c r="E23" i="6" s="1"/>
  <c r="B35" i="6"/>
  <c r="D34" i="6"/>
  <c r="I34" i="6" s="1"/>
  <c r="E34" i="5"/>
  <c r="F34" i="5" s="1"/>
  <c r="G34" i="5" s="1"/>
  <c r="H34" i="5" s="1"/>
  <c r="D34" i="5"/>
  <c r="I34" i="5" s="1"/>
  <c r="B35" i="5"/>
  <c r="D34" i="4"/>
  <c r="I34" i="4" s="1"/>
  <c r="E35" i="4" s="1"/>
  <c r="F35" i="4" s="1"/>
  <c r="G35" i="4" s="1"/>
  <c r="H35" i="4" s="1"/>
  <c r="B35" i="4"/>
  <c r="D34" i="3"/>
  <c r="I34" i="3" s="1"/>
  <c r="E35" i="3" s="1"/>
  <c r="F35" i="3" s="1"/>
  <c r="G35" i="3" s="1"/>
  <c r="H35" i="3" s="1"/>
  <c r="B35" i="3"/>
  <c r="D34" i="2"/>
  <c r="I34" i="2" s="1"/>
  <c r="B35" i="2"/>
  <c r="E23" i="1"/>
  <c r="F23" i="1" s="1"/>
  <c r="G23" i="1" s="1"/>
  <c r="H23" i="1" s="1"/>
  <c r="C37" i="1"/>
  <c r="D92" i="1"/>
  <c r="I92" i="1" s="1"/>
  <c r="B93" i="1"/>
  <c r="E35" i="2" l="1"/>
  <c r="F35" i="2" s="1"/>
  <c r="G35" i="2" s="1"/>
  <c r="H172" i="15"/>
  <c r="E173" i="15" s="1"/>
  <c r="B36" i="10"/>
  <c r="D35" i="10"/>
  <c r="I35" i="10" s="1"/>
  <c r="F23" i="10"/>
  <c r="G23" i="10" s="1"/>
  <c r="D35" i="9"/>
  <c r="I35" i="9" s="1"/>
  <c r="B36" i="9"/>
  <c r="F23" i="9"/>
  <c r="G23" i="9" s="1"/>
  <c r="D35" i="8"/>
  <c r="I35" i="8" s="1"/>
  <c r="B36" i="8"/>
  <c r="F23" i="8"/>
  <c r="G23" i="8" s="1"/>
  <c r="B36" i="7"/>
  <c r="D35" i="7"/>
  <c r="I35" i="7" s="1"/>
  <c r="F23" i="7"/>
  <c r="G23" i="7" s="1"/>
  <c r="B36" i="6"/>
  <c r="D35" i="6"/>
  <c r="I35" i="6" s="1"/>
  <c r="F23" i="6"/>
  <c r="G23" i="6" s="1"/>
  <c r="H35" i="2"/>
  <c r="E35" i="5"/>
  <c r="F35" i="5" s="1"/>
  <c r="G35" i="5" s="1"/>
  <c r="H35" i="5" s="1"/>
  <c r="D35" i="5"/>
  <c r="I35" i="5" s="1"/>
  <c r="B36" i="5"/>
  <c r="D35" i="4"/>
  <c r="I35" i="4" s="1"/>
  <c r="E36" i="4" s="1"/>
  <c r="F36" i="4" s="1"/>
  <c r="G36" i="4" s="1"/>
  <c r="H36" i="4" s="1"/>
  <c r="B36" i="4"/>
  <c r="D35" i="3"/>
  <c r="I35" i="3" s="1"/>
  <c r="E36" i="3" s="1"/>
  <c r="F36" i="3" s="1"/>
  <c r="G36" i="3" s="1"/>
  <c r="H36" i="3" s="1"/>
  <c r="B36" i="3"/>
  <c r="D35" i="2"/>
  <c r="I35" i="2" s="1"/>
  <c r="E36" i="2" s="1"/>
  <c r="F36" i="2" s="1"/>
  <c r="G36" i="2" s="1"/>
  <c r="H36" i="2" s="1"/>
  <c r="B36" i="2"/>
  <c r="E24" i="1"/>
  <c r="F24" i="1" s="1"/>
  <c r="G24" i="1" s="1"/>
  <c r="H24" i="1" s="1"/>
  <c r="C38" i="1"/>
  <c r="D93" i="1"/>
  <c r="I93" i="1" s="1"/>
  <c r="B94" i="1"/>
  <c r="F173" i="15" l="1"/>
  <c r="G173" i="15" s="1"/>
  <c r="H23" i="10"/>
  <c r="E24" i="10" s="1"/>
  <c r="B37" i="10"/>
  <c r="D36" i="10"/>
  <c r="I36" i="10" s="1"/>
  <c r="H23" i="9"/>
  <c r="E24" i="9" s="1"/>
  <c r="D36" i="9"/>
  <c r="I36" i="9" s="1"/>
  <c r="B37" i="9"/>
  <c r="H23" i="8"/>
  <c r="E24" i="8" s="1"/>
  <c r="D36" i="8"/>
  <c r="I36" i="8" s="1"/>
  <c r="B37" i="8"/>
  <c r="H23" i="7"/>
  <c r="E24" i="7" s="1"/>
  <c r="B37" i="7"/>
  <c r="D36" i="7"/>
  <c r="I36" i="7" s="1"/>
  <c r="H23" i="6"/>
  <c r="E24" i="6" s="1"/>
  <c r="B37" i="6"/>
  <c r="D36" i="6"/>
  <c r="I36" i="6" s="1"/>
  <c r="E36" i="5"/>
  <c r="F36" i="5" s="1"/>
  <c r="G36" i="5" s="1"/>
  <c r="H36" i="5" s="1"/>
  <c r="B37" i="5"/>
  <c r="D36" i="5"/>
  <c r="I36" i="5" s="1"/>
  <c r="D36" i="4"/>
  <c r="I36" i="4" s="1"/>
  <c r="E37" i="4" s="1"/>
  <c r="F37" i="4" s="1"/>
  <c r="G37" i="4" s="1"/>
  <c r="H37" i="4" s="1"/>
  <c r="B37" i="4"/>
  <c r="B37" i="3"/>
  <c r="D36" i="3"/>
  <c r="I36" i="3" s="1"/>
  <c r="E37" i="3" s="1"/>
  <c r="F37" i="3" s="1"/>
  <c r="G37" i="3" s="1"/>
  <c r="H37" i="3" s="1"/>
  <c r="B37" i="2"/>
  <c r="D36" i="2"/>
  <c r="I36" i="2" s="1"/>
  <c r="E37" i="2" s="1"/>
  <c r="F37" i="2" s="1"/>
  <c r="G37" i="2" s="1"/>
  <c r="E25" i="1"/>
  <c r="F25" i="1" s="1"/>
  <c r="G25" i="1" s="1"/>
  <c r="H25" i="1" s="1"/>
  <c r="D94" i="1"/>
  <c r="I94" i="1" s="1"/>
  <c r="B95" i="1"/>
  <c r="C39" i="1"/>
  <c r="H173" i="15" l="1"/>
  <c r="E174" i="15" s="1"/>
  <c r="B38" i="10"/>
  <c r="D37" i="10"/>
  <c r="I37" i="10" s="1"/>
  <c r="F24" i="10"/>
  <c r="G24" i="10" s="1"/>
  <c r="D37" i="9"/>
  <c r="I37" i="9" s="1"/>
  <c r="B38" i="9"/>
  <c r="F24" i="9"/>
  <c r="G24" i="9" s="1"/>
  <c r="D37" i="8"/>
  <c r="I37" i="8" s="1"/>
  <c r="B38" i="8"/>
  <c r="F24" i="8"/>
  <c r="G24" i="8" s="1"/>
  <c r="D37" i="7"/>
  <c r="I37" i="7" s="1"/>
  <c r="B38" i="7"/>
  <c r="F24" i="7"/>
  <c r="G24" i="7" s="1"/>
  <c r="B38" i="6"/>
  <c r="D37" i="6"/>
  <c r="I37" i="6" s="1"/>
  <c r="F24" i="6"/>
  <c r="G24" i="6" s="1"/>
  <c r="H37" i="2"/>
  <c r="E37" i="5"/>
  <c r="F37" i="5" s="1"/>
  <c r="G37" i="5" s="1"/>
  <c r="H37" i="5" s="1"/>
  <c r="B38" i="5"/>
  <c r="D37" i="5"/>
  <c r="I37" i="5" s="1"/>
  <c r="D37" i="4"/>
  <c r="I37" i="4" s="1"/>
  <c r="E38" i="4" s="1"/>
  <c r="F38" i="4" s="1"/>
  <c r="G38" i="4" s="1"/>
  <c r="H38" i="4" s="1"/>
  <c r="B38" i="4"/>
  <c r="B38" i="3"/>
  <c r="D37" i="3"/>
  <c r="I37" i="3" s="1"/>
  <c r="E38" i="3" s="1"/>
  <c r="F38" i="3" s="1"/>
  <c r="G38" i="3" s="1"/>
  <c r="H38" i="3" s="1"/>
  <c r="B38" i="2"/>
  <c r="D37" i="2"/>
  <c r="I37" i="2" s="1"/>
  <c r="E26" i="1"/>
  <c r="F26" i="1" s="1"/>
  <c r="G26" i="1" s="1"/>
  <c r="H26" i="1" s="1"/>
  <c r="C40" i="1"/>
  <c r="B96" i="1"/>
  <c r="D95" i="1"/>
  <c r="I95" i="1" s="1"/>
  <c r="F174" i="15" l="1"/>
  <c r="G174" i="15" s="1"/>
  <c r="H24" i="10"/>
  <c r="E25" i="10" s="1"/>
  <c r="B39" i="10"/>
  <c r="D38" i="10"/>
  <c r="I38" i="10" s="1"/>
  <c r="H24" i="9"/>
  <c r="E25" i="9" s="1"/>
  <c r="D38" i="9"/>
  <c r="I38" i="9" s="1"/>
  <c r="B39" i="9"/>
  <c r="H24" i="8"/>
  <c r="E25" i="8" s="1"/>
  <c r="D38" i="8"/>
  <c r="I38" i="8" s="1"/>
  <c r="B39" i="8"/>
  <c r="H24" i="7"/>
  <c r="E25" i="7" s="1"/>
  <c r="D38" i="7"/>
  <c r="I38" i="7" s="1"/>
  <c r="B39" i="7"/>
  <c r="H24" i="6"/>
  <c r="E25" i="6" s="1"/>
  <c r="B39" i="6"/>
  <c r="D38" i="6"/>
  <c r="I38" i="6" s="1"/>
  <c r="E38" i="2"/>
  <c r="F38" i="2" s="1"/>
  <c r="G38" i="2" s="1"/>
  <c r="H38" i="2" s="1"/>
  <c r="E38" i="5"/>
  <c r="F38" i="5" s="1"/>
  <c r="G38" i="5" s="1"/>
  <c r="H38" i="5" s="1"/>
  <c r="B39" i="5"/>
  <c r="D38" i="5"/>
  <c r="I38" i="5" s="1"/>
  <c r="D38" i="4"/>
  <c r="I38" i="4" s="1"/>
  <c r="E39" i="4" s="1"/>
  <c r="F39" i="4" s="1"/>
  <c r="G39" i="4" s="1"/>
  <c r="H39" i="4" s="1"/>
  <c r="B39" i="4"/>
  <c r="D38" i="3"/>
  <c r="I38" i="3" s="1"/>
  <c r="E39" i="3" s="1"/>
  <c r="F39" i="3" s="1"/>
  <c r="G39" i="3" s="1"/>
  <c r="H39" i="3" s="1"/>
  <c r="B39" i="3"/>
  <c r="B39" i="2"/>
  <c r="D38" i="2"/>
  <c r="I38" i="2" s="1"/>
  <c r="E27" i="1"/>
  <c r="C41" i="1"/>
  <c r="D96" i="1"/>
  <c r="I96" i="1" s="1"/>
  <c r="B97" i="1"/>
  <c r="H174" i="15" l="1"/>
  <c r="E175" i="15" s="1"/>
  <c r="B40" i="10"/>
  <c r="D39" i="10"/>
  <c r="I39" i="10" s="1"/>
  <c r="F25" i="10"/>
  <c r="G25" i="10" s="1"/>
  <c r="F25" i="9"/>
  <c r="G25" i="9" s="1"/>
  <c r="D39" i="9"/>
  <c r="I39" i="9" s="1"/>
  <c r="B40" i="9"/>
  <c r="D39" i="8"/>
  <c r="I39" i="8" s="1"/>
  <c r="B40" i="8"/>
  <c r="F25" i="8"/>
  <c r="G25" i="8" s="1"/>
  <c r="B40" i="7"/>
  <c r="D39" i="7"/>
  <c r="I39" i="7" s="1"/>
  <c r="F25" i="7"/>
  <c r="G25" i="7" s="1"/>
  <c r="B40" i="6"/>
  <c r="D39" i="6"/>
  <c r="I39" i="6" s="1"/>
  <c r="F25" i="6"/>
  <c r="G25" i="6" s="1"/>
  <c r="E39" i="2"/>
  <c r="F39" i="2" s="1"/>
  <c r="G39" i="2" s="1"/>
  <c r="H39" i="2" s="1"/>
  <c r="E39" i="5"/>
  <c r="F39" i="5" s="1"/>
  <c r="G39" i="5" s="1"/>
  <c r="H39" i="5" s="1"/>
  <c r="B40" i="5"/>
  <c r="D39" i="5"/>
  <c r="I39" i="5" s="1"/>
  <c r="B40" i="4"/>
  <c r="D39" i="4"/>
  <c r="I39" i="4" s="1"/>
  <c r="E40" i="4" s="1"/>
  <c r="F40" i="4" s="1"/>
  <c r="G40" i="4" s="1"/>
  <c r="H40" i="4" s="1"/>
  <c r="B40" i="3"/>
  <c r="D39" i="3"/>
  <c r="I39" i="3" s="1"/>
  <c r="E40" i="3" s="1"/>
  <c r="F40" i="3" s="1"/>
  <c r="G40" i="3" s="1"/>
  <c r="H40" i="3" s="1"/>
  <c r="B40" i="2"/>
  <c r="D39" i="2"/>
  <c r="I39" i="2" s="1"/>
  <c r="F27" i="1"/>
  <c r="G27" i="1" s="1"/>
  <c r="H27" i="1" s="1"/>
  <c r="C42" i="1"/>
  <c r="D97" i="1"/>
  <c r="I97" i="1" s="1"/>
  <c r="B98" i="1"/>
  <c r="F175" i="15" l="1"/>
  <c r="G175" i="15" s="1"/>
  <c r="H25" i="10"/>
  <c r="E26" i="10" s="1"/>
  <c r="B41" i="10"/>
  <c r="D40" i="10"/>
  <c r="I40" i="10" s="1"/>
  <c r="H25" i="9"/>
  <c r="E26" i="9" s="1"/>
  <c r="D40" i="9"/>
  <c r="I40" i="9" s="1"/>
  <c r="B41" i="9"/>
  <c r="H25" i="8"/>
  <c r="E26" i="8" s="1"/>
  <c r="D40" i="8"/>
  <c r="I40" i="8" s="1"/>
  <c r="B41" i="8"/>
  <c r="H25" i="7"/>
  <c r="E26" i="7" s="1"/>
  <c r="E40" i="2"/>
  <c r="F40" i="2" s="1"/>
  <c r="G40" i="2" s="1"/>
  <c r="H40" i="2" s="1"/>
  <c r="D40" i="7"/>
  <c r="I40" i="7" s="1"/>
  <c r="B41" i="7"/>
  <c r="H25" i="6"/>
  <c r="E26" i="6" s="1"/>
  <c r="B41" i="6"/>
  <c r="D40" i="6"/>
  <c r="I40" i="6" s="1"/>
  <c r="E40" i="5"/>
  <c r="F40" i="5" s="1"/>
  <c r="G40" i="5" s="1"/>
  <c r="H40" i="5" s="1"/>
  <c r="B41" i="5"/>
  <c r="D40" i="5"/>
  <c r="I40" i="5" s="1"/>
  <c r="B41" i="4"/>
  <c r="D40" i="4"/>
  <c r="I40" i="4" s="1"/>
  <c r="E41" i="4" s="1"/>
  <c r="F41" i="4" s="1"/>
  <c r="G41" i="4" s="1"/>
  <c r="H41" i="4" s="1"/>
  <c r="D40" i="3"/>
  <c r="I40" i="3" s="1"/>
  <c r="E41" i="3" s="1"/>
  <c r="F41" i="3" s="1"/>
  <c r="G41" i="3" s="1"/>
  <c r="H41" i="3" s="1"/>
  <c r="B41" i="3"/>
  <c r="D40" i="2"/>
  <c r="I40" i="2" s="1"/>
  <c r="B41" i="2"/>
  <c r="E28" i="1"/>
  <c r="D98" i="1"/>
  <c r="I98" i="1" s="1"/>
  <c r="B99" i="1"/>
  <c r="C43" i="1"/>
  <c r="H175" i="15" l="1"/>
  <c r="E176" i="15" s="1"/>
  <c r="B42" i="10"/>
  <c r="D41" i="10"/>
  <c r="I41" i="10" s="1"/>
  <c r="F26" i="10"/>
  <c r="G26" i="10" s="1"/>
  <c r="D41" i="9"/>
  <c r="I41" i="9" s="1"/>
  <c r="B42" i="9"/>
  <c r="F26" i="9"/>
  <c r="G26" i="9" s="1"/>
  <c r="E41" i="2"/>
  <c r="F41" i="2" s="1"/>
  <c r="G41" i="2" s="1"/>
  <c r="H41" i="2" s="1"/>
  <c r="D41" i="8"/>
  <c r="I41" i="8" s="1"/>
  <c r="B42" i="8"/>
  <c r="F26" i="8"/>
  <c r="G26" i="8" s="1"/>
  <c r="D41" i="7"/>
  <c r="I41" i="7" s="1"/>
  <c r="B42" i="7"/>
  <c r="F26" i="7"/>
  <c r="G26" i="7" s="1"/>
  <c r="B42" i="6"/>
  <c r="D41" i="6"/>
  <c r="I41" i="6" s="1"/>
  <c r="F26" i="6"/>
  <c r="G26" i="6" s="1"/>
  <c r="E41" i="5"/>
  <c r="F41" i="5" s="1"/>
  <c r="G41" i="5" s="1"/>
  <c r="H41" i="5" s="1"/>
  <c r="D41" i="5"/>
  <c r="I41" i="5" s="1"/>
  <c r="B42" i="5"/>
  <c r="B42" i="4"/>
  <c r="D41" i="4"/>
  <c r="I41" i="4" s="1"/>
  <c r="E42" i="4" s="1"/>
  <c r="F42" i="4" s="1"/>
  <c r="G42" i="4" s="1"/>
  <c r="D41" i="3"/>
  <c r="I41" i="3" s="1"/>
  <c r="E42" i="3" s="1"/>
  <c r="F42" i="3" s="1"/>
  <c r="G42" i="3" s="1"/>
  <c r="H42" i="3" s="1"/>
  <c r="B42" i="3"/>
  <c r="D41" i="2"/>
  <c r="I41" i="2" s="1"/>
  <c r="B42" i="2"/>
  <c r="F28" i="1"/>
  <c r="G28" i="1" s="1"/>
  <c r="H28" i="1" s="1"/>
  <c r="C44" i="1"/>
  <c r="B100" i="1"/>
  <c r="D99" i="1"/>
  <c r="I99" i="1" s="1"/>
  <c r="F176" i="15" l="1"/>
  <c r="G176" i="15" s="1"/>
  <c r="H26" i="10"/>
  <c r="E27" i="10" s="1"/>
  <c r="E42" i="2"/>
  <c r="F42" i="2" s="1"/>
  <c r="G42" i="2" s="1"/>
  <c r="H42" i="2" s="1"/>
  <c r="B43" i="10"/>
  <c r="D42" i="10"/>
  <c r="I42" i="10" s="1"/>
  <c r="H26" i="9"/>
  <c r="E27" i="9" s="1"/>
  <c r="D42" i="9"/>
  <c r="I42" i="9" s="1"/>
  <c r="B43" i="9"/>
  <c r="H26" i="8"/>
  <c r="E27" i="8" s="1"/>
  <c r="D42" i="8"/>
  <c r="I42" i="8" s="1"/>
  <c r="B43" i="8"/>
  <c r="H26" i="7"/>
  <c r="E27" i="7" s="1"/>
  <c r="D42" i="7"/>
  <c r="I42" i="7" s="1"/>
  <c r="B43" i="7"/>
  <c r="H26" i="6"/>
  <c r="E27" i="6" s="1"/>
  <c r="B43" i="6"/>
  <c r="D42" i="6"/>
  <c r="I42" i="6" s="1"/>
  <c r="E42" i="5"/>
  <c r="F42" i="5" s="1"/>
  <c r="G42" i="5" s="1"/>
  <c r="H42" i="5" s="1"/>
  <c r="H42" i="4"/>
  <c r="D42" i="5"/>
  <c r="I42" i="5" s="1"/>
  <c r="B43" i="5"/>
  <c r="D42" i="4"/>
  <c r="I42" i="4" s="1"/>
  <c r="B43" i="4"/>
  <c r="D42" i="3"/>
  <c r="I42" i="3" s="1"/>
  <c r="E43" i="3" s="1"/>
  <c r="F43" i="3" s="1"/>
  <c r="G43" i="3" s="1"/>
  <c r="H43" i="3" s="1"/>
  <c r="B43" i="3"/>
  <c r="D42" i="2"/>
  <c r="I42" i="2" s="1"/>
  <c r="B43" i="2"/>
  <c r="E29" i="1"/>
  <c r="C45" i="1"/>
  <c r="D100" i="1"/>
  <c r="I100" i="1" s="1"/>
  <c r="B101" i="1"/>
  <c r="H176" i="15" l="1"/>
  <c r="E177" i="15" s="1"/>
  <c r="E43" i="2"/>
  <c r="F43" i="2" s="1"/>
  <c r="G43" i="2" s="1"/>
  <c r="H43" i="2" s="1"/>
  <c r="B44" i="10"/>
  <c r="D43" i="10"/>
  <c r="I43" i="10" s="1"/>
  <c r="F27" i="10"/>
  <c r="G27" i="10" s="1"/>
  <c r="D43" i="9"/>
  <c r="I43" i="9" s="1"/>
  <c r="B44" i="9"/>
  <c r="F27" i="9"/>
  <c r="G27" i="9" s="1"/>
  <c r="D43" i="8"/>
  <c r="I43" i="8" s="1"/>
  <c r="B44" i="8"/>
  <c r="F27" i="8"/>
  <c r="G27" i="8" s="1"/>
  <c r="D43" i="7"/>
  <c r="I43" i="7" s="1"/>
  <c r="B44" i="7"/>
  <c r="F27" i="7"/>
  <c r="G27" i="7" s="1"/>
  <c r="B44" i="6"/>
  <c r="D43" i="6"/>
  <c r="I43" i="6" s="1"/>
  <c r="F27" i="6"/>
  <c r="G27" i="6" s="1"/>
  <c r="E43" i="4"/>
  <c r="F43" i="4" s="1"/>
  <c r="G43" i="4" s="1"/>
  <c r="H43" i="4" s="1"/>
  <c r="E43" i="5"/>
  <c r="F43" i="5" s="1"/>
  <c r="G43" i="5" s="1"/>
  <c r="H43" i="5" s="1"/>
  <c r="D43" i="5"/>
  <c r="I43" i="5" s="1"/>
  <c r="B44" i="5"/>
  <c r="B44" i="4"/>
  <c r="D43" i="4"/>
  <c r="I43" i="4" s="1"/>
  <c r="D43" i="3"/>
  <c r="I43" i="3" s="1"/>
  <c r="E44" i="3" s="1"/>
  <c r="F44" i="3" s="1"/>
  <c r="G44" i="3" s="1"/>
  <c r="H44" i="3" s="1"/>
  <c r="B44" i="3"/>
  <c r="D43" i="2"/>
  <c r="I43" i="2" s="1"/>
  <c r="E44" i="2" s="1"/>
  <c r="F44" i="2" s="1"/>
  <c r="G44" i="2" s="1"/>
  <c r="H44" i="2" s="1"/>
  <c r="B44" i="2"/>
  <c r="F29" i="1"/>
  <c r="G29" i="1" s="1"/>
  <c r="H29" i="1" s="1"/>
  <c r="C46" i="1"/>
  <c r="D101" i="1"/>
  <c r="I101" i="1" s="1"/>
  <c r="B102" i="1"/>
  <c r="F177" i="15" l="1"/>
  <c r="G177" i="15" s="1"/>
  <c r="H27" i="10"/>
  <c r="E28" i="10" s="1"/>
  <c r="B45" i="10"/>
  <c r="D44" i="10"/>
  <c r="I44" i="10" s="1"/>
  <c r="H27" i="9"/>
  <c r="E28" i="9" s="1"/>
  <c r="D44" i="9"/>
  <c r="I44" i="9" s="1"/>
  <c r="B45" i="9"/>
  <c r="H27" i="8"/>
  <c r="E28" i="8" s="1"/>
  <c r="D44" i="8"/>
  <c r="I44" i="8" s="1"/>
  <c r="B45" i="8"/>
  <c r="H27" i="7"/>
  <c r="E28" i="7" s="1"/>
  <c r="E44" i="4"/>
  <c r="F44" i="4" s="1"/>
  <c r="G44" i="4" s="1"/>
  <c r="H44" i="4" s="1"/>
  <c r="D44" i="7"/>
  <c r="I44" i="7" s="1"/>
  <c r="B45" i="7"/>
  <c r="H27" i="6"/>
  <c r="E28" i="6" s="1"/>
  <c r="B45" i="6"/>
  <c r="D44" i="6"/>
  <c r="I44" i="6" s="1"/>
  <c r="E44" i="5"/>
  <c r="F44" i="5" s="1"/>
  <c r="G44" i="5" s="1"/>
  <c r="H44" i="5" s="1"/>
  <c r="B45" i="5"/>
  <c r="D44" i="5"/>
  <c r="I44" i="5" s="1"/>
  <c r="D44" i="4"/>
  <c r="I44" i="4" s="1"/>
  <c r="B45" i="4"/>
  <c r="D44" i="3"/>
  <c r="I44" i="3" s="1"/>
  <c r="E45" i="3" s="1"/>
  <c r="F45" i="3" s="1"/>
  <c r="G45" i="3" s="1"/>
  <c r="H45" i="3" s="1"/>
  <c r="B45" i="3"/>
  <c r="B45" i="2"/>
  <c r="D44" i="2"/>
  <c r="I44" i="2" s="1"/>
  <c r="E45" i="2" s="1"/>
  <c r="F45" i="2" s="1"/>
  <c r="G45" i="2" s="1"/>
  <c r="H45" i="2" s="1"/>
  <c r="E30" i="1"/>
  <c r="C47" i="1"/>
  <c r="D102" i="1"/>
  <c r="I102" i="1" s="1"/>
  <c r="B103" i="1"/>
  <c r="H177" i="15" l="1"/>
  <c r="E178" i="15" s="1"/>
  <c r="B46" i="10"/>
  <c r="D45" i="10"/>
  <c r="I45" i="10" s="1"/>
  <c r="F28" i="10"/>
  <c r="G28" i="10" s="1"/>
  <c r="D45" i="9"/>
  <c r="I45" i="9" s="1"/>
  <c r="B46" i="9"/>
  <c r="F28" i="9"/>
  <c r="G28" i="9" s="1"/>
  <c r="D45" i="8"/>
  <c r="I45" i="8" s="1"/>
  <c r="B46" i="8"/>
  <c r="F28" i="8"/>
  <c r="G28" i="8" s="1"/>
  <c r="E45" i="4"/>
  <c r="F45" i="4" s="1"/>
  <c r="G45" i="4" s="1"/>
  <c r="H45" i="4" s="1"/>
  <c r="D45" i="7"/>
  <c r="I45" i="7" s="1"/>
  <c r="B46" i="7"/>
  <c r="F28" i="7"/>
  <c r="G28" i="7" s="1"/>
  <c r="B46" i="6"/>
  <c r="D45" i="6"/>
  <c r="I45" i="6" s="1"/>
  <c r="F28" i="6"/>
  <c r="G28" i="6" s="1"/>
  <c r="E45" i="5"/>
  <c r="F45" i="5" s="1"/>
  <c r="G45" i="5" s="1"/>
  <c r="H45" i="5" s="1"/>
  <c r="B46" i="5"/>
  <c r="D45" i="5"/>
  <c r="I45" i="5" s="1"/>
  <c r="D45" i="4"/>
  <c r="I45" i="4" s="1"/>
  <c r="B46" i="4"/>
  <c r="B46" i="3"/>
  <c r="D45" i="3"/>
  <c r="I45" i="3" s="1"/>
  <c r="E46" i="3" s="1"/>
  <c r="F46" i="3" s="1"/>
  <c r="G46" i="3" s="1"/>
  <c r="H46" i="3" s="1"/>
  <c r="B46" i="2"/>
  <c r="D45" i="2"/>
  <c r="I45" i="2" s="1"/>
  <c r="E46" i="2" s="1"/>
  <c r="F46" i="2" s="1"/>
  <c r="G46" i="2" s="1"/>
  <c r="H46" i="2" s="1"/>
  <c r="F30" i="1"/>
  <c r="G30" i="1" s="1"/>
  <c r="H30" i="1" s="1"/>
  <c r="C48" i="1"/>
  <c r="B104" i="1"/>
  <c r="D103" i="1"/>
  <c r="I103" i="1" s="1"/>
  <c r="F178" i="15" l="1"/>
  <c r="G178" i="15" s="1"/>
  <c r="H28" i="10"/>
  <c r="E29" i="10" s="1"/>
  <c r="B47" i="10"/>
  <c r="D46" i="10"/>
  <c r="I46" i="10" s="1"/>
  <c r="H28" i="9"/>
  <c r="E29" i="9" s="1"/>
  <c r="E46" i="4"/>
  <c r="F46" i="4" s="1"/>
  <c r="G46" i="4" s="1"/>
  <c r="H46" i="4" s="1"/>
  <c r="D46" i="9"/>
  <c r="I46" i="9" s="1"/>
  <c r="B47" i="9"/>
  <c r="H28" i="8"/>
  <c r="E29" i="8" s="1"/>
  <c r="D46" i="8"/>
  <c r="I46" i="8" s="1"/>
  <c r="B47" i="8"/>
  <c r="H28" i="7"/>
  <c r="E29" i="7" s="1"/>
  <c r="D46" i="7"/>
  <c r="I46" i="7" s="1"/>
  <c r="B47" i="7"/>
  <c r="H28" i="6"/>
  <c r="E29" i="6" s="1"/>
  <c r="B47" i="6"/>
  <c r="D46" i="6"/>
  <c r="I46" i="6" s="1"/>
  <c r="E46" i="5"/>
  <c r="F46" i="5" s="1"/>
  <c r="G46" i="5" s="1"/>
  <c r="H46" i="5" s="1"/>
  <c r="B47" i="5"/>
  <c r="D46" i="5"/>
  <c r="I46" i="5" s="1"/>
  <c r="D46" i="4"/>
  <c r="I46" i="4" s="1"/>
  <c r="B47" i="4"/>
  <c r="D46" i="3"/>
  <c r="I46" i="3" s="1"/>
  <c r="E47" i="3" s="1"/>
  <c r="F47" i="3" s="1"/>
  <c r="G47" i="3" s="1"/>
  <c r="H47" i="3" s="1"/>
  <c r="B47" i="3"/>
  <c r="B47" i="2"/>
  <c r="D46" i="2"/>
  <c r="I46" i="2" s="1"/>
  <c r="E47" i="2" s="1"/>
  <c r="F47" i="2" s="1"/>
  <c r="G47" i="2" s="1"/>
  <c r="H47" i="2" s="1"/>
  <c r="E31" i="1"/>
  <c r="C49" i="1"/>
  <c r="D104" i="1"/>
  <c r="I104" i="1" s="1"/>
  <c r="B105" i="1"/>
  <c r="H178" i="15" l="1"/>
  <c r="E179" i="15" s="1"/>
  <c r="E47" i="4"/>
  <c r="F47" i="4" s="1"/>
  <c r="G47" i="4" s="1"/>
  <c r="H47" i="4" s="1"/>
  <c r="B48" i="10"/>
  <c r="D47" i="10"/>
  <c r="I47" i="10" s="1"/>
  <c r="F29" i="10"/>
  <c r="G29" i="10" s="1"/>
  <c r="F29" i="9"/>
  <c r="G29" i="9" s="1"/>
  <c r="D47" i="9"/>
  <c r="I47" i="9" s="1"/>
  <c r="B48" i="9"/>
  <c r="D47" i="8"/>
  <c r="I47" i="8" s="1"/>
  <c r="B48" i="8"/>
  <c r="F29" i="8"/>
  <c r="G29" i="8" s="1"/>
  <c r="D47" i="7"/>
  <c r="I47" i="7" s="1"/>
  <c r="B48" i="7"/>
  <c r="F29" i="7"/>
  <c r="G29" i="7" s="1"/>
  <c r="F29" i="6"/>
  <c r="G29" i="6" s="1"/>
  <c r="B48" i="6"/>
  <c r="D47" i="6"/>
  <c r="I47" i="6" s="1"/>
  <c r="E47" i="5"/>
  <c r="F47" i="5" s="1"/>
  <c r="G47" i="5" s="1"/>
  <c r="H47" i="5" s="1"/>
  <c r="B48" i="5"/>
  <c r="D47" i="5"/>
  <c r="I47" i="5" s="1"/>
  <c r="B48" i="4"/>
  <c r="D47" i="4"/>
  <c r="I47" i="4" s="1"/>
  <c r="B48" i="3"/>
  <c r="D47" i="3"/>
  <c r="I47" i="3" s="1"/>
  <c r="E48" i="3" s="1"/>
  <c r="F48" i="3" s="1"/>
  <c r="G48" i="3" s="1"/>
  <c r="H48" i="3" s="1"/>
  <c r="B48" i="2"/>
  <c r="D47" i="2"/>
  <c r="I47" i="2" s="1"/>
  <c r="E48" i="2" s="1"/>
  <c r="F48" i="2" s="1"/>
  <c r="G48" i="2" s="1"/>
  <c r="H48" i="2" s="1"/>
  <c r="F31" i="1"/>
  <c r="G31" i="1" s="1"/>
  <c r="H31" i="1" s="1"/>
  <c r="C50" i="1"/>
  <c r="D105" i="1"/>
  <c r="I105" i="1" s="1"/>
  <c r="B106" i="1"/>
  <c r="F179" i="15" l="1"/>
  <c r="G179" i="15" s="1"/>
  <c r="E48" i="4"/>
  <c r="F48" i="4" s="1"/>
  <c r="G48" i="4" s="1"/>
  <c r="H48" i="4" s="1"/>
  <c r="H29" i="10"/>
  <c r="E30" i="10" s="1"/>
  <c r="B49" i="10"/>
  <c r="D48" i="10"/>
  <c r="I48" i="10" s="1"/>
  <c r="H29" i="9"/>
  <c r="E30" i="9" s="1"/>
  <c r="D48" i="9"/>
  <c r="I48" i="9" s="1"/>
  <c r="B49" i="9"/>
  <c r="H29" i="8"/>
  <c r="E30" i="8" s="1"/>
  <c r="D48" i="8"/>
  <c r="I48" i="8" s="1"/>
  <c r="B49" i="8"/>
  <c r="H29" i="7"/>
  <c r="E30" i="7" s="1"/>
  <c r="D48" i="7"/>
  <c r="I48" i="7" s="1"/>
  <c r="B49" i="7"/>
  <c r="H29" i="6"/>
  <c r="E30" i="6" s="1"/>
  <c r="B49" i="6"/>
  <c r="D48" i="6"/>
  <c r="I48" i="6" s="1"/>
  <c r="E48" i="5"/>
  <c r="F48" i="5" s="1"/>
  <c r="G48" i="5" s="1"/>
  <c r="H48" i="5" s="1"/>
  <c r="B49" i="5"/>
  <c r="D48" i="5"/>
  <c r="I48" i="5" s="1"/>
  <c r="B49" i="4"/>
  <c r="D48" i="4"/>
  <c r="I48" i="4" s="1"/>
  <c r="D48" i="3"/>
  <c r="I48" i="3" s="1"/>
  <c r="E49" i="3" s="1"/>
  <c r="F49" i="3" s="1"/>
  <c r="G49" i="3" s="1"/>
  <c r="H49" i="3" s="1"/>
  <c r="B49" i="3"/>
  <c r="D48" i="2"/>
  <c r="I48" i="2" s="1"/>
  <c r="E49" i="2" s="1"/>
  <c r="F49" i="2" s="1"/>
  <c r="G49" i="2" s="1"/>
  <c r="H49" i="2" s="1"/>
  <c r="B49" i="2"/>
  <c r="E32" i="1"/>
  <c r="D106" i="1"/>
  <c r="I106" i="1" s="1"/>
  <c r="B107" i="1"/>
  <c r="C51" i="1"/>
  <c r="H179" i="15" l="1"/>
  <c r="E180" i="15" s="1"/>
  <c r="E49" i="4"/>
  <c r="F49" i="4" s="1"/>
  <c r="G49" i="4" s="1"/>
  <c r="H49" i="4" s="1"/>
  <c r="B50" i="10"/>
  <c r="D49" i="10"/>
  <c r="I49" i="10" s="1"/>
  <c r="F30" i="10"/>
  <c r="G30" i="10" s="1"/>
  <c r="D49" i="9"/>
  <c r="I49" i="9" s="1"/>
  <c r="B50" i="9"/>
  <c r="F30" i="9"/>
  <c r="G30" i="9" s="1"/>
  <c r="D49" i="8"/>
  <c r="I49" i="8" s="1"/>
  <c r="B50" i="8"/>
  <c r="F30" i="8"/>
  <c r="G30" i="8" s="1"/>
  <c r="D49" i="7"/>
  <c r="I49" i="7" s="1"/>
  <c r="B50" i="7"/>
  <c r="F30" i="7"/>
  <c r="G30" i="7" s="1"/>
  <c r="B50" i="6"/>
  <c r="D49" i="6"/>
  <c r="I49" i="6" s="1"/>
  <c r="F30" i="6"/>
  <c r="G30" i="6" s="1"/>
  <c r="E49" i="5"/>
  <c r="F49" i="5" s="1"/>
  <c r="G49" i="5" s="1"/>
  <c r="H49" i="5" s="1"/>
  <c r="D49" i="5"/>
  <c r="I49" i="5" s="1"/>
  <c r="B50" i="5"/>
  <c r="B50" i="4"/>
  <c r="D49" i="4"/>
  <c r="I49" i="4" s="1"/>
  <c r="B50" i="3"/>
  <c r="D49" i="3"/>
  <c r="I49" i="3" s="1"/>
  <c r="E50" i="3" s="1"/>
  <c r="F50" i="3" s="1"/>
  <c r="G50" i="3" s="1"/>
  <c r="H50" i="3" s="1"/>
  <c r="D49" i="2"/>
  <c r="I49" i="2" s="1"/>
  <c r="E50" i="2" s="1"/>
  <c r="F50" i="2" s="1"/>
  <c r="G50" i="2" s="1"/>
  <c r="H50" i="2" s="1"/>
  <c r="B50" i="2"/>
  <c r="F32" i="1"/>
  <c r="G32" i="1" s="1"/>
  <c r="H32" i="1" s="1"/>
  <c r="C52" i="1"/>
  <c r="B108" i="1"/>
  <c r="D107" i="1"/>
  <c r="I107" i="1" s="1"/>
  <c r="E50" i="4" l="1"/>
  <c r="F50" i="4" s="1"/>
  <c r="G50" i="4" s="1"/>
  <c r="H50" i="4" s="1"/>
  <c r="F180" i="15"/>
  <c r="G180" i="15" s="1"/>
  <c r="H30" i="10"/>
  <c r="E31" i="10" s="1"/>
  <c r="B51" i="10"/>
  <c r="D50" i="10"/>
  <c r="I50" i="10" s="1"/>
  <c r="H30" i="9"/>
  <c r="E31" i="9" s="1"/>
  <c r="D50" i="9"/>
  <c r="I50" i="9" s="1"/>
  <c r="B51" i="9"/>
  <c r="H30" i="8"/>
  <c r="E31" i="8" s="1"/>
  <c r="D50" i="8"/>
  <c r="I50" i="8" s="1"/>
  <c r="B51" i="8"/>
  <c r="H30" i="7"/>
  <c r="E31" i="7" s="1"/>
  <c r="D50" i="7"/>
  <c r="I50" i="7" s="1"/>
  <c r="B51" i="7"/>
  <c r="H30" i="6"/>
  <c r="E31" i="6" s="1"/>
  <c r="B51" i="6"/>
  <c r="D50" i="6"/>
  <c r="I50" i="6" s="1"/>
  <c r="E50" i="5"/>
  <c r="F50" i="5" s="1"/>
  <c r="G50" i="5" s="1"/>
  <c r="H50" i="5" s="1"/>
  <c r="D50" i="5"/>
  <c r="I50" i="5" s="1"/>
  <c r="B51" i="5"/>
  <c r="D50" i="4"/>
  <c r="I50" i="4" s="1"/>
  <c r="E51" i="4" s="1"/>
  <c r="F51" i="4" s="1"/>
  <c r="G51" i="4" s="1"/>
  <c r="H51" i="4" s="1"/>
  <c r="B51" i="4"/>
  <c r="D50" i="3"/>
  <c r="I50" i="3" s="1"/>
  <c r="E51" i="3" s="1"/>
  <c r="F51" i="3" s="1"/>
  <c r="G51" i="3" s="1"/>
  <c r="H51" i="3" s="1"/>
  <c r="B51" i="3"/>
  <c r="D50" i="2"/>
  <c r="I50" i="2" s="1"/>
  <c r="E51" i="2" s="1"/>
  <c r="F51" i="2" s="1"/>
  <c r="G51" i="2" s="1"/>
  <c r="H51" i="2" s="1"/>
  <c r="B51" i="2"/>
  <c r="E33" i="1"/>
  <c r="C53" i="1"/>
  <c r="D108" i="1"/>
  <c r="I108" i="1" s="1"/>
  <c r="B109" i="1"/>
  <c r="H180" i="15" l="1"/>
  <c r="E181" i="15" s="1"/>
  <c r="B52" i="10"/>
  <c r="D51" i="10"/>
  <c r="I51" i="10" s="1"/>
  <c r="F31" i="10"/>
  <c r="G31" i="10" s="1"/>
  <c r="F31" i="9"/>
  <c r="G31" i="9" s="1"/>
  <c r="D51" i="9"/>
  <c r="I51" i="9" s="1"/>
  <c r="B52" i="9"/>
  <c r="D51" i="8"/>
  <c r="I51" i="8" s="1"/>
  <c r="B52" i="8"/>
  <c r="F31" i="8"/>
  <c r="G31" i="8" s="1"/>
  <c r="D51" i="7"/>
  <c r="I51" i="7" s="1"/>
  <c r="B52" i="7"/>
  <c r="F31" i="7"/>
  <c r="G31" i="7" s="1"/>
  <c r="B52" i="6"/>
  <c r="D51" i="6"/>
  <c r="I51" i="6" s="1"/>
  <c r="F31" i="6"/>
  <c r="G31" i="6" s="1"/>
  <c r="E51" i="5"/>
  <c r="F51" i="5" s="1"/>
  <c r="G51" i="5" s="1"/>
  <c r="H51" i="5" s="1"/>
  <c r="D51" i="5"/>
  <c r="I51" i="5" s="1"/>
  <c r="B52" i="5"/>
  <c r="D51" i="4"/>
  <c r="I51" i="4" s="1"/>
  <c r="E52" i="4" s="1"/>
  <c r="F52" i="4" s="1"/>
  <c r="G52" i="4" s="1"/>
  <c r="H52" i="4" s="1"/>
  <c r="B52" i="4"/>
  <c r="D51" i="3"/>
  <c r="I51" i="3" s="1"/>
  <c r="E52" i="3" s="1"/>
  <c r="F52" i="3" s="1"/>
  <c r="G52" i="3" s="1"/>
  <c r="H52" i="3" s="1"/>
  <c r="B52" i="3"/>
  <c r="D51" i="2"/>
  <c r="I51" i="2" s="1"/>
  <c r="E52" i="2" s="1"/>
  <c r="F52" i="2" s="1"/>
  <c r="G52" i="2" s="1"/>
  <c r="H52" i="2" s="1"/>
  <c r="B52" i="2"/>
  <c r="F33" i="1"/>
  <c r="G33" i="1" s="1"/>
  <c r="H33" i="1" s="1"/>
  <c r="C54" i="1"/>
  <c r="D109" i="1"/>
  <c r="I109" i="1" s="1"/>
  <c r="B110" i="1"/>
  <c r="F181" i="15" l="1"/>
  <c r="G181" i="15" s="1"/>
  <c r="H31" i="10"/>
  <c r="E32" i="10" s="1"/>
  <c r="B53" i="10"/>
  <c r="D52" i="10"/>
  <c r="I52" i="10" s="1"/>
  <c r="H31" i="9"/>
  <c r="E32" i="9" s="1"/>
  <c r="D52" i="9"/>
  <c r="I52" i="9" s="1"/>
  <c r="B53" i="9"/>
  <c r="H31" i="8"/>
  <c r="E32" i="8" s="1"/>
  <c r="D52" i="8"/>
  <c r="I52" i="8" s="1"/>
  <c r="B53" i="8"/>
  <c r="H31" i="7"/>
  <c r="E32" i="7" s="1"/>
  <c r="D52" i="7"/>
  <c r="I52" i="7" s="1"/>
  <c r="B53" i="7"/>
  <c r="H31" i="6"/>
  <c r="E32" i="6" s="1"/>
  <c r="B53" i="6"/>
  <c r="D52" i="6"/>
  <c r="I52" i="6" s="1"/>
  <c r="E52" i="5"/>
  <c r="F52" i="5" s="1"/>
  <c r="G52" i="5" s="1"/>
  <c r="H52" i="5" s="1"/>
  <c r="B53" i="5"/>
  <c r="D52" i="5"/>
  <c r="I52" i="5" s="1"/>
  <c r="D52" i="4"/>
  <c r="I52" i="4" s="1"/>
  <c r="E53" i="4" s="1"/>
  <c r="F53" i="4" s="1"/>
  <c r="G53" i="4" s="1"/>
  <c r="H53" i="4" s="1"/>
  <c r="B53" i="4"/>
  <c r="B53" i="3"/>
  <c r="D52" i="3"/>
  <c r="I52" i="3" s="1"/>
  <c r="E53" i="3" s="1"/>
  <c r="F53" i="3" s="1"/>
  <c r="G53" i="3" s="1"/>
  <c r="H53" i="3" s="1"/>
  <c r="B53" i="2"/>
  <c r="D52" i="2"/>
  <c r="I52" i="2" s="1"/>
  <c r="E53" i="2" s="1"/>
  <c r="F53" i="2" s="1"/>
  <c r="G53" i="2" s="1"/>
  <c r="H53" i="2" s="1"/>
  <c r="E34" i="1"/>
  <c r="F34" i="1" s="1"/>
  <c r="G34" i="1" s="1"/>
  <c r="H34" i="1" s="1"/>
  <c r="B111" i="1"/>
  <c r="D110" i="1"/>
  <c r="I110" i="1" s="1"/>
  <c r="C55" i="1"/>
  <c r="H181" i="15" l="1"/>
  <c r="E182" i="15" s="1"/>
  <c r="B54" i="10"/>
  <c r="D53" i="10"/>
  <c r="I53" i="10" s="1"/>
  <c r="F32" i="10"/>
  <c r="G32" i="10" s="1"/>
  <c r="D53" i="9"/>
  <c r="I53" i="9" s="1"/>
  <c r="B54" i="9"/>
  <c r="F32" i="9"/>
  <c r="G32" i="9" s="1"/>
  <c r="D53" i="8"/>
  <c r="I53" i="8" s="1"/>
  <c r="B54" i="8"/>
  <c r="F32" i="8"/>
  <c r="G32" i="8" s="1"/>
  <c r="D53" i="7"/>
  <c r="I53" i="7" s="1"/>
  <c r="B54" i="7"/>
  <c r="F32" i="7"/>
  <c r="G32" i="7" s="1"/>
  <c r="B54" i="6"/>
  <c r="D53" i="6"/>
  <c r="I53" i="6" s="1"/>
  <c r="F32" i="6"/>
  <c r="G32" i="6" s="1"/>
  <c r="E53" i="5"/>
  <c r="F53" i="5" s="1"/>
  <c r="G53" i="5" s="1"/>
  <c r="H53" i="5" s="1"/>
  <c r="B54" i="5"/>
  <c r="D53" i="5"/>
  <c r="I53" i="5" s="1"/>
  <c r="D53" i="4"/>
  <c r="I53" i="4" s="1"/>
  <c r="E54" i="4" s="1"/>
  <c r="F54" i="4" s="1"/>
  <c r="G54" i="4" s="1"/>
  <c r="B54" i="4"/>
  <c r="B54" i="3"/>
  <c r="D53" i="3"/>
  <c r="I53" i="3" s="1"/>
  <c r="E54" i="3" s="1"/>
  <c r="F54" i="3" s="1"/>
  <c r="G54" i="3" s="1"/>
  <c r="H54" i="3" s="1"/>
  <c r="B54" i="2"/>
  <c r="D53" i="2"/>
  <c r="I53" i="2" s="1"/>
  <c r="E54" i="2" s="1"/>
  <c r="F54" i="2" s="1"/>
  <c r="G54" i="2" s="1"/>
  <c r="H54" i="2" s="1"/>
  <c r="E35" i="1"/>
  <c r="C56" i="1"/>
  <c r="D111" i="1"/>
  <c r="I111" i="1" s="1"/>
  <c r="B112" i="1"/>
  <c r="F182" i="15" l="1"/>
  <c r="G182" i="15" s="1"/>
  <c r="H32" i="10"/>
  <c r="E33" i="10" s="1"/>
  <c r="B55" i="10"/>
  <c r="D54" i="10"/>
  <c r="I54" i="10" s="1"/>
  <c r="H32" i="9"/>
  <c r="E33" i="9" s="1"/>
  <c r="D54" i="9"/>
  <c r="I54" i="9" s="1"/>
  <c r="B55" i="9"/>
  <c r="H32" i="8"/>
  <c r="E33" i="8" s="1"/>
  <c r="D54" i="8"/>
  <c r="I54" i="8" s="1"/>
  <c r="B55" i="8"/>
  <c r="H32" i="7"/>
  <c r="E33" i="7" s="1"/>
  <c r="D54" i="7"/>
  <c r="I54" i="7" s="1"/>
  <c r="B55" i="7"/>
  <c r="H32" i="6"/>
  <c r="E33" i="6" s="1"/>
  <c r="B55" i="6"/>
  <c r="D54" i="6"/>
  <c r="I54" i="6" s="1"/>
  <c r="E54" i="5"/>
  <c r="F54" i="5" s="1"/>
  <c r="G54" i="5" s="1"/>
  <c r="H54" i="5" s="1"/>
  <c r="H54" i="4"/>
  <c r="B55" i="5"/>
  <c r="D54" i="5"/>
  <c r="I54" i="5" s="1"/>
  <c r="D54" i="4"/>
  <c r="I54" i="4" s="1"/>
  <c r="B55" i="4"/>
  <c r="D54" i="3"/>
  <c r="I54" i="3" s="1"/>
  <c r="E55" i="3" s="1"/>
  <c r="F55" i="3" s="1"/>
  <c r="G55" i="3" s="1"/>
  <c r="H55" i="3" s="1"/>
  <c r="B55" i="3"/>
  <c r="B55" i="2"/>
  <c r="D54" i="2"/>
  <c r="I54" i="2" s="1"/>
  <c r="E55" i="2" s="1"/>
  <c r="F55" i="2" s="1"/>
  <c r="G55" i="2" s="1"/>
  <c r="H55" i="2" s="1"/>
  <c r="F35" i="1"/>
  <c r="G35" i="1" s="1"/>
  <c r="H35" i="1" s="1"/>
  <c r="C57" i="1"/>
  <c r="D112" i="1"/>
  <c r="I112" i="1" s="1"/>
  <c r="B113" i="1"/>
  <c r="H182" i="15" l="1"/>
  <c r="E183" i="15" s="1"/>
  <c r="B56" i="10"/>
  <c r="D55" i="10"/>
  <c r="I55" i="10" s="1"/>
  <c r="F33" i="10"/>
  <c r="G33" i="10" s="1"/>
  <c r="D55" i="9"/>
  <c r="I55" i="9" s="1"/>
  <c r="B56" i="9"/>
  <c r="F33" i="9"/>
  <c r="G33" i="9" s="1"/>
  <c r="D55" i="8"/>
  <c r="I55" i="8" s="1"/>
  <c r="B56" i="8"/>
  <c r="F33" i="8"/>
  <c r="G33" i="8" s="1"/>
  <c r="D55" i="7"/>
  <c r="I55" i="7" s="1"/>
  <c r="B56" i="7"/>
  <c r="F33" i="7"/>
  <c r="G33" i="7" s="1"/>
  <c r="B56" i="6"/>
  <c r="D55" i="6"/>
  <c r="I55" i="6" s="1"/>
  <c r="F33" i="6"/>
  <c r="G33" i="6" s="1"/>
  <c r="E55" i="4"/>
  <c r="F55" i="4" s="1"/>
  <c r="G55" i="4" s="1"/>
  <c r="H55" i="4" s="1"/>
  <c r="E55" i="5"/>
  <c r="F55" i="5" s="1"/>
  <c r="G55" i="5" s="1"/>
  <c r="H55" i="5" s="1"/>
  <c r="B56" i="5"/>
  <c r="D55" i="5"/>
  <c r="I55" i="5" s="1"/>
  <c r="B56" i="4"/>
  <c r="D55" i="4"/>
  <c r="I55" i="4" s="1"/>
  <c r="B56" i="3"/>
  <c r="D55" i="3"/>
  <c r="I55" i="3" s="1"/>
  <c r="E56" i="3" s="1"/>
  <c r="F56" i="3" s="1"/>
  <c r="G56" i="3" s="1"/>
  <c r="H56" i="3" s="1"/>
  <c r="B56" i="2"/>
  <c r="D55" i="2"/>
  <c r="I55" i="2" s="1"/>
  <c r="E56" i="2" s="1"/>
  <c r="F56" i="2" s="1"/>
  <c r="G56" i="2" s="1"/>
  <c r="H56" i="2" s="1"/>
  <c r="E36" i="1"/>
  <c r="C58" i="1"/>
  <c r="D113" i="1"/>
  <c r="I113" i="1" s="1"/>
  <c r="B114" i="1"/>
  <c r="F183" i="15" l="1"/>
  <c r="G183" i="15" s="1"/>
  <c r="H33" i="10"/>
  <c r="E34" i="10" s="1"/>
  <c r="B57" i="10"/>
  <c r="D56" i="10"/>
  <c r="I56" i="10" s="1"/>
  <c r="H33" i="9"/>
  <c r="E34" i="9" s="1"/>
  <c r="D56" i="9"/>
  <c r="I56" i="9" s="1"/>
  <c r="B57" i="9"/>
  <c r="H33" i="8"/>
  <c r="E34" i="8" s="1"/>
  <c r="D56" i="8"/>
  <c r="I56" i="8" s="1"/>
  <c r="B57" i="8"/>
  <c r="H33" i="7"/>
  <c r="E34" i="7" s="1"/>
  <c r="E56" i="4"/>
  <c r="F56" i="4" s="1"/>
  <c r="G56" i="4" s="1"/>
  <c r="H56" i="4" s="1"/>
  <c r="D56" i="7"/>
  <c r="I56" i="7" s="1"/>
  <c r="B57" i="7"/>
  <c r="H33" i="6"/>
  <c r="E34" i="6" s="1"/>
  <c r="B57" i="6"/>
  <c r="D56" i="6"/>
  <c r="I56" i="6" s="1"/>
  <c r="E56" i="5"/>
  <c r="F56" i="5" s="1"/>
  <c r="G56" i="5" s="1"/>
  <c r="H56" i="5" s="1"/>
  <c r="B57" i="5"/>
  <c r="D56" i="5"/>
  <c r="I56" i="5" s="1"/>
  <c r="B57" i="4"/>
  <c r="D56" i="4"/>
  <c r="I56" i="4" s="1"/>
  <c r="D56" i="3"/>
  <c r="I56" i="3" s="1"/>
  <c r="E57" i="3" s="1"/>
  <c r="F57" i="3" s="1"/>
  <c r="G57" i="3" s="1"/>
  <c r="H57" i="3" s="1"/>
  <c r="B57" i="3"/>
  <c r="D56" i="2"/>
  <c r="I56" i="2" s="1"/>
  <c r="E57" i="2" s="1"/>
  <c r="F57" i="2" s="1"/>
  <c r="G57" i="2" s="1"/>
  <c r="H57" i="2" s="1"/>
  <c r="B57" i="2"/>
  <c r="F36" i="1"/>
  <c r="G36" i="1" s="1"/>
  <c r="H36" i="1" s="1"/>
  <c r="D114" i="1"/>
  <c r="I114" i="1" s="1"/>
  <c r="B115" i="1"/>
  <c r="C59" i="1"/>
  <c r="H183" i="15" l="1"/>
  <c r="E184" i="15" s="1"/>
  <c r="B58" i="10"/>
  <c r="D57" i="10"/>
  <c r="I57" i="10" s="1"/>
  <c r="F34" i="10"/>
  <c r="G34" i="10" s="1"/>
  <c r="F34" i="9"/>
  <c r="G34" i="9" s="1"/>
  <c r="D57" i="9"/>
  <c r="I57" i="9" s="1"/>
  <c r="B58" i="9"/>
  <c r="D57" i="8"/>
  <c r="I57" i="8" s="1"/>
  <c r="B58" i="8"/>
  <c r="F34" i="8"/>
  <c r="G34" i="8" s="1"/>
  <c r="E57" i="4"/>
  <c r="F57" i="4" s="1"/>
  <c r="G57" i="4" s="1"/>
  <c r="H57" i="4" s="1"/>
  <c r="D57" i="7"/>
  <c r="I57" i="7" s="1"/>
  <c r="B58" i="7"/>
  <c r="F34" i="7"/>
  <c r="G34" i="7" s="1"/>
  <c r="F34" i="6"/>
  <c r="G34" i="6" s="1"/>
  <c r="B58" i="6"/>
  <c r="D57" i="6"/>
  <c r="I57" i="6" s="1"/>
  <c r="E57" i="5"/>
  <c r="F57" i="5" s="1"/>
  <c r="G57" i="5" s="1"/>
  <c r="H57" i="5" s="1"/>
  <c r="D57" i="5"/>
  <c r="I57" i="5" s="1"/>
  <c r="B58" i="5"/>
  <c r="B58" i="4"/>
  <c r="D57" i="4"/>
  <c r="I57" i="4" s="1"/>
  <c r="D57" i="3"/>
  <c r="I57" i="3" s="1"/>
  <c r="E58" i="3" s="1"/>
  <c r="F58" i="3" s="1"/>
  <c r="G58" i="3" s="1"/>
  <c r="H58" i="3" s="1"/>
  <c r="B58" i="3"/>
  <c r="D57" i="2"/>
  <c r="I57" i="2" s="1"/>
  <c r="E58" i="2" s="1"/>
  <c r="F58" i="2" s="1"/>
  <c r="G58" i="2" s="1"/>
  <c r="B58" i="2"/>
  <c r="E37" i="1"/>
  <c r="D115" i="1"/>
  <c r="I115" i="1" s="1"/>
  <c r="B116" i="1"/>
  <c r="C60" i="1"/>
  <c r="F184" i="15" l="1"/>
  <c r="G184" i="15" s="1"/>
  <c r="H34" i="10"/>
  <c r="E35" i="10" s="1"/>
  <c r="B59" i="10"/>
  <c r="D58" i="10"/>
  <c r="I58" i="10" s="1"/>
  <c r="H34" i="9"/>
  <c r="E35" i="9" s="1"/>
  <c r="D58" i="9"/>
  <c r="I58" i="9" s="1"/>
  <c r="B59" i="9"/>
  <c r="E58" i="4"/>
  <c r="F58" i="4" s="1"/>
  <c r="G58" i="4" s="1"/>
  <c r="H58" i="4" s="1"/>
  <c r="H34" i="8"/>
  <c r="E35" i="8" s="1"/>
  <c r="D58" i="8"/>
  <c r="I58" i="8" s="1"/>
  <c r="B59" i="8"/>
  <c r="H34" i="7"/>
  <c r="E35" i="7" s="1"/>
  <c r="D58" i="7"/>
  <c r="I58" i="7" s="1"/>
  <c r="B59" i="7"/>
  <c r="B59" i="6"/>
  <c r="D58" i="6"/>
  <c r="I58" i="6" s="1"/>
  <c r="H34" i="6"/>
  <c r="E35" i="6" s="1"/>
  <c r="H58" i="2"/>
  <c r="E58" i="5"/>
  <c r="F58" i="5" s="1"/>
  <c r="G58" i="5" s="1"/>
  <c r="H58" i="5" s="1"/>
  <c r="D58" i="5"/>
  <c r="I58" i="5" s="1"/>
  <c r="B59" i="5"/>
  <c r="D58" i="4"/>
  <c r="I58" i="4" s="1"/>
  <c r="B59" i="4"/>
  <c r="D58" i="3"/>
  <c r="I58" i="3" s="1"/>
  <c r="E59" i="3" s="1"/>
  <c r="F59" i="3" s="1"/>
  <c r="G59" i="3" s="1"/>
  <c r="H59" i="3" s="1"/>
  <c r="B59" i="3"/>
  <c r="D58" i="2"/>
  <c r="I58" i="2" s="1"/>
  <c r="B59" i="2"/>
  <c r="F37" i="1"/>
  <c r="G37" i="1" s="1"/>
  <c r="H37" i="1" s="1"/>
  <c r="D116" i="1"/>
  <c r="I116" i="1" s="1"/>
  <c r="B117" i="1"/>
  <c r="C61" i="1"/>
  <c r="H184" i="15" l="1"/>
  <c r="E185" i="15" s="1"/>
  <c r="E59" i="2"/>
  <c r="F59" i="2" s="1"/>
  <c r="G59" i="2" s="1"/>
  <c r="H59" i="2" s="1"/>
  <c r="E59" i="4"/>
  <c r="F59" i="4" s="1"/>
  <c r="G59" i="4" s="1"/>
  <c r="H59" i="4" s="1"/>
  <c r="B60" i="10"/>
  <c r="D59" i="10"/>
  <c r="I59" i="10" s="1"/>
  <c r="F35" i="10"/>
  <c r="G35" i="10" s="1"/>
  <c r="F35" i="9"/>
  <c r="G35" i="9" s="1"/>
  <c r="D59" i="9"/>
  <c r="I59" i="9" s="1"/>
  <c r="B60" i="9"/>
  <c r="D59" i="8"/>
  <c r="I59" i="8" s="1"/>
  <c r="B60" i="8"/>
  <c r="F35" i="8"/>
  <c r="G35" i="8" s="1"/>
  <c r="D59" i="7"/>
  <c r="I59" i="7" s="1"/>
  <c r="B60" i="7"/>
  <c r="F35" i="7"/>
  <c r="G35" i="7" s="1"/>
  <c r="F35" i="6"/>
  <c r="G35" i="6" s="1"/>
  <c r="B60" i="6"/>
  <c r="D59" i="6"/>
  <c r="I59" i="6" s="1"/>
  <c r="E59" i="5"/>
  <c r="F59" i="5" s="1"/>
  <c r="G59" i="5" s="1"/>
  <c r="H59" i="5" s="1"/>
  <c r="D59" i="5"/>
  <c r="I59" i="5" s="1"/>
  <c r="B60" i="5"/>
  <c r="B60" i="4"/>
  <c r="D59" i="4"/>
  <c r="I59" i="4" s="1"/>
  <c r="D59" i="3"/>
  <c r="I59" i="3" s="1"/>
  <c r="E60" i="3" s="1"/>
  <c r="F60" i="3" s="1"/>
  <c r="G60" i="3" s="1"/>
  <c r="H60" i="3" s="1"/>
  <c r="B60" i="3"/>
  <c r="D59" i="2"/>
  <c r="I59" i="2" s="1"/>
  <c r="B60" i="2"/>
  <c r="E38" i="1"/>
  <c r="D117" i="1"/>
  <c r="I117" i="1" s="1"/>
  <c r="B118" i="1"/>
  <c r="C62" i="1"/>
  <c r="E60" i="4" l="1"/>
  <c r="F60" i="4" s="1"/>
  <c r="G60" i="4" s="1"/>
  <c r="H60" i="4" s="1"/>
  <c r="F185" i="15"/>
  <c r="G185" i="15" s="1"/>
  <c r="E60" i="2"/>
  <c r="F60" i="2" s="1"/>
  <c r="G60" i="2" s="1"/>
  <c r="H60" i="2" s="1"/>
  <c r="H35" i="10"/>
  <c r="E36" i="10" s="1"/>
  <c r="B61" i="10"/>
  <c r="D60" i="10"/>
  <c r="I60" i="10" s="1"/>
  <c r="H35" i="9"/>
  <c r="E36" i="9" s="1"/>
  <c r="D60" i="9"/>
  <c r="I60" i="9" s="1"/>
  <c r="B61" i="9"/>
  <c r="H35" i="8"/>
  <c r="E36" i="8" s="1"/>
  <c r="D60" i="8"/>
  <c r="I60" i="8" s="1"/>
  <c r="B61" i="8"/>
  <c r="H35" i="7"/>
  <c r="E36" i="7" s="1"/>
  <c r="D60" i="7"/>
  <c r="I60" i="7" s="1"/>
  <c r="B61" i="7"/>
  <c r="H35" i="6"/>
  <c r="E36" i="6" s="1"/>
  <c r="B61" i="6"/>
  <c r="D60" i="6"/>
  <c r="I60" i="6" s="1"/>
  <c r="E60" i="5"/>
  <c r="F60" i="5" s="1"/>
  <c r="G60" i="5" s="1"/>
  <c r="H60" i="5" s="1"/>
  <c r="B61" i="5"/>
  <c r="D60" i="5"/>
  <c r="I60" i="5" s="1"/>
  <c r="D60" i="4"/>
  <c r="I60" i="4" s="1"/>
  <c r="B61" i="4"/>
  <c r="B61" i="3"/>
  <c r="D60" i="3"/>
  <c r="I60" i="3" s="1"/>
  <c r="E61" i="3" s="1"/>
  <c r="F61" i="3" s="1"/>
  <c r="G61" i="3" s="1"/>
  <c r="H61" i="3" s="1"/>
  <c r="B61" i="2"/>
  <c r="D60" i="2"/>
  <c r="I60" i="2" s="1"/>
  <c r="F38" i="1"/>
  <c r="G38" i="1" s="1"/>
  <c r="H38" i="1" s="1"/>
  <c r="D118" i="1"/>
  <c r="I118" i="1" s="1"/>
  <c r="B119" i="1"/>
  <c r="C63" i="1"/>
  <c r="E61" i="4" l="1"/>
  <c r="F61" i="4" s="1"/>
  <c r="G61" i="4" s="1"/>
  <c r="H61" i="4" s="1"/>
  <c r="E61" i="2"/>
  <c r="F61" i="2" s="1"/>
  <c r="G61" i="2" s="1"/>
  <c r="H61" i="2" s="1"/>
  <c r="H185" i="15"/>
  <c r="E186" i="15" s="1"/>
  <c r="B62" i="10"/>
  <c r="D61" i="10"/>
  <c r="I61" i="10" s="1"/>
  <c r="F36" i="10"/>
  <c r="G36" i="10" s="1"/>
  <c r="D61" i="9"/>
  <c r="I61" i="9" s="1"/>
  <c r="B62" i="9"/>
  <c r="F36" i="9"/>
  <c r="G36" i="9" s="1"/>
  <c r="D61" i="8"/>
  <c r="I61" i="8" s="1"/>
  <c r="B62" i="8"/>
  <c r="F36" i="8"/>
  <c r="G36" i="8" s="1"/>
  <c r="D61" i="7"/>
  <c r="I61" i="7" s="1"/>
  <c r="B62" i="7"/>
  <c r="F36" i="7"/>
  <c r="G36" i="7" s="1"/>
  <c r="B62" i="6"/>
  <c r="D61" i="6"/>
  <c r="I61" i="6" s="1"/>
  <c r="F36" i="6"/>
  <c r="G36" i="6" s="1"/>
  <c r="E61" i="5"/>
  <c r="F61" i="5" s="1"/>
  <c r="G61" i="5" s="1"/>
  <c r="H61" i="5" s="1"/>
  <c r="B62" i="5"/>
  <c r="D61" i="5"/>
  <c r="I61" i="5" s="1"/>
  <c r="D61" i="4"/>
  <c r="I61" i="4" s="1"/>
  <c r="B62" i="4"/>
  <c r="B62" i="3"/>
  <c r="D61" i="3"/>
  <c r="I61" i="3" s="1"/>
  <c r="E62" i="3" s="1"/>
  <c r="F62" i="3" s="1"/>
  <c r="G62" i="3" s="1"/>
  <c r="H62" i="3" s="1"/>
  <c r="B62" i="2"/>
  <c r="D61" i="2"/>
  <c r="I61" i="2" s="1"/>
  <c r="E39" i="1"/>
  <c r="C64" i="1"/>
  <c r="D119" i="1"/>
  <c r="I119" i="1" s="1"/>
  <c r="B120" i="1"/>
  <c r="E62" i="4" l="1"/>
  <c r="F62" i="4" s="1"/>
  <c r="G62" i="4" s="1"/>
  <c r="H62" i="4" s="1"/>
  <c r="E62" i="2"/>
  <c r="F62" i="2" s="1"/>
  <c r="G62" i="2" s="1"/>
  <c r="H62" i="2" s="1"/>
  <c r="F186" i="15"/>
  <c r="G186" i="15" s="1"/>
  <c r="H36" i="10"/>
  <c r="E37" i="10" s="1"/>
  <c r="B63" i="10"/>
  <c r="D62" i="10"/>
  <c r="I62" i="10" s="1"/>
  <c r="H36" i="9"/>
  <c r="E37" i="9" s="1"/>
  <c r="D62" i="9"/>
  <c r="I62" i="9" s="1"/>
  <c r="B63" i="9"/>
  <c r="H36" i="8"/>
  <c r="E37" i="8" s="1"/>
  <c r="D62" i="8"/>
  <c r="I62" i="8" s="1"/>
  <c r="B63" i="8"/>
  <c r="H36" i="7"/>
  <c r="E37" i="7" s="1"/>
  <c r="D62" i="7"/>
  <c r="I62" i="7" s="1"/>
  <c r="B63" i="7"/>
  <c r="H36" i="6"/>
  <c r="E37" i="6" s="1"/>
  <c r="B63" i="6"/>
  <c r="D62" i="6"/>
  <c r="I62" i="6" s="1"/>
  <c r="E62" i="5"/>
  <c r="F62" i="5" s="1"/>
  <c r="G62" i="5" s="1"/>
  <c r="H62" i="5" s="1"/>
  <c r="B63" i="5"/>
  <c r="D62" i="5"/>
  <c r="I62" i="5" s="1"/>
  <c r="D62" i="4"/>
  <c r="I62" i="4" s="1"/>
  <c r="E63" i="4" s="1"/>
  <c r="F63" i="4" s="1"/>
  <c r="G63" i="4" s="1"/>
  <c r="H63" i="4" s="1"/>
  <c r="B63" i="4"/>
  <c r="D62" i="3"/>
  <c r="I62" i="3" s="1"/>
  <c r="E63" i="3" s="1"/>
  <c r="F63" i="3" s="1"/>
  <c r="G63" i="3" s="1"/>
  <c r="H63" i="3" s="1"/>
  <c r="B63" i="3"/>
  <c r="B63" i="2"/>
  <c r="D62" i="2"/>
  <c r="I62" i="2" s="1"/>
  <c r="F39" i="1"/>
  <c r="G39" i="1" s="1"/>
  <c r="H39" i="1" s="1"/>
  <c r="C65" i="1"/>
  <c r="D120" i="1"/>
  <c r="I120" i="1" s="1"/>
  <c r="B121" i="1"/>
  <c r="E63" i="2" l="1"/>
  <c r="F63" i="2" s="1"/>
  <c r="G63" i="2" s="1"/>
  <c r="H63" i="2" s="1"/>
  <c r="H186" i="15"/>
  <c r="E187" i="15" s="1"/>
  <c r="B64" i="10"/>
  <c r="D63" i="10"/>
  <c r="I63" i="10" s="1"/>
  <c r="F37" i="10"/>
  <c r="G37" i="10" s="1"/>
  <c r="F37" i="9"/>
  <c r="G37" i="9" s="1"/>
  <c r="D63" i="9"/>
  <c r="I63" i="9" s="1"/>
  <c r="B64" i="9"/>
  <c r="D63" i="8"/>
  <c r="I63" i="8" s="1"/>
  <c r="B64" i="8"/>
  <c r="F37" i="8"/>
  <c r="G37" i="8" s="1"/>
  <c r="D63" i="7"/>
  <c r="I63" i="7" s="1"/>
  <c r="B64" i="7"/>
  <c r="F37" i="7"/>
  <c r="G37" i="7" s="1"/>
  <c r="B64" i="6"/>
  <c r="D63" i="6"/>
  <c r="I63" i="6" s="1"/>
  <c r="F37" i="6"/>
  <c r="G37" i="6" s="1"/>
  <c r="E63" i="5"/>
  <c r="F63" i="5" s="1"/>
  <c r="G63" i="5" s="1"/>
  <c r="H63" i="5" s="1"/>
  <c r="B64" i="5"/>
  <c r="D63" i="5"/>
  <c r="I63" i="5" s="1"/>
  <c r="B64" i="4"/>
  <c r="D63" i="4"/>
  <c r="I63" i="4" s="1"/>
  <c r="E64" i="4" s="1"/>
  <c r="F64" i="4" s="1"/>
  <c r="G64" i="4" s="1"/>
  <c r="H64" i="4" s="1"/>
  <c r="B64" i="3"/>
  <c r="D63" i="3"/>
  <c r="I63" i="3" s="1"/>
  <c r="E64" i="3" s="1"/>
  <c r="F64" i="3" s="1"/>
  <c r="G64" i="3" s="1"/>
  <c r="H64" i="3" s="1"/>
  <c r="B64" i="2"/>
  <c r="D63" i="2"/>
  <c r="I63" i="2" s="1"/>
  <c r="E64" i="2" s="1"/>
  <c r="F64" i="2" s="1"/>
  <c r="G64" i="2" s="1"/>
  <c r="H64" i="2" s="1"/>
  <c r="E40" i="1"/>
  <c r="C66" i="1"/>
  <c r="D121" i="1"/>
  <c r="I121" i="1" s="1"/>
  <c r="B122" i="1"/>
  <c r="F187" i="15" l="1"/>
  <c r="G187" i="15" s="1"/>
  <c r="H37" i="10"/>
  <c r="E38" i="10" s="1"/>
  <c r="B65" i="10"/>
  <c r="D64" i="10"/>
  <c r="I64" i="10" s="1"/>
  <c r="H37" i="9"/>
  <c r="E38" i="9" s="1"/>
  <c r="D64" i="9"/>
  <c r="I64" i="9" s="1"/>
  <c r="B65" i="9"/>
  <c r="H37" i="8"/>
  <c r="E38" i="8" s="1"/>
  <c r="D64" i="8"/>
  <c r="I64" i="8" s="1"/>
  <c r="B65" i="8"/>
  <c r="H37" i="7"/>
  <c r="E38" i="7" s="1"/>
  <c r="B65" i="7"/>
  <c r="D64" i="7"/>
  <c r="I64" i="7" s="1"/>
  <c r="H37" i="6"/>
  <c r="E38" i="6" s="1"/>
  <c r="B65" i="6"/>
  <c r="D64" i="6"/>
  <c r="I64" i="6" s="1"/>
  <c r="E64" i="5"/>
  <c r="F64" i="5" s="1"/>
  <c r="G64" i="5" s="1"/>
  <c r="H64" i="5" s="1"/>
  <c r="B65" i="5"/>
  <c r="D64" i="5"/>
  <c r="I64" i="5" s="1"/>
  <c r="B65" i="4"/>
  <c r="D64" i="4"/>
  <c r="I64" i="4" s="1"/>
  <c r="E65" i="4" s="1"/>
  <c r="F65" i="4" s="1"/>
  <c r="G65" i="4" s="1"/>
  <c r="H65" i="4" s="1"/>
  <c r="D64" i="3"/>
  <c r="I64" i="3" s="1"/>
  <c r="E65" i="3" s="1"/>
  <c r="F65" i="3" s="1"/>
  <c r="G65" i="3" s="1"/>
  <c r="H65" i="3" s="1"/>
  <c r="B65" i="3"/>
  <c r="D64" i="2"/>
  <c r="I64" i="2" s="1"/>
  <c r="E65" i="2" s="1"/>
  <c r="F65" i="2" s="1"/>
  <c r="G65" i="2" s="1"/>
  <c r="B65" i="2"/>
  <c r="F40" i="1"/>
  <c r="G40" i="1" s="1"/>
  <c r="H40" i="1" s="1"/>
  <c r="D122" i="1"/>
  <c r="I122" i="1" s="1"/>
  <c r="B123" i="1"/>
  <c r="C67" i="1"/>
  <c r="H187" i="15" l="1"/>
  <c r="E188" i="15" s="1"/>
  <c r="B66" i="10"/>
  <c r="D65" i="10"/>
  <c r="I65" i="10" s="1"/>
  <c r="F38" i="10"/>
  <c r="G38" i="10" s="1"/>
  <c r="F38" i="9"/>
  <c r="G38" i="9" s="1"/>
  <c r="D65" i="9"/>
  <c r="I65" i="9" s="1"/>
  <c r="B66" i="9"/>
  <c r="D65" i="8"/>
  <c r="I65" i="8" s="1"/>
  <c r="B66" i="8"/>
  <c r="F38" i="8"/>
  <c r="G38" i="8" s="1"/>
  <c r="B66" i="7"/>
  <c r="D65" i="7"/>
  <c r="I65" i="7" s="1"/>
  <c r="F38" i="7"/>
  <c r="G38" i="7" s="1"/>
  <c r="B66" i="6"/>
  <c r="D65" i="6"/>
  <c r="I65" i="6" s="1"/>
  <c r="F38" i="6"/>
  <c r="G38" i="6" s="1"/>
  <c r="H65" i="2"/>
  <c r="E65" i="5"/>
  <c r="F65" i="5" s="1"/>
  <c r="G65" i="5" s="1"/>
  <c r="H65" i="5" s="1"/>
  <c r="D65" i="5"/>
  <c r="I65" i="5" s="1"/>
  <c r="B66" i="5"/>
  <c r="B66" i="4"/>
  <c r="D65" i="4"/>
  <c r="I65" i="4" s="1"/>
  <c r="E66" i="4" s="1"/>
  <c r="F66" i="4" s="1"/>
  <c r="G66" i="4" s="1"/>
  <c r="H66" i="4" s="1"/>
  <c r="B66" i="3"/>
  <c r="D65" i="3"/>
  <c r="I65" i="3" s="1"/>
  <c r="E66" i="3" s="1"/>
  <c r="F66" i="3" s="1"/>
  <c r="G66" i="3" s="1"/>
  <c r="H66" i="3" s="1"/>
  <c r="D65" i="2"/>
  <c r="I65" i="2" s="1"/>
  <c r="B66" i="2"/>
  <c r="E41" i="1"/>
  <c r="C68" i="1"/>
  <c r="D123" i="1"/>
  <c r="I123" i="1" s="1"/>
  <c r="B124" i="1"/>
  <c r="F188" i="15" l="1"/>
  <c r="G188" i="15" s="1"/>
  <c r="H38" i="10"/>
  <c r="E39" i="10" s="1"/>
  <c r="B67" i="10"/>
  <c r="D66" i="10"/>
  <c r="I66" i="10" s="1"/>
  <c r="H38" i="9"/>
  <c r="E39" i="9" s="1"/>
  <c r="D66" i="9"/>
  <c r="I66" i="9" s="1"/>
  <c r="B67" i="9"/>
  <c r="H38" i="8"/>
  <c r="E39" i="8" s="1"/>
  <c r="D66" i="8"/>
  <c r="I66" i="8" s="1"/>
  <c r="B67" i="8"/>
  <c r="H38" i="7"/>
  <c r="E39" i="7" s="1"/>
  <c r="B67" i="7"/>
  <c r="D66" i="7"/>
  <c r="I66" i="7" s="1"/>
  <c r="H38" i="6"/>
  <c r="E39" i="6" s="1"/>
  <c r="B67" i="6"/>
  <c r="D66" i="6"/>
  <c r="I66" i="6" s="1"/>
  <c r="E66" i="2"/>
  <c r="F66" i="2" s="1"/>
  <c r="G66" i="2" s="1"/>
  <c r="H66" i="2" s="1"/>
  <c r="E66" i="5"/>
  <c r="F66" i="5" s="1"/>
  <c r="G66" i="5" s="1"/>
  <c r="H66" i="5" s="1"/>
  <c r="D66" i="5"/>
  <c r="I66" i="5" s="1"/>
  <c r="B67" i="5"/>
  <c r="D66" i="4"/>
  <c r="I66" i="4" s="1"/>
  <c r="E67" i="4" s="1"/>
  <c r="F67" i="4" s="1"/>
  <c r="G67" i="4" s="1"/>
  <c r="H67" i="4" s="1"/>
  <c r="B67" i="4"/>
  <c r="D66" i="3"/>
  <c r="I66" i="3" s="1"/>
  <c r="E67" i="3" s="1"/>
  <c r="F67" i="3" s="1"/>
  <c r="G67" i="3" s="1"/>
  <c r="H67" i="3" s="1"/>
  <c r="B67" i="3"/>
  <c r="D66" i="2"/>
  <c r="I66" i="2" s="1"/>
  <c r="B67" i="2"/>
  <c r="F41" i="1"/>
  <c r="G41" i="1" s="1"/>
  <c r="H41" i="1" s="1"/>
  <c r="D124" i="1"/>
  <c r="I124" i="1" s="1"/>
  <c r="B125" i="1"/>
  <c r="C69" i="1"/>
  <c r="H188" i="15" l="1"/>
  <c r="E189" i="15" s="1"/>
  <c r="E67" i="2"/>
  <c r="F67" i="2" s="1"/>
  <c r="G67" i="2" s="1"/>
  <c r="H67" i="2" s="1"/>
  <c r="B68" i="10"/>
  <c r="D67" i="10"/>
  <c r="I67" i="10" s="1"/>
  <c r="F39" i="10"/>
  <c r="G39" i="10" s="1"/>
  <c r="D67" i="9"/>
  <c r="I67" i="9" s="1"/>
  <c r="B68" i="9"/>
  <c r="F39" i="9"/>
  <c r="G39" i="9" s="1"/>
  <c r="D67" i="8"/>
  <c r="I67" i="8" s="1"/>
  <c r="B68" i="8"/>
  <c r="F39" i="8"/>
  <c r="G39" i="8" s="1"/>
  <c r="B68" i="7"/>
  <c r="D67" i="7"/>
  <c r="I67" i="7" s="1"/>
  <c r="F39" i="7"/>
  <c r="G39" i="7" s="1"/>
  <c r="B68" i="6"/>
  <c r="D67" i="6"/>
  <c r="I67" i="6" s="1"/>
  <c r="F39" i="6"/>
  <c r="G39" i="6" s="1"/>
  <c r="E67" i="5"/>
  <c r="F67" i="5" s="1"/>
  <c r="G67" i="5" s="1"/>
  <c r="H67" i="5" s="1"/>
  <c r="D67" i="5"/>
  <c r="I67" i="5" s="1"/>
  <c r="B68" i="5"/>
  <c r="B68" i="4"/>
  <c r="D67" i="4"/>
  <c r="I67" i="4" s="1"/>
  <c r="E68" i="4" s="1"/>
  <c r="F68" i="4" s="1"/>
  <c r="G68" i="4" s="1"/>
  <c r="H68" i="4" s="1"/>
  <c r="D67" i="3"/>
  <c r="I67" i="3" s="1"/>
  <c r="E68" i="3" s="1"/>
  <c r="F68" i="3" s="1"/>
  <c r="G68" i="3" s="1"/>
  <c r="H68" i="3" s="1"/>
  <c r="B68" i="3"/>
  <c r="D67" i="2"/>
  <c r="I67" i="2" s="1"/>
  <c r="B68" i="2"/>
  <c r="E42" i="1"/>
  <c r="C70" i="1"/>
  <c r="D125" i="1"/>
  <c r="I125" i="1" s="1"/>
  <c r="B126" i="1"/>
  <c r="F189" i="15" l="1"/>
  <c r="G189" i="15" s="1"/>
  <c r="E68" i="2"/>
  <c r="F68" i="2" s="1"/>
  <c r="G68" i="2" s="1"/>
  <c r="H68" i="2" s="1"/>
  <c r="H39" i="10"/>
  <c r="E40" i="10" s="1"/>
  <c r="B69" i="10"/>
  <c r="D68" i="10"/>
  <c r="I68" i="10" s="1"/>
  <c r="H39" i="9"/>
  <c r="E40" i="9" s="1"/>
  <c r="D68" i="9"/>
  <c r="I68" i="9" s="1"/>
  <c r="B69" i="9"/>
  <c r="H39" i="8"/>
  <c r="E40" i="8" s="1"/>
  <c r="D68" i="8"/>
  <c r="I68" i="8" s="1"/>
  <c r="B69" i="8"/>
  <c r="H39" i="7"/>
  <c r="E40" i="7" s="1"/>
  <c r="D68" i="7"/>
  <c r="I68" i="7" s="1"/>
  <c r="B69" i="7"/>
  <c r="H39" i="6"/>
  <c r="E40" i="6" s="1"/>
  <c r="B69" i="6"/>
  <c r="D68" i="6"/>
  <c r="I68" i="6" s="1"/>
  <c r="E68" i="5"/>
  <c r="F68" i="5" s="1"/>
  <c r="G68" i="5" s="1"/>
  <c r="H68" i="5" s="1"/>
  <c r="B69" i="5"/>
  <c r="D68" i="5"/>
  <c r="I68" i="5" s="1"/>
  <c r="D68" i="4"/>
  <c r="I68" i="4" s="1"/>
  <c r="E69" i="4" s="1"/>
  <c r="F69" i="4" s="1"/>
  <c r="G69" i="4" s="1"/>
  <c r="H69" i="4" s="1"/>
  <c r="B69" i="4"/>
  <c r="B69" i="3"/>
  <c r="D68" i="3"/>
  <c r="I68" i="3" s="1"/>
  <c r="E69" i="3" s="1"/>
  <c r="F69" i="3" s="1"/>
  <c r="G69" i="3" s="1"/>
  <c r="H69" i="3" s="1"/>
  <c r="B69" i="2"/>
  <c r="D68" i="2"/>
  <c r="I68" i="2" s="1"/>
  <c r="E69" i="2" s="1"/>
  <c r="F69" i="2" s="1"/>
  <c r="G69" i="2" s="1"/>
  <c r="F42" i="1"/>
  <c r="G42" i="1" s="1"/>
  <c r="H42" i="1" s="1"/>
  <c r="D126" i="1"/>
  <c r="I126" i="1" s="1"/>
  <c r="B127" i="1"/>
  <c r="C71" i="1"/>
  <c r="H189" i="15" l="1"/>
  <c r="E190" i="15" s="1"/>
  <c r="B70" i="10"/>
  <c r="D69" i="10"/>
  <c r="I69" i="10" s="1"/>
  <c r="F40" i="10"/>
  <c r="G40" i="10" s="1"/>
  <c r="D69" i="9"/>
  <c r="I69" i="9" s="1"/>
  <c r="B70" i="9"/>
  <c r="F40" i="9"/>
  <c r="G40" i="9" s="1"/>
  <c r="D69" i="8"/>
  <c r="I69" i="8" s="1"/>
  <c r="B70" i="8"/>
  <c r="F40" i="8"/>
  <c r="G40" i="8" s="1"/>
  <c r="D69" i="7"/>
  <c r="I69" i="7" s="1"/>
  <c r="B70" i="7"/>
  <c r="F40" i="7"/>
  <c r="G40" i="7" s="1"/>
  <c r="B70" i="6"/>
  <c r="D69" i="6"/>
  <c r="I69" i="6" s="1"/>
  <c r="F40" i="6"/>
  <c r="G40" i="6" s="1"/>
  <c r="H69" i="2"/>
  <c r="E69" i="5"/>
  <c r="F69" i="5" s="1"/>
  <c r="G69" i="5" s="1"/>
  <c r="H69" i="5" s="1"/>
  <c r="B70" i="5"/>
  <c r="D69" i="5"/>
  <c r="I69" i="5" s="1"/>
  <c r="B70" i="4"/>
  <c r="D69" i="4"/>
  <c r="I69" i="4" s="1"/>
  <c r="E70" i="4" s="1"/>
  <c r="F70" i="4" s="1"/>
  <c r="G70" i="4" s="1"/>
  <c r="H70" i="4" s="1"/>
  <c r="B70" i="3"/>
  <c r="D69" i="3"/>
  <c r="I69" i="3" s="1"/>
  <c r="E70" i="3" s="1"/>
  <c r="F70" i="3" s="1"/>
  <c r="G70" i="3" s="1"/>
  <c r="H70" i="3" s="1"/>
  <c r="B70" i="2"/>
  <c r="D69" i="2"/>
  <c r="I69" i="2" s="1"/>
  <c r="E43" i="1"/>
  <c r="C72" i="1"/>
  <c r="D127" i="1"/>
  <c r="I127" i="1" s="1"/>
  <c r="B128" i="1"/>
  <c r="F190" i="15" l="1"/>
  <c r="G190" i="15" s="1"/>
  <c r="H40" i="10"/>
  <c r="E41" i="10" s="1"/>
  <c r="B71" i="10"/>
  <c r="D70" i="10"/>
  <c r="I70" i="10" s="1"/>
  <c r="H40" i="9"/>
  <c r="E41" i="9" s="1"/>
  <c r="D70" i="9"/>
  <c r="I70" i="9" s="1"/>
  <c r="B71" i="9"/>
  <c r="H40" i="8"/>
  <c r="E41" i="8" s="1"/>
  <c r="D70" i="8"/>
  <c r="I70" i="8" s="1"/>
  <c r="B71" i="8"/>
  <c r="H40" i="7"/>
  <c r="E41" i="7" s="1"/>
  <c r="D70" i="7"/>
  <c r="I70" i="7" s="1"/>
  <c r="B71" i="7"/>
  <c r="H40" i="6"/>
  <c r="E41" i="6" s="1"/>
  <c r="B71" i="6"/>
  <c r="D70" i="6"/>
  <c r="I70" i="6" s="1"/>
  <c r="E70" i="2"/>
  <c r="F70" i="2" s="1"/>
  <c r="G70" i="2" s="1"/>
  <c r="H70" i="2" s="1"/>
  <c r="E70" i="5"/>
  <c r="F70" i="5" s="1"/>
  <c r="G70" i="5" s="1"/>
  <c r="H70" i="5" s="1"/>
  <c r="B71" i="5"/>
  <c r="D70" i="5"/>
  <c r="I70" i="5" s="1"/>
  <c r="D70" i="4"/>
  <c r="I70" i="4" s="1"/>
  <c r="E71" i="4" s="1"/>
  <c r="F71" i="4" s="1"/>
  <c r="G71" i="4" s="1"/>
  <c r="H71" i="4" s="1"/>
  <c r="B71" i="4"/>
  <c r="D70" i="3"/>
  <c r="I70" i="3" s="1"/>
  <c r="E71" i="3" s="1"/>
  <c r="F71" i="3" s="1"/>
  <c r="G71" i="3" s="1"/>
  <c r="H71" i="3" s="1"/>
  <c r="B71" i="3"/>
  <c r="B71" i="2"/>
  <c r="D70" i="2"/>
  <c r="I70" i="2" s="1"/>
  <c r="F43" i="1"/>
  <c r="G43" i="1" s="1"/>
  <c r="H43" i="1" s="1"/>
  <c r="C73" i="1"/>
  <c r="D128" i="1"/>
  <c r="I128" i="1" s="1"/>
  <c r="B129" i="1"/>
  <c r="H190" i="15" l="1"/>
  <c r="E191" i="15" s="1"/>
  <c r="B72" i="10"/>
  <c r="D71" i="10"/>
  <c r="I71" i="10" s="1"/>
  <c r="F41" i="10"/>
  <c r="G41" i="10" s="1"/>
  <c r="D71" i="9"/>
  <c r="I71" i="9" s="1"/>
  <c r="B72" i="9"/>
  <c r="F41" i="9"/>
  <c r="G41" i="9" s="1"/>
  <c r="D71" i="8"/>
  <c r="I71" i="8" s="1"/>
  <c r="B72" i="8"/>
  <c r="F41" i="8"/>
  <c r="G41" i="8" s="1"/>
  <c r="D71" i="7"/>
  <c r="I71" i="7" s="1"/>
  <c r="B72" i="7"/>
  <c r="F41" i="7"/>
  <c r="G41" i="7" s="1"/>
  <c r="B72" i="6"/>
  <c r="D71" i="6"/>
  <c r="I71" i="6" s="1"/>
  <c r="F41" i="6"/>
  <c r="G41" i="6" s="1"/>
  <c r="E71" i="5"/>
  <c r="F71" i="5" s="1"/>
  <c r="G71" i="5" s="1"/>
  <c r="H71" i="5" s="1"/>
  <c r="E71" i="2"/>
  <c r="F71" i="2" s="1"/>
  <c r="G71" i="2" s="1"/>
  <c r="H71" i="2" s="1"/>
  <c r="B72" i="5"/>
  <c r="D71" i="5"/>
  <c r="I71" i="5" s="1"/>
  <c r="D71" i="4"/>
  <c r="I71" i="4" s="1"/>
  <c r="E72" i="4" s="1"/>
  <c r="F72" i="4" s="1"/>
  <c r="G72" i="4" s="1"/>
  <c r="H72" i="4" s="1"/>
  <c r="B72" i="4"/>
  <c r="B72" i="3"/>
  <c r="D71" i="3"/>
  <c r="I71" i="3" s="1"/>
  <c r="E72" i="3" s="1"/>
  <c r="F72" i="3" s="1"/>
  <c r="G72" i="3" s="1"/>
  <c r="H72" i="3" s="1"/>
  <c r="B72" i="2"/>
  <c r="D71" i="2"/>
  <c r="I71" i="2" s="1"/>
  <c r="E44" i="1"/>
  <c r="C74" i="1"/>
  <c r="D129" i="1"/>
  <c r="I129" i="1" s="1"/>
  <c r="B130" i="1"/>
  <c r="F191" i="15" l="1"/>
  <c r="G191" i="15" s="1"/>
  <c r="E72" i="2"/>
  <c r="F72" i="2" s="1"/>
  <c r="G72" i="2" s="1"/>
  <c r="H72" i="2" s="1"/>
  <c r="H41" i="10"/>
  <c r="E42" i="10" s="1"/>
  <c r="B73" i="10"/>
  <c r="D72" i="10"/>
  <c r="I72" i="10" s="1"/>
  <c r="H41" i="9"/>
  <c r="E42" i="9" s="1"/>
  <c r="D72" i="9"/>
  <c r="I72" i="9" s="1"/>
  <c r="B73" i="9"/>
  <c r="H41" i="8"/>
  <c r="E42" i="8" s="1"/>
  <c r="D72" i="8"/>
  <c r="I72" i="8" s="1"/>
  <c r="B73" i="8"/>
  <c r="H41" i="7"/>
  <c r="E42" i="7" s="1"/>
  <c r="B73" i="7"/>
  <c r="D72" i="7"/>
  <c r="I72" i="7" s="1"/>
  <c r="H41" i="6"/>
  <c r="E42" i="6" s="1"/>
  <c r="B73" i="6"/>
  <c r="D72" i="6"/>
  <c r="I72" i="6" s="1"/>
  <c r="E72" i="5"/>
  <c r="F72" i="5" s="1"/>
  <c r="G72" i="5" s="1"/>
  <c r="H72" i="5" s="1"/>
  <c r="B73" i="5"/>
  <c r="D72" i="5"/>
  <c r="I72" i="5" s="1"/>
  <c r="D72" i="4"/>
  <c r="I72" i="4" s="1"/>
  <c r="E73" i="4" s="1"/>
  <c r="F73" i="4" s="1"/>
  <c r="G73" i="4" s="1"/>
  <c r="H73" i="4" s="1"/>
  <c r="B73" i="4"/>
  <c r="D72" i="3"/>
  <c r="I72" i="3" s="1"/>
  <c r="E73" i="3" s="1"/>
  <c r="F73" i="3" s="1"/>
  <c r="G73" i="3" s="1"/>
  <c r="H73" i="3" s="1"/>
  <c r="B73" i="3"/>
  <c r="D72" i="2"/>
  <c r="I72" i="2" s="1"/>
  <c r="B73" i="2"/>
  <c r="F44" i="1"/>
  <c r="G44" i="1" s="1"/>
  <c r="H44" i="1" s="1"/>
  <c r="C75" i="1"/>
  <c r="D130" i="1"/>
  <c r="I130" i="1" s="1"/>
  <c r="B131" i="1"/>
  <c r="H191" i="15" l="1"/>
  <c r="E192" i="15" s="1"/>
  <c r="B74" i="10"/>
  <c r="D73" i="10"/>
  <c r="I73" i="10" s="1"/>
  <c r="F42" i="10"/>
  <c r="G42" i="10" s="1"/>
  <c r="B74" i="9"/>
  <c r="D73" i="9"/>
  <c r="I73" i="9" s="1"/>
  <c r="F42" i="9"/>
  <c r="G42" i="9" s="1"/>
  <c r="D73" i="8"/>
  <c r="I73" i="8" s="1"/>
  <c r="B74" i="8"/>
  <c r="F42" i="8"/>
  <c r="G42" i="8" s="1"/>
  <c r="B74" i="7"/>
  <c r="D73" i="7"/>
  <c r="I73" i="7" s="1"/>
  <c r="F42" i="7"/>
  <c r="G42" i="7" s="1"/>
  <c r="B74" i="6"/>
  <c r="D73" i="6"/>
  <c r="I73" i="6" s="1"/>
  <c r="F42" i="6"/>
  <c r="G42" i="6" s="1"/>
  <c r="E73" i="2"/>
  <c r="F73" i="2" s="1"/>
  <c r="G73" i="2" s="1"/>
  <c r="H73" i="2" s="1"/>
  <c r="E73" i="5"/>
  <c r="F73" i="5" s="1"/>
  <c r="G73" i="5" s="1"/>
  <c r="H73" i="5" s="1"/>
  <c r="D73" i="5"/>
  <c r="I73" i="5" s="1"/>
  <c r="B74" i="5"/>
  <c r="D73" i="4"/>
  <c r="I73" i="4" s="1"/>
  <c r="E74" i="4" s="1"/>
  <c r="F74" i="4" s="1"/>
  <c r="G74" i="4" s="1"/>
  <c r="H74" i="4" s="1"/>
  <c r="B74" i="4"/>
  <c r="D73" i="3"/>
  <c r="I73" i="3" s="1"/>
  <c r="E74" i="3" s="1"/>
  <c r="F74" i="3" s="1"/>
  <c r="G74" i="3" s="1"/>
  <c r="B74" i="3"/>
  <c r="D73" i="2"/>
  <c r="I73" i="2" s="1"/>
  <c r="B74" i="2"/>
  <c r="E45" i="1"/>
  <c r="C76" i="1"/>
  <c r="B132" i="1"/>
  <c r="D131" i="1"/>
  <c r="I131" i="1" s="1"/>
  <c r="F192" i="15" l="1"/>
  <c r="G192" i="15" s="1"/>
  <c r="H42" i="10"/>
  <c r="E43" i="10" s="1"/>
  <c r="B75" i="10"/>
  <c r="D74" i="10"/>
  <c r="I74" i="10" s="1"/>
  <c r="H42" i="9"/>
  <c r="E43" i="9" s="1"/>
  <c r="B75" i="9"/>
  <c r="D74" i="9"/>
  <c r="I74" i="9" s="1"/>
  <c r="H42" i="8"/>
  <c r="E43" i="8" s="1"/>
  <c r="D74" i="8"/>
  <c r="I74" i="8" s="1"/>
  <c r="B75" i="8"/>
  <c r="H42" i="7"/>
  <c r="E43" i="7" s="1"/>
  <c r="B75" i="7"/>
  <c r="D74" i="7"/>
  <c r="I74" i="7" s="1"/>
  <c r="H42" i="6"/>
  <c r="E43" i="6" s="1"/>
  <c r="B75" i="6"/>
  <c r="D74" i="6"/>
  <c r="I74" i="6" s="1"/>
  <c r="E74" i="2"/>
  <c r="F74" i="2" s="1"/>
  <c r="G74" i="2" s="1"/>
  <c r="H74" i="2" s="1"/>
  <c r="H74" i="3"/>
  <c r="E74" i="5"/>
  <c r="F74" i="5" s="1"/>
  <c r="G74" i="5" s="1"/>
  <c r="H74" i="5" s="1"/>
  <c r="D74" i="5"/>
  <c r="I74" i="5" s="1"/>
  <c r="B75" i="5"/>
  <c r="D74" i="4"/>
  <c r="I74" i="4" s="1"/>
  <c r="E75" i="4" s="1"/>
  <c r="F75" i="4" s="1"/>
  <c r="G75" i="4" s="1"/>
  <c r="H75" i="4" s="1"/>
  <c r="B75" i="4"/>
  <c r="D74" i="3"/>
  <c r="I74" i="3" s="1"/>
  <c r="B75" i="3"/>
  <c r="D74" i="2"/>
  <c r="I74" i="2" s="1"/>
  <c r="B75" i="2"/>
  <c r="F45" i="1"/>
  <c r="G45" i="1" s="1"/>
  <c r="H45" i="1" s="1"/>
  <c r="B133" i="1"/>
  <c r="D132" i="1"/>
  <c r="I132" i="1" s="1"/>
  <c r="C77" i="1"/>
  <c r="H192" i="15" l="1"/>
  <c r="E193" i="15" s="1"/>
  <c r="B76" i="10"/>
  <c r="D75" i="10"/>
  <c r="I75" i="10" s="1"/>
  <c r="F43" i="10"/>
  <c r="G43" i="10" s="1"/>
  <c r="B76" i="9"/>
  <c r="D75" i="9"/>
  <c r="I75" i="9" s="1"/>
  <c r="F43" i="9"/>
  <c r="G43" i="9" s="1"/>
  <c r="D75" i="8"/>
  <c r="I75" i="8" s="1"/>
  <c r="B76" i="8"/>
  <c r="F43" i="8"/>
  <c r="G43" i="8" s="1"/>
  <c r="B76" i="7"/>
  <c r="D75" i="7"/>
  <c r="I75" i="7" s="1"/>
  <c r="F43" i="7"/>
  <c r="G43" i="7" s="1"/>
  <c r="B76" i="6"/>
  <c r="D75" i="6"/>
  <c r="I75" i="6" s="1"/>
  <c r="F43" i="6"/>
  <c r="G43" i="6" s="1"/>
  <c r="E75" i="2"/>
  <c r="F75" i="2" s="1"/>
  <c r="G75" i="2" s="1"/>
  <c r="H75" i="2" s="1"/>
  <c r="E75" i="3"/>
  <c r="F75" i="3" s="1"/>
  <c r="G75" i="3" s="1"/>
  <c r="H75" i="3" s="1"/>
  <c r="E75" i="5"/>
  <c r="F75" i="5" s="1"/>
  <c r="G75" i="5" s="1"/>
  <c r="H75" i="5" s="1"/>
  <c r="D75" i="5"/>
  <c r="I75" i="5" s="1"/>
  <c r="B76" i="5"/>
  <c r="B76" i="4"/>
  <c r="D75" i="4"/>
  <c r="I75" i="4" s="1"/>
  <c r="E76" i="4" s="1"/>
  <c r="F76" i="4" s="1"/>
  <c r="G76" i="4" s="1"/>
  <c r="H76" i="4" s="1"/>
  <c r="D75" i="3"/>
  <c r="I75" i="3" s="1"/>
  <c r="B76" i="3"/>
  <c r="D75" i="2"/>
  <c r="I75" i="2" s="1"/>
  <c r="B76" i="2"/>
  <c r="E46" i="1"/>
  <c r="C78" i="1"/>
  <c r="B134" i="1"/>
  <c r="D133" i="1"/>
  <c r="I133" i="1" s="1"/>
  <c r="F193" i="15" l="1"/>
  <c r="G193" i="15" s="1"/>
  <c r="H43" i="10"/>
  <c r="E44" i="10" s="1"/>
  <c r="B77" i="10"/>
  <c r="D76" i="10"/>
  <c r="I76" i="10" s="1"/>
  <c r="H43" i="9"/>
  <c r="E44" i="9" s="1"/>
  <c r="B77" i="9"/>
  <c r="D76" i="9"/>
  <c r="I76" i="9" s="1"/>
  <c r="H43" i="8"/>
  <c r="E44" i="8" s="1"/>
  <c r="D76" i="8"/>
  <c r="I76" i="8" s="1"/>
  <c r="B77" i="8"/>
  <c r="H43" i="7"/>
  <c r="E44" i="7" s="1"/>
  <c r="D76" i="7"/>
  <c r="I76" i="7" s="1"/>
  <c r="B77" i="7"/>
  <c r="H43" i="6"/>
  <c r="E44" i="6" s="1"/>
  <c r="E76" i="3"/>
  <c r="F76" i="3" s="1"/>
  <c r="G76" i="3" s="1"/>
  <c r="H76" i="3" s="1"/>
  <c r="B77" i="6"/>
  <c r="D76" i="6"/>
  <c r="I76" i="6" s="1"/>
  <c r="E76" i="2"/>
  <c r="F76" i="2" s="1"/>
  <c r="G76" i="2" s="1"/>
  <c r="H76" i="2" s="1"/>
  <c r="E76" i="5"/>
  <c r="F76" i="5" s="1"/>
  <c r="G76" i="5" s="1"/>
  <c r="H76" i="5" s="1"/>
  <c r="B77" i="5"/>
  <c r="D76" i="5"/>
  <c r="I76" i="5" s="1"/>
  <c r="B77" i="4"/>
  <c r="D76" i="4"/>
  <c r="I76" i="4" s="1"/>
  <c r="E77" i="4" s="1"/>
  <c r="F77" i="4" s="1"/>
  <c r="G77" i="4" s="1"/>
  <c r="H77" i="4" s="1"/>
  <c r="B77" i="3"/>
  <c r="D76" i="3"/>
  <c r="I76" i="3" s="1"/>
  <c r="D76" i="2"/>
  <c r="I76" i="2" s="1"/>
  <c r="B77" i="2"/>
  <c r="F46" i="1"/>
  <c r="G46" i="1" s="1"/>
  <c r="H46" i="1" s="1"/>
  <c r="B135" i="1"/>
  <c r="D134" i="1"/>
  <c r="I134" i="1" s="1"/>
  <c r="C79" i="1"/>
  <c r="H193" i="15" l="1"/>
  <c r="E194" i="15" s="1"/>
  <c r="E77" i="2"/>
  <c r="F77" i="2" s="1"/>
  <c r="G77" i="2" s="1"/>
  <c r="H77" i="2" s="1"/>
  <c r="B78" i="10"/>
  <c r="D77" i="10"/>
  <c r="I77" i="10" s="1"/>
  <c r="F44" i="10"/>
  <c r="G44" i="10" s="1"/>
  <c r="F44" i="9"/>
  <c r="G44" i="9" s="1"/>
  <c r="B78" i="9"/>
  <c r="D77" i="9"/>
  <c r="I77" i="9" s="1"/>
  <c r="D77" i="8"/>
  <c r="I77" i="8" s="1"/>
  <c r="B78" i="8"/>
  <c r="F44" i="8"/>
  <c r="G44" i="8" s="1"/>
  <c r="D77" i="7"/>
  <c r="I77" i="7" s="1"/>
  <c r="B78" i="7"/>
  <c r="F44" i="7"/>
  <c r="G44" i="7" s="1"/>
  <c r="E77" i="3"/>
  <c r="F77" i="3" s="1"/>
  <c r="G77" i="3" s="1"/>
  <c r="H77" i="3" s="1"/>
  <c r="B78" i="6"/>
  <c r="D77" i="6"/>
  <c r="I77" i="6" s="1"/>
  <c r="F44" i="6"/>
  <c r="G44" i="6" s="1"/>
  <c r="E77" i="5"/>
  <c r="F77" i="5" s="1"/>
  <c r="G77" i="5" s="1"/>
  <c r="H77" i="5" s="1"/>
  <c r="B78" i="5"/>
  <c r="D77" i="5"/>
  <c r="I77" i="5" s="1"/>
  <c r="B78" i="4"/>
  <c r="D77" i="4"/>
  <c r="I77" i="4" s="1"/>
  <c r="E78" i="4" s="1"/>
  <c r="F78" i="4" s="1"/>
  <c r="G78" i="4" s="1"/>
  <c r="H78" i="4" s="1"/>
  <c r="B78" i="3"/>
  <c r="D77" i="3"/>
  <c r="I77" i="3" s="1"/>
  <c r="B78" i="2"/>
  <c r="D77" i="2"/>
  <c r="I77" i="2" s="1"/>
  <c r="E47" i="1"/>
  <c r="C80" i="1"/>
  <c r="D135" i="1"/>
  <c r="I135" i="1" s="1"/>
  <c r="B136" i="1"/>
  <c r="F194" i="15" l="1"/>
  <c r="G194" i="15" s="1"/>
  <c r="E78" i="2"/>
  <c r="F78" i="2" s="1"/>
  <c r="G78" i="2" s="1"/>
  <c r="H78" i="2" s="1"/>
  <c r="H44" i="10"/>
  <c r="E45" i="10" s="1"/>
  <c r="B79" i="10"/>
  <c r="D78" i="10"/>
  <c r="I78" i="10" s="1"/>
  <c r="H44" i="9"/>
  <c r="E45" i="9" s="1"/>
  <c r="B79" i="9"/>
  <c r="D78" i="9"/>
  <c r="I78" i="9" s="1"/>
  <c r="H44" i="8"/>
  <c r="E45" i="8" s="1"/>
  <c r="B79" i="8"/>
  <c r="D78" i="8"/>
  <c r="I78" i="8" s="1"/>
  <c r="E78" i="3"/>
  <c r="F78" i="3" s="1"/>
  <c r="G78" i="3" s="1"/>
  <c r="H78" i="3" s="1"/>
  <c r="H44" i="7"/>
  <c r="E45" i="7" s="1"/>
  <c r="D78" i="7"/>
  <c r="I78" i="7" s="1"/>
  <c r="B79" i="7"/>
  <c r="H44" i="6"/>
  <c r="E45" i="6" s="1"/>
  <c r="B79" i="6"/>
  <c r="D78" i="6"/>
  <c r="I78" i="6" s="1"/>
  <c r="E78" i="5"/>
  <c r="F78" i="5" s="1"/>
  <c r="G78" i="5" s="1"/>
  <c r="H78" i="5" s="1"/>
  <c r="B79" i="5"/>
  <c r="D78" i="5"/>
  <c r="I78" i="5" s="1"/>
  <c r="D78" i="4"/>
  <c r="I78" i="4" s="1"/>
  <c r="E79" i="4" s="1"/>
  <c r="F79" i="4" s="1"/>
  <c r="G79" i="4" s="1"/>
  <c r="H79" i="4" s="1"/>
  <c r="B79" i="4"/>
  <c r="D78" i="3"/>
  <c r="I78" i="3" s="1"/>
  <c r="B79" i="3"/>
  <c r="B79" i="2"/>
  <c r="D78" i="2"/>
  <c r="I78" i="2" s="1"/>
  <c r="F47" i="1"/>
  <c r="G47" i="1" s="1"/>
  <c r="H47" i="1" s="1"/>
  <c r="B137" i="1"/>
  <c r="D136" i="1"/>
  <c r="I136" i="1" s="1"/>
  <c r="C81" i="1"/>
  <c r="H194" i="15" l="1"/>
  <c r="E195" i="15" s="1"/>
  <c r="E79" i="2"/>
  <c r="F79" i="2" s="1"/>
  <c r="G79" i="2" s="1"/>
  <c r="H79" i="2" s="1"/>
  <c r="E79" i="3"/>
  <c r="F79" i="3" s="1"/>
  <c r="G79" i="3" s="1"/>
  <c r="H79" i="3" s="1"/>
  <c r="B80" i="10"/>
  <c r="D79" i="10"/>
  <c r="I79" i="10" s="1"/>
  <c r="F45" i="10"/>
  <c r="G45" i="10" s="1"/>
  <c r="B80" i="9"/>
  <c r="D79" i="9"/>
  <c r="I79" i="9" s="1"/>
  <c r="F45" i="9"/>
  <c r="G45" i="9" s="1"/>
  <c r="D79" i="8"/>
  <c r="I79" i="8" s="1"/>
  <c r="B80" i="8"/>
  <c r="F45" i="8"/>
  <c r="G45" i="8" s="1"/>
  <c r="B80" i="7"/>
  <c r="D79" i="7"/>
  <c r="I79" i="7" s="1"/>
  <c r="F45" i="7"/>
  <c r="G45" i="7" s="1"/>
  <c r="B80" i="6"/>
  <c r="D79" i="6"/>
  <c r="I79" i="6" s="1"/>
  <c r="F45" i="6"/>
  <c r="G45" i="6" s="1"/>
  <c r="E79" i="5"/>
  <c r="F79" i="5" s="1"/>
  <c r="G79" i="5" s="1"/>
  <c r="H79" i="5" s="1"/>
  <c r="B80" i="5"/>
  <c r="D79" i="5"/>
  <c r="I79" i="5" s="1"/>
  <c r="D79" i="4"/>
  <c r="I79" i="4" s="1"/>
  <c r="E80" i="4" s="1"/>
  <c r="F80" i="4" s="1"/>
  <c r="G80" i="4" s="1"/>
  <c r="H80" i="4" s="1"/>
  <c r="B80" i="4"/>
  <c r="B80" i="3"/>
  <c r="D79" i="3"/>
  <c r="I79" i="3" s="1"/>
  <c r="D79" i="2"/>
  <c r="I79" i="2" s="1"/>
  <c r="B80" i="2"/>
  <c r="E48" i="1"/>
  <c r="F48" i="1" s="1"/>
  <c r="G48" i="1" s="1"/>
  <c r="H48" i="1" s="1"/>
  <c r="C82" i="1"/>
  <c r="D137" i="1"/>
  <c r="I137" i="1" s="1"/>
  <c r="B138" i="1"/>
  <c r="E80" i="2" l="1"/>
  <c r="F80" i="2" s="1"/>
  <c r="G80" i="2" s="1"/>
  <c r="H80" i="2" s="1"/>
  <c r="F195" i="15"/>
  <c r="F5" i="15" s="1"/>
  <c r="E80" i="3"/>
  <c r="F80" i="3" s="1"/>
  <c r="G80" i="3" s="1"/>
  <c r="H80" i="3" s="1"/>
  <c r="H45" i="10"/>
  <c r="E46" i="10" s="1"/>
  <c r="B81" i="10"/>
  <c r="D80" i="10"/>
  <c r="I80" i="10" s="1"/>
  <c r="H45" i="9"/>
  <c r="E46" i="9" s="1"/>
  <c r="B81" i="9"/>
  <c r="D80" i="9"/>
  <c r="I80" i="9" s="1"/>
  <c r="H45" i="8"/>
  <c r="E46" i="8" s="1"/>
  <c r="B81" i="8"/>
  <c r="D80" i="8"/>
  <c r="I80" i="8" s="1"/>
  <c r="H45" i="7"/>
  <c r="E46" i="7" s="1"/>
  <c r="B81" i="7"/>
  <c r="D80" i="7"/>
  <c r="I80" i="7" s="1"/>
  <c r="H45" i="6"/>
  <c r="E46" i="6" s="1"/>
  <c r="B81" i="6"/>
  <c r="D80" i="6"/>
  <c r="I80" i="6" s="1"/>
  <c r="E80" i="5"/>
  <c r="F80" i="5" s="1"/>
  <c r="G80" i="5" s="1"/>
  <c r="H80" i="5" s="1"/>
  <c r="B81" i="5"/>
  <c r="D80" i="5"/>
  <c r="I80" i="5" s="1"/>
  <c r="D80" i="4"/>
  <c r="I80" i="4" s="1"/>
  <c r="E81" i="4" s="1"/>
  <c r="F81" i="4" s="1"/>
  <c r="G81" i="4" s="1"/>
  <c r="H81" i="4" s="1"/>
  <c r="B81" i="4"/>
  <c r="D80" i="3"/>
  <c r="I80" i="3" s="1"/>
  <c r="B81" i="3"/>
  <c r="D80" i="2"/>
  <c r="I80" i="2" s="1"/>
  <c r="E81" i="2" s="1"/>
  <c r="F81" i="2" s="1"/>
  <c r="G81" i="2" s="1"/>
  <c r="B81" i="2"/>
  <c r="E49" i="1"/>
  <c r="F49" i="1" s="1"/>
  <c r="G49" i="1" s="1"/>
  <c r="H49" i="1" s="1"/>
  <c r="B139" i="1"/>
  <c r="D138" i="1"/>
  <c r="I138" i="1" s="1"/>
  <c r="C83" i="1"/>
  <c r="I2" i="15" l="1"/>
  <c r="G195" i="15"/>
  <c r="E81" i="3"/>
  <c r="F81" i="3" s="1"/>
  <c r="G81" i="3" s="1"/>
  <c r="H81" i="3" s="1"/>
  <c r="B82" i="10"/>
  <c r="D81" i="10"/>
  <c r="I81" i="10" s="1"/>
  <c r="F46" i="10"/>
  <c r="G46" i="10" s="1"/>
  <c r="B82" i="9"/>
  <c r="D81" i="9"/>
  <c r="I81" i="9" s="1"/>
  <c r="F46" i="9"/>
  <c r="G46" i="9" s="1"/>
  <c r="B82" i="8"/>
  <c r="D81" i="8"/>
  <c r="I81" i="8" s="1"/>
  <c r="F46" i="8"/>
  <c r="G46" i="8" s="1"/>
  <c r="D81" i="7"/>
  <c r="I81" i="7" s="1"/>
  <c r="B82" i="7"/>
  <c r="F46" i="7"/>
  <c r="G46" i="7" s="1"/>
  <c r="B82" i="6"/>
  <c r="D81" i="6"/>
  <c r="I81" i="6" s="1"/>
  <c r="F46" i="6"/>
  <c r="G46" i="6" s="1"/>
  <c r="H81" i="2"/>
  <c r="E81" i="5"/>
  <c r="F81" i="5" s="1"/>
  <c r="G81" i="5" s="1"/>
  <c r="H81" i="5" s="1"/>
  <c r="D81" i="5"/>
  <c r="I81" i="5" s="1"/>
  <c r="B82" i="5"/>
  <c r="D81" i="4"/>
  <c r="I81" i="4" s="1"/>
  <c r="E82" i="4" s="1"/>
  <c r="F82" i="4" s="1"/>
  <c r="G82" i="4" s="1"/>
  <c r="H82" i="4" s="1"/>
  <c r="B82" i="4"/>
  <c r="B82" i="3"/>
  <c r="D81" i="3"/>
  <c r="I81" i="3" s="1"/>
  <c r="B82" i="2"/>
  <c r="D81" i="2"/>
  <c r="I81" i="2" s="1"/>
  <c r="E50" i="1"/>
  <c r="F50" i="1" s="1"/>
  <c r="G50" i="1" s="1"/>
  <c r="H50" i="1" s="1"/>
  <c r="C84" i="1"/>
  <c r="B140" i="1"/>
  <c r="D139" i="1"/>
  <c r="I139" i="1" s="1"/>
  <c r="H195" i="15" l="1"/>
  <c r="F3" i="15" s="1"/>
  <c r="G196" i="15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E7" i="15" s="1"/>
  <c r="E82" i="3"/>
  <c r="F82" i="3" s="1"/>
  <c r="G82" i="3" s="1"/>
  <c r="H82" i="3" s="1"/>
  <c r="E82" i="2"/>
  <c r="F82" i="2" s="1"/>
  <c r="G82" i="2" s="1"/>
  <c r="H82" i="2" s="1"/>
  <c r="H46" i="10"/>
  <c r="E47" i="10" s="1"/>
  <c r="B83" i="10"/>
  <c r="D82" i="10"/>
  <c r="I82" i="10" s="1"/>
  <c r="H46" i="9"/>
  <c r="E47" i="9" s="1"/>
  <c r="B83" i="9"/>
  <c r="D82" i="9"/>
  <c r="I82" i="9" s="1"/>
  <c r="H46" i="8"/>
  <c r="E47" i="8" s="1"/>
  <c r="D82" i="8"/>
  <c r="I82" i="8" s="1"/>
  <c r="B83" i="8"/>
  <c r="H46" i="7"/>
  <c r="E47" i="7" s="1"/>
  <c r="D82" i="7"/>
  <c r="I82" i="7" s="1"/>
  <c r="B83" i="7"/>
  <c r="H46" i="6"/>
  <c r="E47" i="6" s="1"/>
  <c r="B83" i="6"/>
  <c r="D82" i="6"/>
  <c r="I82" i="6" s="1"/>
  <c r="E82" i="5"/>
  <c r="F82" i="5" s="1"/>
  <c r="G82" i="5" s="1"/>
  <c r="H82" i="5" s="1"/>
  <c r="D82" i="5"/>
  <c r="I82" i="5" s="1"/>
  <c r="B83" i="5"/>
  <c r="D82" i="4"/>
  <c r="I82" i="4" s="1"/>
  <c r="E83" i="4" s="1"/>
  <c r="F83" i="4" s="1"/>
  <c r="G83" i="4" s="1"/>
  <c r="H83" i="4" s="1"/>
  <c r="B83" i="4"/>
  <c r="D82" i="3"/>
  <c r="I82" i="3" s="1"/>
  <c r="B83" i="3"/>
  <c r="D82" i="2"/>
  <c r="I82" i="2" s="1"/>
  <c r="B83" i="2"/>
  <c r="E51" i="1"/>
  <c r="F51" i="1" s="1"/>
  <c r="G51" i="1" s="1"/>
  <c r="H51" i="1" s="1"/>
  <c r="C85" i="1"/>
  <c r="B141" i="1"/>
  <c r="D140" i="1"/>
  <c r="I140" i="1" s="1"/>
  <c r="E83" i="3" l="1"/>
  <c r="F83" i="3" s="1"/>
  <c r="G83" i="3" s="1"/>
  <c r="H83" i="3" s="1"/>
  <c r="C3" i="15"/>
  <c r="E83" i="2"/>
  <c r="F83" i="2" s="1"/>
  <c r="G83" i="2" s="1"/>
  <c r="H83" i="2" s="1"/>
  <c r="B84" i="10"/>
  <c r="D83" i="10"/>
  <c r="I83" i="10" s="1"/>
  <c r="F47" i="10"/>
  <c r="G47" i="10" s="1"/>
  <c r="B84" i="9"/>
  <c r="D83" i="9"/>
  <c r="I83" i="9" s="1"/>
  <c r="F47" i="9"/>
  <c r="G47" i="9" s="1"/>
  <c r="D83" i="8"/>
  <c r="I83" i="8" s="1"/>
  <c r="B84" i="8"/>
  <c r="F47" i="8"/>
  <c r="G47" i="8" s="1"/>
  <c r="B84" i="7"/>
  <c r="D83" i="7"/>
  <c r="I83" i="7" s="1"/>
  <c r="F47" i="7"/>
  <c r="G47" i="7" s="1"/>
  <c r="B84" i="6"/>
  <c r="D83" i="6"/>
  <c r="I83" i="6" s="1"/>
  <c r="F47" i="6"/>
  <c r="G47" i="6" s="1"/>
  <c r="E83" i="5"/>
  <c r="F83" i="5" s="1"/>
  <c r="G83" i="5" s="1"/>
  <c r="H83" i="5" s="1"/>
  <c r="D83" i="5"/>
  <c r="I83" i="5" s="1"/>
  <c r="B84" i="5"/>
  <c r="B84" i="4"/>
  <c r="D83" i="4"/>
  <c r="I83" i="4" s="1"/>
  <c r="E84" i="4" s="1"/>
  <c r="F84" i="4" s="1"/>
  <c r="G84" i="4" s="1"/>
  <c r="H84" i="4" s="1"/>
  <c r="D83" i="3"/>
  <c r="I83" i="3" s="1"/>
  <c r="B84" i="3"/>
  <c r="B84" i="2"/>
  <c r="D83" i="2"/>
  <c r="I83" i="2" s="1"/>
  <c r="E52" i="1"/>
  <c r="C86" i="1"/>
  <c r="B142" i="1"/>
  <c r="D141" i="1"/>
  <c r="I141" i="1" s="1"/>
  <c r="E84" i="3" l="1"/>
  <c r="F84" i="3" s="1"/>
  <c r="G84" i="3" s="1"/>
  <c r="H84" i="3" s="1"/>
  <c r="H47" i="10"/>
  <c r="E48" i="10" s="1"/>
  <c r="B85" i="10"/>
  <c r="D84" i="10"/>
  <c r="I84" i="10" s="1"/>
  <c r="H47" i="9"/>
  <c r="E48" i="9" s="1"/>
  <c r="B85" i="9"/>
  <c r="D84" i="9"/>
  <c r="I84" i="9" s="1"/>
  <c r="H47" i="8"/>
  <c r="E48" i="8" s="1"/>
  <c r="D84" i="8"/>
  <c r="I84" i="8" s="1"/>
  <c r="B85" i="8"/>
  <c r="H47" i="7"/>
  <c r="E48" i="7" s="1"/>
  <c r="B85" i="7"/>
  <c r="D84" i="7"/>
  <c r="I84" i="7" s="1"/>
  <c r="H47" i="6"/>
  <c r="E48" i="6" s="1"/>
  <c r="B85" i="6"/>
  <c r="D84" i="6"/>
  <c r="I84" i="6" s="1"/>
  <c r="E84" i="2"/>
  <c r="F84" i="2" s="1"/>
  <c r="G84" i="2" s="1"/>
  <c r="H84" i="2" s="1"/>
  <c r="E84" i="5"/>
  <c r="F84" i="5" s="1"/>
  <c r="G84" i="5" s="1"/>
  <c r="H84" i="5" s="1"/>
  <c r="B85" i="5"/>
  <c r="D84" i="5"/>
  <c r="I84" i="5" s="1"/>
  <c r="B85" i="4"/>
  <c r="D84" i="4"/>
  <c r="I84" i="4" s="1"/>
  <c r="E85" i="4" s="1"/>
  <c r="F85" i="4" s="1"/>
  <c r="G85" i="4" s="1"/>
  <c r="H85" i="4" s="1"/>
  <c r="B85" i="3"/>
  <c r="D84" i="3"/>
  <c r="I84" i="3" s="1"/>
  <c r="B85" i="2"/>
  <c r="D84" i="2"/>
  <c r="I84" i="2" s="1"/>
  <c r="F52" i="1"/>
  <c r="G52" i="1" s="1"/>
  <c r="H52" i="1" s="1"/>
  <c r="B143" i="1"/>
  <c r="D142" i="1"/>
  <c r="I142" i="1" s="1"/>
  <c r="C87" i="1"/>
  <c r="E85" i="3" l="1"/>
  <c r="F85" i="3" s="1"/>
  <c r="G85" i="3" s="1"/>
  <c r="H85" i="3" s="1"/>
  <c r="E85" i="2"/>
  <c r="F85" i="2" s="1"/>
  <c r="G85" i="2" s="1"/>
  <c r="H85" i="2" s="1"/>
  <c r="F48" i="10"/>
  <c r="G48" i="10" s="1"/>
  <c r="B86" i="10"/>
  <c r="D85" i="10"/>
  <c r="I85" i="10" s="1"/>
  <c r="B86" i="9"/>
  <c r="D85" i="9"/>
  <c r="I85" i="9" s="1"/>
  <c r="F48" i="9"/>
  <c r="G48" i="9" s="1"/>
  <c r="D85" i="8"/>
  <c r="I85" i="8" s="1"/>
  <c r="B86" i="8"/>
  <c r="F48" i="8"/>
  <c r="G48" i="8" s="1"/>
  <c r="B86" i="7"/>
  <c r="D85" i="7"/>
  <c r="I85" i="7" s="1"/>
  <c r="F48" i="7"/>
  <c r="G48" i="7" s="1"/>
  <c r="B86" i="6"/>
  <c r="D85" i="6"/>
  <c r="I85" i="6" s="1"/>
  <c r="F48" i="6"/>
  <c r="G48" i="6" s="1"/>
  <c r="E85" i="5"/>
  <c r="F85" i="5" s="1"/>
  <c r="G85" i="5" s="1"/>
  <c r="H85" i="5" s="1"/>
  <c r="B86" i="5"/>
  <c r="D85" i="5"/>
  <c r="I85" i="5" s="1"/>
  <c r="B86" i="4"/>
  <c r="D85" i="4"/>
  <c r="I85" i="4" s="1"/>
  <c r="E86" i="4" s="1"/>
  <c r="F86" i="4" s="1"/>
  <c r="G86" i="4" s="1"/>
  <c r="H86" i="4" s="1"/>
  <c r="B86" i="3"/>
  <c r="D85" i="3"/>
  <c r="I85" i="3" s="1"/>
  <c r="B86" i="2"/>
  <c r="D85" i="2"/>
  <c r="I85" i="2" s="1"/>
  <c r="E53" i="1"/>
  <c r="F53" i="1" s="1"/>
  <c r="C88" i="1"/>
  <c r="D143" i="1"/>
  <c r="I143" i="1" s="1"/>
  <c r="B144" i="1"/>
  <c r="E86" i="3" l="1"/>
  <c r="F86" i="3" s="1"/>
  <c r="G86" i="3" s="1"/>
  <c r="H86" i="3" s="1"/>
  <c r="E86" i="2"/>
  <c r="F86" i="2" s="1"/>
  <c r="G86" i="2" s="1"/>
  <c r="H86" i="2" s="1"/>
  <c r="H48" i="10"/>
  <c r="E49" i="10" s="1"/>
  <c r="B87" i="10"/>
  <c r="D86" i="10"/>
  <c r="I86" i="10" s="1"/>
  <c r="H48" i="9"/>
  <c r="E49" i="9" s="1"/>
  <c r="B87" i="9"/>
  <c r="D86" i="9"/>
  <c r="I86" i="9" s="1"/>
  <c r="H48" i="8"/>
  <c r="E49" i="8" s="1"/>
  <c r="D86" i="8"/>
  <c r="I86" i="8" s="1"/>
  <c r="B87" i="8"/>
  <c r="H48" i="7"/>
  <c r="E49" i="7" s="1"/>
  <c r="B87" i="7"/>
  <c r="D86" i="7"/>
  <c r="I86" i="7" s="1"/>
  <c r="H48" i="6"/>
  <c r="E49" i="6" s="1"/>
  <c r="B87" i="6"/>
  <c r="D86" i="6"/>
  <c r="I86" i="6" s="1"/>
  <c r="E86" i="5"/>
  <c r="F86" i="5" s="1"/>
  <c r="G86" i="5" s="1"/>
  <c r="H86" i="5" s="1"/>
  <c r="B87" i="5"/>
  <c r="D86" i="5"/>
  <c r="I86" i="5" s="1"/>
  <c r="D86" i="4"/>
  <c r="I86" i="4" s="1"/>
  <c r="E87" i="4" s="1"/>
  <c r="F87" i="4" s="1"/>
  <c r="G87" i="4" s="1"/>
  <c r="H87" i="4" s="1"/>
  <c r="B87" i="4"/>
  <c r="D86" i="3"/>
  <c r="I86" i="3" s="1"/>
  <c r="E87" i="3" s="1"/>
  <c r="F87" i="3" s="1"/>
  <c r="G87" i="3" s="1"/>
  <c r="H87" i="3" s="1"/>
  <c r="B87" i="3"/>
  <c r="G53" i="1"/>
  <c r="H53" i="1" s="1"/>
  <c r="F3" i="1" s="1"/>
  <c r="F5" i="1"/>
  <c r="B87" i="2"/>
  <c r="D86" i="2"/>
  <c r="I86" i="2" s="1"/>
  <c r="B145" i="1"/>
  <c r="D144" i="1"/>
  <c r="I144" i="1" s="1"/>
  <c r="C89" i="1"/>
  <c r="E87" i="2" l="1"/>
  <c r="F87" i="2" s="1"/>
  <c r="G87" i="2" s="1"/>
  <c r="B88" i="10"/>
  <c r="D87" i="10"/>
  <c r="I87" i="10" s="1"/>
  <c r="F49" i="10"/>
  <c r="G49" i="10" s="1"/>
  <c r="B88" i="9"/>
  <c r="D87" i="9"/>
  <c r="I87" i="9" s="1"/>
  <c r="F49" i="9"/>
  <c r="G49" i="9" s="1"/>
  <c r="D87" i="8"/>
  <c r="I87" i="8" s="1"/>
  <c r="B88" i="8"/>
  <c r="F49" i="8"/>
  <c r="G49" i="8" s="1"/>
  <c r="B88" i="7"/>
  <c r="D87" i="7"/>
  <c r="I87" i="7" s="1"/>
  <c r="F49" i="7"/>
  <c r="G49" i="7" s="1"/>
  <c r="B88" i="6"/>
  <c r="D87" i="6"/>
  <c r="I87" i="6" s="1"/>
  <c r="F49" i="6"/>
  <c r="G49" i="6" s="1"/>
  <c r="H87" i="2"/>
  <c r="E87" i="5"/>
  <c r="F87" i="5" s="1"/>
  <c r="G87" i="5" s="1"/>
  <c r="H87" i="5" s="1"/>
  <c r="B88" i="5"/>
  <c r="D87" i="5"/>
  <c r="I87" i="5" s="1"/>
  <c r="D87" i="4"/>
  <c r="I87" i="4" s="1"/>
  <c r="E88" i="4" s="1"/>
  <c r="F88" i="4" s="1"/>
  <c r="G88" i="4" s="1"/>
  <c r="H88" i="4" s="1"/>
  <c r="B88" i="4"/>
  <c r="G54" i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E7" i="1" s="1"/>
  <c r="B88" i="3"/>
  <c r="D87" i="3"/>
  <c r="I87" i="3" s="1"/>
  <c r="E88" i="3" s="1"/>
  <c r="F88" i="3" s="1"/>
  <c r="G88" i="3" s="1"/>
  <c r="H88" i="3" s="1"/>
  <c r="D87" i="2"/>
  <c r="I87" i="2" s="1"/>
  <c r="B88" i="2"/>
  <c r="C90" i="1"/>
  <c r="D145" i="1"/>
  <c r="I145" i="1" s="1"/>
  <c r="B146" i="1"/>
  <c r="E88" i="2" l="1"/>
  <c r="F88" i="2" s="1"/>
  <c r="G88" i="2" s="1"/>
  <c r="H88" i="2" s="1"/>
  <c r="H49" i="10"/>
  <c r="E50" i="10" s="1"/>
  <c r="B89" i="10"/>
  <c r="D88" i="10"/>
  <c r="I88" i="10" s="1"/>
  <c r="H49" i="9"/>
  <c r="E50" i="9" s="1"/>
  <c r="B89" i="9"/>
  <c r="D88" i="9"/>
  <c r="I88" i="9" s="1"/>
  <c r="H49" i="8"/>
  <c r="E50" i="8" s="1"/>
  <c r="D88" i="8"/>
  <c r="I88" i="8" s="1"/>
  <c r="B89" i="8"/>
  <c r="H49" i="7"/>
  <c r="E50" i="7" s="1"/>
  <c r="B89" i="7"/>
  <c r="D88" i="7"/>
  <c r="I88" i="7" s="1"/>
  <c r="H49" i="6"/>
  <c r="E50" i="6" s="1"/>
  <c r="B89" i="6"/>
  <c r="D88" i="6"/>
  <c r="I88" i="6" s="1"/>
  <c r="E88" i="5"/>
  <c r="F88" i="5" s="1"/>
  <c r="G88" i="5" s="1"/>
  <c r="H88" i="5" s="1"/>
  <c r="B89" i="5"/>
  <c r="D88" i="5"/>
  <c r="I88" i="5" s="1"/>
  <c r="D88" i="4"/>
  <c r="I88" i="4" s="1"/>
  <c r="E89" i="4" s="1"/>
  <c r="F89" i="4" s="1"/>
  <c r="G89" i="4" s="1"/>
  <c r="H89" i="4" s="1"/>
  <c r="B89" i="4"/>
  <c r="D88" i="3"/>
  <c r="I88" i="3" s="1"/>
  <c r="E89" i="3" s="1"/>
  <c r="F89" i="3" s="1"/>
  <c r="G89" i="3" s="1"/>
  <c r="H89" i="3" s="1"/>
  <c r="B89" i="3"/>
  <c r="D88" i="2"/>
  <c r="I88" i="2" s="1"/>
  <c r="B89" i="2"/>
  <c r="B147" i="1"/>
  <c r="D146" i="1"/>
  <c r="I146" i="1" s="1"/>
  <c r="C91" i="1"/>
  <c r="E89" i="2" l="1"/>
  <c r="F89" i="2" s="1"/>
  <c r="G89" i="2" s="1"/>
  <c r="B90" i="10"/>
  <c r="D89" i="10"/>
  <c r="I89" i="10" s="1"/>
  <c r="F50" i="10"/>
  <c r="G50" i="10" s="1"/>
  <c r="B90" i="9"/>
  <c r="D89" i="9"/>
  <c r="I89" i="9" s="1"/>
  <c r="F50" i="9"/>
  <c r="G50" i="9" s="1"/>
  <c r="D89" i="8"/>
  <c r="I89" i="8" s="1"/>
  <c r="B90" i="8"/>
  <c r="F50" i="8"/>
  <c r="G50" i="8" s="1"/>
  <c r="B90" i="7"/>
  <c r="D89" i="7"/>
  <c r="I89" i="7" s="1"/>
  <c r="F50" i="7"/>
  <c r="G50" i="7" s="1"/>
  <c r="D89" i="6"/>
  <c r="I89" i="6" s="1"/>
  <c r="B90" i="6"/>
  <c r="F50" i="6"/>
  <c r="G50" i="6" s="1"/>
  <c r="H89" i="2"/>
  <c r="E89" i="5"/>
  <c r="F89" i="5" s="1"/>
  <c r="G89" i="5" s="1"/>
  <c r="H89" i="5" s="1"/>
  <c r="D89" i="5"/>
  <c r="I89" i="5" s="1"/>
  <c r="B90" i="5"/>
  <c r="D89" i="4"/>
  <c r="I89" i="4" s="1"/>
  <c r="E90" i="4" s="1"/>
  <c r="F90" i="4" s="1"/>
  <c r="G90" i="4" s="1"/>
  <c r="H90" i="4" s="1"/>
  <c r="B90" i="4"/>
  <c r="D89" i="3"/>
  <c r="I89" i="3" s="1"/>
  <c r="E90" i="3" s="1"/>
  <c r="F90" i="3" s="1"/>
  <c r="G90" i="3" s="1"/>
  <c r="H90" i="3" s="1"/>
  <c r="B90" i="3"/>
  <c r="D89" i="2"/>
  <c r="I89" i="2" s="1"/>
  <c r="B90" i="2"/>
  <c r="C92" i="1"/>
  <c r="B148" i="1"/>
  <c r="D147" i="1"/>
  <c r="I147" i="1" s="1"/>
  <c r="E90" i="2" l="1"/>
  <c r="F90" i="2" s="1"/>
  <c r="G90" i="2" s="1"/>
  <c r="H90" i="2" s="1"/>
  <c r="H50" i="10"/>
  <c r="E51" i="10" s="1"/>
  <c r="B91" i="10"/>
  <c r="D90" i="10"/>
  <c r="I90" i="10" s="1"/>
  <c r="H50" i="9"/>
  <c r="E51" i="9" s="1"/>
  <c r="B91" i="9"/>
  <c r="D90" i="9"/>
  <c r="I90" i="9" s="1"/>
  <c r="H50" i="8"/>
  <c r="E51" i="8" s="1"/>
  <c r="D90" i="8"/>
  <c r="I90" i="8" s="1"/>
  <c r="B91" i="8"/>
  <c r="H50" i="7"/>
  <c r="E51" i="7" s="1"/>
  <c r="B91" i="7"/>
  <c r="D90" i="7"/>
  <c r="I90" i="7" s="1"/>
  <c r="H50" i="6"/>
  <c r="E51" i="6" s="1"/>
  <c r="D90" i="6"/>
  <c r="I90" i="6" s="1"/>
  <c r="B91" i="6"/>
  <c r="E90" i="5"/>
  <c r="F90" i="5" s="1"/>
  <c r="G90" i="5" s="1"/>
  <c r="H90" i="5" s="1"/>
  <c r="D90" i="5"/>
  <c r="I90" i="5" s="1"/>
  <c r="B91" i="5"/>
  <c r="D90" i="4"/>
  <c r="I90" i="4" s="1"/>
  <c r="E91" i="4" s="1"/>
  <c r="F91" i="4" s="1"/>
  <c r="G91" i="4" s="1"/>
  <c r="H91" i="4" s="1"/>
  <c r="B91" i="4"/>
  <c r="D90" i="3"/>
  <c r="I90" i="3" s="1"/>
  <c r="E91" i="3" s="1"/>
  <c r="F91" i="3" s="1"/>
  <c r="G91" i="3" s="1"/>
  <c r="H91" i="3" s="1"/>
  <c r="B91" i="3"/>
  <c r="D90" i="2"/>
  <c r="I90" i="2" s="1"/>
  <c r="B91" i="2"/>
  <c r="B149" i="1"/>
  <c r="D148" i="1"/>
  <c r="I148" i="1" s="1"/>
  <c r="C93" i="1"/>
  <c r="E91" i="2" l="1"/>
  <c r="F91" i="2" s="1"/>
  <c r="G91" i="2" s="1"/>
  <c r="H91" i="2" s="1"/>
  <c r="B92" i="10"/>
  <c r="D91" i="10"/>
  <c r="I91" i="10" s="1"/>
  <c r="F51" i="10"/>
  <c r="G51" i="10" s="1"/>
  <c r="B92" i="9"/>
  <c r="D91" i="9"/>
  <c r="I91" i="9" s="1"/>
  <c r="F51" i="9"/>
  <c r="G51" i="9" s="1"/>
  <c r="D91" i="8"/>
  <c r="I91" i="8" s="1"/>
  <c r="B92" i="8"/>
  <c r="F51" i="8"/>
  <c r="G51" i="8" s="1"/>
  <c r="B92" i="7"/>
  <c r="D91" i="7"/>
  <c r="I91" i="7" s="1"/>
  <c r="F51" i="7"/>
  <c r="G51" i="7" s="1"/>
  <c r="D91" i="6"/>
  <c r="I91" i="6" s="1"/>
  <c r="B92" i="6"/>
  <c r="F51" i="6"/>
  <c r="G51" i="6" s="1"/>
  <c r="E91" i="5"/>
  <c r="F91" i="5" s="1"/>
  <c r="G91" i="5" s="1"/>
  <c r="H91" i="5" s="1"/>
  <c r="D91" i="5"/>
  <c r="I91" i="5" s="1"/>
  <c r="B92" i="5"/>
  <c r="B92" i="4"/>
  <c r="D91" i="4"/>
  <c r="I91" i="4" s="1"/>
  <c r="E92" i="4" s="1"/>
  <c r="F92" i="4" s="1"/>
  <c r="G92" i="4" s="1"/>
  <c r="H92" i="4" s="1"/>
  <c r="D91" i="3"/>
  <c r="I91" i="3" s="1"/>
  <c r="E92" i="3" s="1"/>
  <c r="F92" i="3" s="1"/>
  <c r="G92" i="3" s="1"/>
  <c r="H92" i="3" s="1"/>
  <c r="B92" i="3"/>
  <c r="B92" i="2"/>
  <c r="D91" i="2"/>
  <c r="I91" i="2" s="1"/>
  <c r="E92" i="2" s="1"/>
  <c r="F92" i="2" s="1"/>
  <c r="G92" i="2" s="1"/>
  <c r="C94" i="1"/>
  <c r="B150" i="1"/>
  <c r="D149" i="1"/>
  <c r="I149" i="1" s="1"/>
  <c r="H51" i="10" l="1"/>
  <c r="E52" i="10" s="1"/>
  <c r="B93" i="10"/>
  <c r="D92" i="10"/>
  <c r="I92" i="10" s="1"/>
  <c r="H51" i="9"/>
  <c r="E52" i="9" s="1"/>
  <c r="B93" i="9"/>
  <c r="D92" i="9"/>
  <c r="I92" i="9" s="1"/>
  <c r="H51" i="8"/>
  <c r="E52" i="8" s="1"/>
  <c r="D92" i="8"/>
  <c r="I92" i="8" s="1"/>
  <c r="B93" i="8"/>
  <c r="H51" i="7"/>
  <c r="E52" i="7" s="1"/>
  <c r="B93" i="7"/>
  <c r="D92" i="7"/>
  <c r="I92" i="7" s="1"/>
  <c r="H51" i="6"/>
  <c r="E52" i="6" s="1"/>
  <c r="D92" i="6"/>
  <c r="I92" i="6" s="1"/>
  <c r="B93" i="6"/>
  <c r="H92" i="2"/>
  <c r="E92" i="5"/>
  <c r="F92" i="5" s="1"/>
  <c r="G92" i="5" s="1"/>
  <c r="H92" i="5" s="1"/>
  <c r="D92" i="5"/>
  <c r="I92" i="5" s="1"/>
  <c r="B93" i="5"/>
  <c r="B93" i="4"/>
  <c r="D92" i="4"/>
  <c r="I92" i="4" s="1"/>
  <c r="E93" i="4" s="1"/>
  <c r="F93" i="4" s="1"/>
  <c r="G93" i="4" s="1"/>
  <c r="H93" i="4" s="1"/>
  <c r="B93" i="3"/>
  <c r="D92" i="3"/>
  <c r="I92" i="3" s="1"/>
  <c r="E93" i="3" s="1"/>
  <c r="F93" i="3" s="1"/>
  <c r="G93" i="3" s="1"/>
  <c r="H93" i="3" s="1"/>
  <c r="B93" i="2"/>
  <c r="D92" i="2"/>
  <c r="I92" i="2" s="1"/>
  <c r="B151" i="1"/>
  <c r="D150" i="1"/>
  <c r="I150" i="1" s="1"/>
  <c r="C95" i="1"/>
  <c r="B94" i="10" l="1"/>
  <c r="D93" i="10"/>
  <c r="I93" i="10" s="1"/>
  <c r="F52" i="10"/>
  <c r="G52" i="10" s="1"/>
  <c r="B94" i="9"/>
  <c r="D93" i="9"/>
  <c r="I93" i="9" s="1"/>
  <c r="F52" i="9"/>
  <c r="G52" i="9" s="1"/>
  <c r="D93" i="8"/>
  <c r="I93" i="8" s="1"/>
  <c r="B94" i="8"/>
  <c r="F52" i="8"/>
  <c r="G52" i="8" s="1"/>
  <c r="B94" i="7"/>
  <c r="D93" i="7"/>
  <c r="I93" i="7" s="1"/>
  <c r="F52" i="7"/>
  <c r="G52" i="7" s="1"/>
  <c r="D93" i="6"/>
  <c r="I93" i="6" s="1"/>
  <c r="B94" i="6"/>
  <c r="F52" i="6"/>
  <c r="G52" i="6" s="1"/>
  <c r="E93" i="2"/>
  <c r="F93" i="2" s="1"/>
  <c r="G93" i="2" s="1"/>
  <c r="H93" i="2" s="1"/>
  <c r="E93" i="5"/>
  <c r="F93" i="5" s="1"/>
  <c r="G93" i="5" s="1"/>
  <c r="H93" i="5" s="1"/>
  <c r="B94" i="5"/>
  <c r="D93" i="5"/>
  <c r="I93" i="5" s="1"/>
  <c r="B94" i="4"/>
  <c r="D93" i="4"/>
  <c r="I93" i="4" s="1"/>
  <c r="E94" i="4" s="1"/>
  <c r="F94" i="4" s="1"/>
  <c r="G94" i="4" s="1"/>
  <c r="H94" i="4" s="1"/>
  <c r="B94" i="3"/>
  <c r="D93" i="3"/>
  <c r="I93" i="3" s="1"/>
  <c r="E94" i="3" s="1"/>
  <c r="F94" i="3" s="1"/>
  <c r="G94" i="3" s="1"/>
  <c r="H94" i="3" s="1"/>
  <c r="B94" i="2"/>
  <c r="D93" i="2"/>
  <c r="I93" i="2" s="1"/>
  <c r="C96" i="1"/>
  <c r="D151" i="1"/>
  <c r="I151" i="1" s="1"/>
  <c r="B152" i="1"/>
  <c r="H52" i="10" l="1"/>
  <c r="E53" i="10" s="1"/>
  <c r="B95" i="10"/>
  <c r="D94" i="10"/>
  <c r="I94" i="10" s="1"/>
  <c r="H52" i="9"/>
  <c r="E53" i="9" s="1"/>
  <c r="B95" i="9"/>
  <c r="D94" i="9"/>
  <c r="I94" i="9" s="1"/>
  <c r="H52" i="8"/>
  <c r="E53" i="8" s="1"/>
  <c r="D94" i="8"/>
  <c r="I94" i="8" s="1"/>
  <c r="B95" i="8"/>
  <c r="H52" i="7"/>
  <c r="E53" i="7" s="1"/>
  <c r="E94" i="2"/>
  <c r="F94" i="2" s="1"/>
  <c r="G94" i="2" s="1"/>
  <c r="H94" i="2" s="1"/>
  <c r="B95" i="7"/>
  <c r="D94" i="7"/>
  <c r="I94" i="7" s="1"/>
  <c r="H52" i="6"/>
  <c r="E53" i="6" s="1"/>
  <c r="D94" i="6"/>
  <c r="I94" i="6" s="1"/>
  <c r="B95" i="6"/>
  <c r="E94" i="5"/>
  <c r="F94" i="5" s="1"/>
  <c r="G94" i="5" s="1"/>
  <c r="H94" i="5" s="1"/>
  <c r="B95" i="5"/>
  <c r="D94" i="5"/>
  <c r="I94" i="5" s="1"/>
  <c r="D94" i="4"/>
  <c r="I94" i="4" s="1"/>
  <c r="E95" i="4" s="1"/>
  <c r="F95" i="4" s="1"/>
  <c r="G95" i="4" s="1"/>
  <c r="H95" i="4" s="1"/>
  <c r="B95" i="4"/>
  <c r="D94" i="3"/>
  <c r="I94" i="3" s="1"/>
  <c r="E95" i="3" s="1"/>
  <c r="F95" i="3" s="1"/>
  <c r="G95" i="3" s="1"/>
  <c r="H95" i="3" s="1"/>
  <c r="B95" i="3"/>
  <c r="B95" i="2"/>
  <c r="D94" i="2"/>
  <c r="I94" i="2" s="1"/>
  <c r="B153" i="1"/>
  <c r="D152" i="1"/>
  <c r="I152" i="1" s="1"/>
  <c r="C97" i="1"/>
  <c r="B96" i="10" l="1"/>
  <c r="D95" i="10"/>
  <c r="I95" i="10" s="1"/>
  <c r="F53" i="10"/>
  <c r="G53" i="10" s="1"/>
  <c r="B96" i="9"/>
  <c r="D95" i="9"/>
  <c r="I95" i="9" s="1"/>
  <c r="F53" i="9"/>
  <c r="G53" i="9" s="1"/>
  <c r="D95" i="8"/>
  <c r="I95" i="8" s="1"/>
  <c r="B96" i="8"/>
  <c r="F53" i="8"/>
  <c r="G53" i="8" s="1"/>
  <c r="B96" i="7"/>
  <c r="D95" i="7"/>
  <c r="I95" i="7" s="1"/>
  <c r="F53" i="7"/>
  <c r="G53" i="7" s="1"/>
  <c r="D95" i="6"/>
  <c r="I95" i="6" s="1"/>
  <c r="B96" i="6"/>
  <c r="F53" i="6"/>
  <c r="G53" i="6" s="1"/>
  <c r="E95" i="2"/>
  <c r="F95" i="2" s="1"/>
  <c r="G95" i="2" s="1"/>
  <c r="H95" i="2" s="1"/>
  <c r="E95" i="5"/>
  <c r="F95" i="5" s="1"/>
  <c r="G95" i="5" s="1"/>
  <c r="H95" i="5" s="1"/>
  <c r="B96" i="5"/>
  <c r="D95" i="5"/>
  <c r="I95" i="5" s="1"/>
  <c r="D95" i="4"/>
  <c r="I95" i="4" s="1"/>
  <c r="E96" i="4" s="1"/>
  <c r="F96" i="4" s="1"/>
  <c r="G96" i="4" s="1"/>
  <c r="H96" i="4" s="1"/>
  <c r="B96" i="4"/>
  <c r="B96" i="3"/>
  <c r="D95" i="3"/>
  <c r="I95" i="3" s="1"/>
  <c r="E96" i="3" s="1"/>
  <c r="F96" i="3" s="1"/>
  <c r="G96" i="3" s="1"/>
  <c r="H96" i="3" s="1"/>
  <c r="D95" i="2"/>
  <c r="I95" i="2" s="1"/>
  <c r="B96" i="2"/>
  <c r="C98" i="1"/>
  <c r="D153" i="1"/>
  <c r="I153" i="1" s="1"/>
  <c r="B154" i="1"/>
  <c r="E96" i="2" l="1"/>
  <c r="F96" i="2" s="1"/>
  <c r="G96" i="2" s="1"/>
  <c r="H96" i="2" s="1"/>
  <c r="H53" i="10"/>
  <c r="E54" i="10" s="1"/>
  <c r="B97" i="10"/>
  <c r="D96" i="10"/>
  <c r="I96" i="10" s="1"/>
  <c r="H53" i="9"/>
  <c r="E54" i="9" s="1"/>
  <c r="B97" i="9"/>
  <c r="D96" i="9"/>
  <c r="I96" i="9" s="1"/>
  <c r="H53" i="8"/>
  <c r="E54" i="8" s="1"/>
  <c r="D96" i="8"/>
  <c r="I96" i="8" s="1"/>
  <c r="B97" i="8"/>
  <c r="H53" i="7"/>
  <c r="E54" i="7" s="1"/>
  <c r="B97" i="7"/>
  <c r="D96" i="7"/>
  <c r="I96" i="7" s="1"/>
  <c r="H53" i="6"/>
  <c r="E54" i="6" s="1"/>
  <c r="D96" i="6"/>
  <c r="I96" i="6" s="1"/>
  <c r="B97" i="6"/>
  <c r="E96" i="5"/>
  <c r="F96" i="5" s="1"/>
  <c r="G96" i="5" s="1"/>
  <c r="H96" i="5" s="1"/>
  <c r="B97" i="5"/>
  <c r="D96" i="5"/>
  <c r="I96" i="5" s="1"/>
  <c r="D96" i="4"/>
  <c r="I96" i="4" s="1"/>
  <c r="E97" i="4" s="1"/>
  <c r="F97" i="4" s="1"/>
  <c r="G97" i="4" s="1"/>
  <c r="H97" i="4" s="1"/>
  <c r="B97" i="4"/>
  <c r="D96" i="3"/>
  <c r="I96" i="3" s="1"/>
  <c r="E97" i="3" s="1"/>
  <c r="F97" i="3" s="1"/>
  <c r="G97" i="3" s="1"/>
  <c r="H97" i="3" s="1"/>
  <c r="B97" i="3"/>
  <c r="D96" i="2"/>
  <c r="I96" i="2" s="1"/>
  <c r="B97" i="2"/>
  <c r="B155" i="1"/>
  <c r="D154" i="1"/>
  <c r="I154" i="1" s="1"/>
  <c r="C99" i="1"/>
  <c r="E97" i="2" l="1"/>
  <c r="F97" i="2" s="1"/>
  <c r="G97" i="2" s="1"/>
  <c r="H97" i="2" s="1"/>
  <c r="B98" i="10"/>
  <c r="D97" i="10"/>
  <c r="I97" i="10" s="1"/>
  <c r="F54" i="10"/>
  <c r="G54" i="10" s="1"/>
  <c r="B98" i="9"/>
  <c r="D97" i="9"/>
  <c r="I97" i="9" s="1"/>
  <c r="F54" i="9"/>
  <c r="G54" i="9" s="1"/>
  <c r="D97" i="8"/>
  <c r="I97" i="8" s="1"/>
  <c r="B98" i="8"/>
  <c r="F54" i="8"/>
  <c r="G54" i="8" s="1"/>
  <c r="B98" i="7"/>
  <c r="D97" i="7"/>
  <c r="I97" i="7" s="1"/>
  <c r="F54" i="7"/>
  <c r="G54" i="7" s="1"/>
  <c r="D97" i="6"/>
  <c r="I97" i="6" s="1"/>
  <c r="B98" i="6"/>
  <c r="F54" i="6"/>
  <c r="G54" i="6" s="1"/>
  <c r="E97" i="5"/>
  <c r="F97" i="5" s="1"/>
  <c r="G97" i="5" s="1"/>
  <c r="H97" i="5" s="1"/>
  <c r="D97" i="5"/>
  <c r="I97" i="5" s="1"/>
  <c r="B98" i="5"/>
  <c r="D97" i="4"/>
  <c r="I97" i="4" s="1"/>
  <c r="E98" i="4" s="1"/>
  <c r="F98" i="4" s="1"/>
  <c r="G98" i="4" s="1"/>
  <c r="H98" i="4" s="1"/>
  <c r="B98" i="4"/>
  <c r="B98" i="3"/>
  <c r="D97" i="3"/>
  <c r="I97" i="3" s="1"/>
  <c r="E98" i="3" s="1"/>
  <c r="F98" i="3" s="1"/>
  <c r="G98" i="3" s="1"/>
  <c r="H98" i="3" s="1"/>
  <c r="D97" i="2"/>
  <c r="I97" i="2" s="1"/>
  <c r="B98" i="2"/>
  <c r="C100" i="1"/>
  <c r="B156" i="1"/>
  <c r="D155" i="1"/>
  <c r="I155" i="1" s="1"/>
  <c r="E98" i="2" l="1"/>
  <c r="F98" i="2" s="1"/>
  <c r="G98" i="2" s="1"/>
  <c r="H54" i="10"/>
  <c r="E55" i="10" s="1"/>
  <c r="B99" i="10"/>
  <c r="D98" i="10"/>
  <c r="I98" i="10" s="1"/>
  <c r="H54" i="9"/>
  <c r="E55" i="9" s="1"/>
  <c r="B99" i="9"/>
  <c r="D98" i="9"/>
  <c r="I98" i="9" s="1"/>
  <c r="H54" i="8"/>
  <c r="E55" i="8" s="1"/>
  <c r="D98" i="8"/>
  <c r="I98" i="8" s="1"/>
  <c r="B99" i="8"/>
  <c r="H54" i="7"/>
  <c r="E55" i="7" s="1"/>
  <c r="B99" i="7"/>
  <c r="D98" i="7"/>
  <c r="I98" i="7" s="1"/>
  <c r="H54" i="6"/>
  <c r="E55" i="6" s="1"/>
  <c r="D98" i="6"/>
  <c r="I98" i="6" s="1"/>
  <c r="B99" i="6"/>
  <c r="H98" i="2"/>
  <c r="E98" i="5"/>
  <c r="F98" i="5" s="1"/>
  <c r="G98" i="5" s="1"/>
  <c r="H98" i="5" s="1"/>
  <c r="D98" i="5"/>
  <c r="I98" i="5" s="1"/>
  <c r="B99" i="5"/>
  <c r="D98" i="4"/>
  <c r="I98" i="4" s="1"/>
  <c r="E99" i="4" s="1"/>
  <c r="F99" i="4" s="1"/>
  <c r="G99" i="4" s="1"/>
  <c r="H99" i="4" s="1"/>
  <c r="B99" i="4"/>
  <c r="D98" i="3"/>
  <c r="I98" i="3" s="1"/>
  <c r="E99" i="3" s="1"/>
  <c r="F99" i="3" s="1"/>
  <c r="G99" i="3" s="1"/>
  <c r="H99" i="3" s="1"/>
  <c r="B99" i="3"/>
  <c r="D98" i="2"/>
  <c r="I98" i="2" s="1"/>
  <c r="B99" i="2"/>
  <c r="B157" i="1"/>
  <c r="D156" i="1"/>
  <c r="I156" i="1" s="1"/>
  <c r="C101" i="1"/>
  <c r="B100" i="10" l="1"/>
  <c r="D99" i="10"/>
  <c r="I99" i="10" s="1"/>
  <c r="F55" i="10"/>
  <c r="G55" i="10" s="1"/>
  <c r="B100" i="9"/>
  <c r="D99" i="9"/>
  <c r="I99" i="9" s="1"/>
  <c r="F55" i="9"/>
  <c r="G55" i="9" s="1"/>
  <c r="D99" i="8"/>
  <c r="I99" i="8" s="1"/>
  <c r="B100" i="8"/>
  <c r="F55" i="8"/>
  <c r="G55" i="8" s="1"/>
  <c r="B100" i="7"/>
  <c r="D99" i="7"/>
  <c r="I99" i="7" s="1"/>
  <c r="F55" i="7"/>
  <c r="G55" i="7" s="1"/>
  <c r="D99" i="6"/>
  <c r="I99" i="6" s="1"/>
  <c r="B100" i="6"/>
  <c r="F55" i="6"/>
  <c r="G55" i="6" s="1"/>
  <c r="E99" i="2"/>
  <c r="F99" i="2" s="1"/>
  <c r="G99" i="2" s="1"/>
  <c r="H99" i="2" s="1"/>
  <c r="E99" i="5"/>
  <c r="F99" i="5" s="1"/>
  <c r="G99" i="5" s="1"/>
  <c r="H99" i="5" s="1"/>
  <c r="D99" i="5"/>
  <c r="I99" i="5" s="1"/>
  <c r="B100" i="5"/>
  <c r="B100" i="4"/>
  <c r="D99" i="4"/>
  <c r="I99" i="4" s="1"/>
  <c r="E100" i="4" s="1"/>
  <c r="F100" i="4" s="1"/>
  <c r="G100" i="4" s="1"/>
  <c r="H100" i="4" s="1"/>
  <c r="D99" i="3"/>
  <c r="I99" i="3" s="1"/>
  <c r="E100" i="3" s="1"/>
  <c r="F100" i="3" s="1"/>
  <c r="G100" i="3" s="1"/>
  <c r="H100" i="3" s="1"/>
  <c r="B100" i="3"/>
  <c r="D99" i="2"/>
  <c r="I99" i="2" s="1"/>
  <c r="B100" i="2"/>
  <c r="C102" i="1"/>
  <c r="D157" i="1"/>
  <c r="I157" i="1" s="1"/>
  <c r="B158" i="1"/>
  <c r="E100" i="2" l="1"/>
  <c r="F100" i="2" s="1"/>
  <c r="G100" i="2" s="1"/>
  <c r="H55" i="10"/>
  <c r="E56" i="10" s="1"/>
  <c r="B101" i="10"/>
  <c r="D100" i="10"/>
  <c r="I100" i="10" s="1"/>
  <c r="H55" i="9"/>
  <c r="E56" i="9" s="1"/>
  <c r="B101" i="9"/>
  <c r="D100" i="9"/>
  <c r="I100" i="9" s="1"/>
  <c r="H55" i="8"/>
  <c r="E56" i="8" s="1"/>
  <c r="D100" i="8"/>
  <c r="I100" i="8" s="1"/>
  <c r="B101" i="8"/>
  <c r="H55" i="7"/>
  <c r="E56" i="7" s="1"/>
  <c r="B101" i="7"/>
  <c r="D100" i="7"/>
  <c r="I100" i="7" s="1"/>
  <c r="H55" i="6"/>
  <c r="E56" i="6" s="1"/>
  <c r="D100" i="6"/>
  <c r="I100" i="6" s="1"/>
  <c r="B101" i="6"/>
  <c r="H100" i="2"/>
  <c r="E100" i="5"/>
  <c r="F100" i="5" s="1"/>
  <c r="G100" i="5" s="1"/>
  <c r="H100" i="5" s="1"/>
  <c r="D100" i="5"/>
  <c r="I100" i="5" s="1"/>
  <c r="B101" i="5"/>
  <c r="B101" i="4"/>
  <c r="D100" i="4"/>
  <c r="I100" i="4" s="1"/>
  <c r="E101" i="4" s="1"/>
  <c r="F101" i="4" s="1"/>
  <c r="G101" i="4" s="1"/>
  <c r="H101" i="4" s="1"/>
  <c r="B101" i="3"/>
  <c r="D100" i="3"/>
  <c r="I100" i="3" s="1"/>
  <c r="E101" i="3" s="1"/>
  <c r="F101" i="3" s="1"/>
  <c r="G101" i="3" s="1"/>
  <c r="H101" i="3" s="1"/>
  <c r="B101" i="2"/>
  <c r="D100" i="2"/>
  <c r="I100" i="2" s="1"/>
  <c r="B159" i="1"/>
  <c r="D158" i="1"/>
  <c r="I158" i="1" s="1"/>
  <c r="C103" i="1"/>
  <c r="B102" i="10" l="1"/>
  <c r="D101" i="10"/>
  <c r="I101" i="10" s="1"/>
  <c r="F56" i="10"/>
  <c r="G56" i="10" s="1"/>
  <c r="B102" i="9"/>
  <c r="D101" i="9"/>
  <c r="I101" i="9" s="1"/>
  <c r="F56" i="9"/>
  <c r="G56" i="9" s="1"/>
  <c r="D101" i="8"/>
  <c r="I101" i="8" s="1"/>
  <c r="B102" i="8"/>
  <c r="F56" i="8"/>
  <c r="G56" i="8" s="1"/>
  <c r="B102" i="7"/>
  <c r="D101" i="7"/>
  <c r="I101" i="7" s="1"/>
  <c r="F56" i="7"/>
  <c r="G56" i="7" s="1"/>
  <c r="D101" i="6"/>
  <c r="I101" i="6" s="1"/>
  <c r="B102" i="6"/>
  <c r="F56" i="6"/>
  <c r="G56" i="6" s="1"/>
  <c r="E101" i="2"/>
  <c r="F101" i="2" s="1"/>
  <c r="G101" i="2" s="1"/>
  <c r="H101" i="2" s="1"/>
  <c r="E101" i="5"/>
  <c r="F101" i="5" s="1"/>
  <c r="G101" i="5" s="1"/>
  <c r="H101" i="5" s="1"/>
  <c r="B102" i="5"/>
  <c r="D101" i="5"/>
  <c r="I101" i="5" s="1"/>
  <c r="B102" i="4"/>
  <c r="D101" i="4"/>
  <c r="I101" i="4" s="1"/>
  <c r="E102" i="4" s="1"/>
  <c r="F102" i="4" s="1"/>
  <c r="G102" i="4" s="1"/>
  <c r="H102" i="4" s="1"/>
  <c r="B102" i="3"/>
  <c r="D101" i="3"/>
  <c r="I101" i="3" s="1"/>
  <c r="E102" i="3" s="1"/>
  <c r="F102" i="3" s="1"/>
  <c r="G102" i="3" s="1"/>
  <c r="H102" i="3" s="1"/>
  <c r="B102" i="2"/>
  <c r="D101" i="2"/>
  <c r="I101" i="2" s="1"/>
  <c r="C104" i="1"/>
  <c r="D159" i="1"/>
  <c r="I159" i="1" s="1"/>
  <c r="B160" i="1"/>
  <c r="H56" i="10" l="1"/>
  <c r="E57" i="10" s="1"/>
  <c r="B103" i="10"/>
  <c r="D102" i="10"/>
  <c r="I102" i="10" s="1"/>
  <c r="H56" i="9"/>
  <c r="E57" i="9" s="1"/>
  <c r="B103" i="9"/>
  <c r="D102" i="9"/>
  <c r="I102" i="9" s="1"/>
  <c r="H56" i="8"/>
  <c r="E57" i="8" s="1"/>
  <c r="D102" i="8"/>
  <c r="I102" i="8" s="1"/>
  <c r="B103" i="8"/>
  <c r="H56" i="7"/>
  <c r="E57" i="7" s="1"/>
  <c r="B103" i="7"/>
  <c r="D102" i="7"/>
  <c r="I102" i="7" s="1"/>
  <c r="H56" i="6"/>
  <c r="E57" i="6" s="1"/>
  <c r="D102" i="6"/>
  <c r="I102" i="6" s="1"/>
  <c r="B103" i="6"/>
  <c r="E102" i="2"/>
  <c r="F102" i="2" s="1"/>
  <c r="G102" i="2" s="1"/>
  <c r="E102" i="5"/>
  <c r="F102" i="5" s="1"/>
  <c r="G102" i="5" s="1"/>
  <c r="H102" i="5" s="1"/>
  <c r="B103" i="5"/>
  <c r="D102" i="5"/>
  <c r="I102" i="5" s="1"/>
  <c r="D102" i="4"/>
  <c r="I102" i="4" s="1"/>
  <c r="E103" i="4" s="1"/>
  <c r="F103" i="4" s="1"/>
  <c r="G103" i="4" s="1"/>
  <c r="H103" i="4" s="1"/>
  <c r="B103" i="4"/>
  <c r="D102" i="3"/>
  <c r="I102" i="3" s="1"/>
  <c r="E103" i="3" s="1"/>
  <c r="F103" i="3" s="1"/>
  <c r="G103" i="3" s="1"/>
  <c r="H103" i="3" s="1"/>
  <c r="B103" i="3"/>
  <c r="B103" i="2"/>
  <c r="D102" i="2"/>
  <c r="I102" i="2" s="1"/>
  <c r="D160" i="1"/>
  <c r="I160" i="1" s="1"/>
  <c r="B161" i="1"/>
  <c r="C105" i="1"/>
  <c r="F5" i="2" l="1"/>
  <c r="B104" i="10"/>
  <c r="D103" i="10"/>
  <c r="I103" i="10" s="1"/>
  <c r="F57" i="10"/>
  <c r="G57" i="10" s="1"/>
  <c r="B104" i="9"/>
  <c r="D103" i="9"/>
  <c r="I103" i="9" s="1"/>
  <c r="F57" i="9"/>
  <c r="G57" i="9" s="1"/>
  <c r="D103" i="8"/>
  <c r="I103" i="8" s="1"/>
  <c r="B104" i="8"/>
  <c r="F57" i="8"/>
  <c r="G57" i="8" s="1"/>
  <c r="B104" i="7"/>
  <c r="D103" i="7"/>
  <c r="I103" i="7" s="1"/>
  <c r="F57" i="7"/>
  <c r="G57" i="7" s="1"/>
  <c r="D103" i="6"/>
  <c r="I103" i="6" s="1"/>
  <c r="B104" i="6"/>
  <c r="F57" i="6"/>
  <c r="G57" i="6" s="1"/>
  <c r="H102" i="2"/>
  <c r="F3" i="2" s="1"/>
  <c r="G103" i="2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E7" i="2" s="1"/>
  <c r="E103" i="5"/>
  <c r="F103" i="5" s="1"/>
  <c r="G103" i="5" s="1"/>
  <c r="H103" i="5" s="1"/>
  <c r="B104" i="5"/>
  <c r="D103" i="5"/>
  <c r="I103" i="5" s="1"/>
  <c r="D103" i="4"/>
  <c r="I103" i="4" s="1"/>
  <c r="E104" i="4" s="1"/>
  <c r="F104" i="4" s="1"/>
  <c r="G104" i="4" s="1"/>
  <c r="H104" i="4" s="1"/>
  <c r="B104" i="4"/>
  <c r="B104" i="3"/>
  <c r="D103" i="3"/>
  <c r="I103" i="3" s="1"/>
  <c r="E104" i="3" s="1"/>
  <c r="F104" i="3" s="1"/>
  <c r="G104" i="3" s="1"/>
  <c r="H104" i="3" s="1"/>
  <c r="D103" i="2"/>
  <c r="I103" i="2" s="1"/>
  <c r="B104" i="2"/>
  <c r="C106" i="1"/>
  <c r="D161" i="1"/>
  <c r="I161" i="1" s="1"/>
  <c r="B162" i="1"/>
  <c r="H57" i="10" l="1"/>
  <c r="E58" i="10" s="1"/>
  <c r="B105" i="10"/>
  <c r="D104" i="10"/>
  <c r="I104" i="10" s="1"/>
  <c r="H57" i="9"/>
  <c r="E58" i="9" s="1"/>
  <c r="B105" i="9"/>
  <c r="D104" i="9"/>
  <c r="I104" i="9" s="1"/>
  <c r="H57" i="8"/>
  <c r="E58" i="8" s="1"/>
  <c r="D104" i="8"/>
  <c r="I104" i="8" s="1"/>
  <c r="B105" i="8"/>
  <c r="H57" i="7"/>
  <c r="E58" i="7" s="1"/>
  <c r="B105" i="7"/>
  <c r="D104" i="7"/>
  <c r="I104" i="7" s="1"/>
  <c r="H57" i="6"/>
  <c r="E58" i="6" s="1"/>
  <c r="D104" i="6"/>
  <c r="I104" i="6" s="1"/>
  <c r="B105" i="6"/>
  <c r="E104" i="5"/>
  <c r="F104" i="5" s="1"/>
  <c r="G104" i="5" s="1"/>
  <c r="H104" i="5" s="1"/>
  <c r="B105" i="5"/>
  <c r="D104" i="5"/>
  <c r="I104" i="5" s="1"/>
  <c r="D104" i="4"/>
  <c r="I104" i="4" s="1"/>
  <c r="E105" i="4" s="1"/>
  <c r="F105" i="4" s="1"/>
  <c r="G105" i="4" s="1"/>
  <c r="H105" i="4" s="1"/>
  <c r="B105" i="4"/>
  <c r="D104" i="3"/>
  <c r="I104" i="3" s="1"/>
  <c r="E105" i="3" s="1"/>
  <c r="F105" i="3" s="1"/>
  <c r="G105" i="3" s="1"/>
  <c r="H105" i="3" s="1"/>
  <c r="B105" i="3"/>
  <c r="D104" i="2"/>
  <c r="I104" i="2" s="1"/>
  <c r="B105" i="2"/>
  <c r="D162" i="1"/>
  <c r="I162" i="1" s="1"/>
  <c r="B163" i="1"/>
  <c r="C107" i="1"/>
  <c r="B106" i="10" l="1"/>
  <c r="D105" i="10"/>
  <c r="I105" i="10" s="1"/>
  <c r="F58" i="10"/>
  <c r="G58" i="10" s="1"/>
  <c r="B106" i="9"/>
  <c r="D105" i="9"/>
  <c r="I105" i="9" s="1"/>
  <c r="F58" i="9"/>
  <c r="G58" i="9" s="1"/>
  <c r="D105" i="8"/>
  <c r="I105" i="8" s="1"/>
  <c r="B106" i="8"/>
  <c r="F58" i="8"/>
  <c r="G58" i="8" s="1"/>
  <c r="B106" i="7"/>
  <c r="D105" i="7"/>
  <c r="I105" i="7" s="1"/>
  <c r="F58" i="7"/>
  <c r="G58" i="7" s="1"/>
  <c r="D105" i="6"/>
  <c r="I105" i="6" s="1"/>
  <c r="B106" i="6"/>
  <c r="F58" i="6"/>
  <c r="G58" i="6" s="1"/>
  <c r="E105" i="5"/>
  <c r="F105" i="5" s="1"/>
  <c r="G105" i="5" s="1"/>
  <c r="H105" i="5" s="1"/>
  <c r="D105" i="5"/>
  <c r="I105" i="5" s="1"/>
  <c r="B106" i="5"/>
  <c r="D105" i="4"/>
  <c r="I105" i="4" s="1"/>
  <c r="E106" i="4" s="1"/>
  <c r="F106" i="4" s="1"/>
  <c r="G106" i="4" s="1"/>
  <c r="H106" i="4" s="1"/>
  <c r="B106" i="4"/>
  <c r="D105" i="3"/>
  <c r="I105" i="3" s="1"/>
  <c r="E106" i="3" s="1"/>
  <c r="F106" i="3" s="1"/>
  <c r="G106" i="3" s="1"/>
  <c r="H106" i="3" s="1"/>
  <c r="B106" i="3"/>
  <c r="D105" i="2"/>
  <c r="I105" i="2" s="1"/>
  <c r="B106" i="2"/>
  <c r="C108" i="1"/>
  <c r="B164" i="1"/>
  <c r="D163" i="1"/>
  <c r="I163" i="1" s="1"/>
  <c r="H58" i="10" l="1"/>
  <c r="E59" i="10" s="1"/>
  <c r="B107" i="10"/>
  <c r="D106" i="10"/>
  <c r="I106" i="10" s="1"/>
  <c r="H58" i="9"/>
  <c r="E59" i="9" s="1"/>
  <c r="B107" i="9"/>
  <c r="D106" i="9"/>
  <c r="I106" i="9" s="1"/>
  <c r="H58" i="8"/>
  <c r="E59" i="8" s="1"/>
  <c r="D106" i="8"/>
  <c r="I106" i="8" s="1"/>
  <c r="B107" i="8"/>
  <c r="H58" i="7"/>
  <c r="E59" i="7" s="1"/>
  <c r="B107" i="7"/>
  <c r="D106" i="7"/>
  <c r="I106" i="7" s="1"/>
  <c r="H58" i="6"/>
  <c r="E59" i="6" s="1"/>
  <c r="D106" i="6"/>
  <c r="I106" i="6" s="1"/>
  <c r="B107" i="6"/>
  <c r="E106" i="5"/>
  <c r="F106" i="5" s="1"/>
  <c r="G106" i="5" s="1"/>
  <c r="H106" i="5" s="1"/>
  <c r="D106" i="5"/>
  <c r="I106" i="5" s="1"/>
  <c r="B107" i="5"/>
  <c r="D106" i="4"/>
  <c r="I106" i="4" s="1"/>
  <c r="E107" i="4" s="1"/>
  <c r="F107" i="4" s="1"/>
  <c r="G107" i="4" s="1"/>
  <c r="H107" i="4" s="1"/>
  <c r="B107" i="4"/>
  <c r="D106" i="3"/>
  <c r="I106" i="3" s="1"/>
  <c r="E107" i="3" s="1"/>
  <c r="F107" i="3" s="1"/>
  <c r="G107" i="3" s="1"/>
  <c r="H107" i="3" s="1"/>
  <c r="B107" i="3"/>
  <c r="D106" i="2"/>
  <c r="I106" i="2" s="1"/>
  <c r="B107" i="2"/>
  <c r="B165" i="1"/>
  <c r="D164" i="1"/>
  <c r="I164" i="1" s="1"/>
  <c r="C109" i="1"/>
  <c r="B108" i="10" l="1"/>
  <c r="D107" i="10"/>
  <c r="I107" i="10" s="1"/>
  <c r="F59" i="10"/>
  <c r="G59" i="10" s="1"/>
  <c r="B108" i="9"/>
  <c r="D107" i="9"/>
  <c r="I107" i="9" s="1"/>
  <c r="F59" i="9"/>
  <c r="G59" i="9" s="1"/>
  <c r="D107" i="8"/>
  <c r="I107" i="8" s="1"/>
  <c r="B108" i="8"/>
  <c r="F59" i="8"/>
  <c r="G59" i="8" s="1"/>
  <c r="B108" i="7"/>
  <c r="D107" i="7"/>
  <c r="I107" i="7" s="1"/>
  <c r="F59" i="7"/>
  <c r="G59" i="7" s="1"/>
  <c r="D107" i="6"/>
  <c r="I107" i="6" s="1"/>
  <c r="B108" i="6"/>
  <c r="F59" i="6"/>
  <c r="G59" i="6" s="1"/>
  <c r="E107" i="5"/>
  <c r="F107" i="5" s="1"/>
  <c r="G107" i="5" s="1"/>
  <c r="H107" i="5" s="1"/>
  <c r="D107" i="5"/>
  <c r="I107" i="5" s="1"/>
  <c r="B108" i="5"/>
  <c r="B108" i="4"/>
  <c r="D107" i="4"/>
  <c r="I107" i="4" s="1"/>
  <c r="E108" i="4" s="1"/>
  <c r="F108" i="4" s="1"/>
  <c r="G108" i="4" s="1"/>
  <c r="H108" i="4" s="1"/>
  <c r="D107" i="3"/>
  <c r="I107" i="3" s="1"/>
  <c r="E108" i="3" s="1"/>
  <c r="F108" i="3" s="1"/>
  <c r="G108" i="3" s="1"/>
  <c r="H108" i="3" s="1"/>
  <c r="B108" i="3"/>
  <c r="D107" i="2"/>
  <c r="I107" i="2" s="1"/>
  <c r="B108" i="2"/>
  <c r="C110" i="1"/>
  <c r="D165" i="1"/>
  <c r="I165" i="1" s="1"/>
  <c r="B166" i="1"/>
  <c r="H59" i="10" l="1"/>
  <c r="E60" i="10" s="1"/>
  <c r="B109" i="10"/>
  <c r="D108" i="10"/>
  <c r="I108" i="10" s="1"/>
  <c r="H59" i="9"/>
  <c r="E60" i="9" s="1"/>
  <c r="B109" i="9"/>
  <c r="D108" i="9"/>
  <c r="I108" i="9" s="1"/>
  <c r="H59" i="8"/>
  <c r="E60" i="8" s="1"/>
  <c r="D108" i="8"/>
  <c r="I108" i="8" s="1"/>
  <c r="B109" i="8"/>
  <c r="H59" i="7"/>
  <c r="E60" i="7" s="1"/>
  <c r="B109" i="7"/>
  <c r="D108" i="7"/>
  <c r="I108" i="7" s="1"/>
  <c r="H59" i="6"/>
  <c r="E60" i="6" s="1"/>
  <c r="D108" i="6"/>
  <c r="I108" i="6" s="1"/>
  <c r="B109" i="6"/>
  <c r="E108" i="5"/>
  <c r="F108" i="5" s="1"/>
  <c r="G108" i="5" s="1"/>
  <c r="H108" i="5" s="1"/>
  <c r="D108" i="5"/>
  <c r="I108" i="5" s="1"/>
  <c r="B109" i="5"/>
  <c r="B109" i="4"/>
  <c r="D108" i="4"/>
  <c r="I108" i="4" s="1"/>
  <c r="E109" i="4" s="1"/>
  <c r="F109" i="4" s="1"/>
  <c r="G109" i="4" s="1"/>
  <c r="H109" i="4" s="1"/>
  <c r="B109" i="3"/>
  <c r="D108" i="3"/>
  <c r="I108" i="3" s="1"/>
  <c r="E109" i="3" s="1"/>
  <c r="F109" i="3" s="1"/>
  <c r="G109" i="3" s="1"/>
  <c r="H109" i="3" s="1"/>
  <c r="B109" i="2"/>
  <c r="D108" i="2"/>
  <c r="I108" i="2" s="1"/>
  <c r="B167" i="1"/>
  <c r="D166" i="1"/>
  <c r="I166" i="1" s="1"/>
  <c r="C111" i="1"/>
  <c r="B110" i="10" l="1"/>
  <c r="D109" i="10"/>
  <c r="I109" i="10" s="1"/>
  <c r="F60" i="10"/>
  <c r="G60" i="10" s="1"/>
  <c r="B110" i="9"/>
  <c r="D109" i="9"/>
  <c r="I109" i="9" s="1"/>
  <c r="F60" i="9"/>
  <c r="G60" i="9" s="1"/>
  <c r="D109" i="8"/>
  <c r="I109" i="8" s="1"/>
  <c r="B110" i="8"/>
  <c r="F60" i="8"/>
  <c r="G60" i="8" s="1"/>
  <c r="B110" i="7"/>
  <c r="D109" i="7"/>
  <c r="I109" i="7" s="1"/>
  <c r="F60" i="7"/>
  <c r="G60" i="7" s="1"/>
  <c r="D109" i="6"/>
  <c r="I109" i="6" s="1"/>
  <c r="B110" i="6"/>
  <c r="F60" i="6"/>
  <c r="G60" i="6" s="1"/>
  <c r="E109" i="5"/>
  <c r="F109" i="5" s="1"/>
  <c r="G109" i="5" s="1"/>
  <c r="H109" i="5" s="1"/>
  <c r="B110" i="5"/>
  <c r="D109" i="5"/>
  <c r="I109" i="5" s="1"/>
  <c r="B110" i="4"/>
  <c r="D109" i="4"/>
  <c r="I109" i="4" s="1"/>
  <c r="E110" i="4" s="1"/>
  <c r="F110" i="4" s="1"/>
  <c r="G110" i="4" s="1"/>
  <c r="H110" i="4" s="1"/>
  <c r="B110" i="3"/>
  <c r="D109" i="3"/>
  <c r="I109" i="3" s="1"/>
  <c r="E110" i="3" s="1"/>
  <c r="F110" i="3" s="1"/>
  <c r="G110" i="3" s="1"/>
  <c r="H110" i="3" s="1"/>
  <c r="B110" i="2"/>
  <c r="D109" i="2"/>
  <c r="I109" i="2" s="1"/>
  <c r="C112" i="1"/>
  <c r="D167" i="1"/>
  <c r="I167" i="1" s="1"/>
  <c r="B168" i="1"/>
  <c r="H60" i="10" l="1"/>
  <c r="E61" i="10" s="1"/>
  <c r="B111" i="10"/>
  <c r="D110" i="10"/>
  <c r="I110" i="10" s="1"/>
  <c r="H60" i="9"/>
  <c r="E61" i="9" s="1"/>
  <c r="B111" i="9"/>
  <c r="D110" i="9"/>
  <c r="I110" i="9" s="1"/>
  <c r="H60" i="8"/>
  <c r="E61" i="8" s="1"/>
  <c r="D110" i="8"/>
  <c r="I110" i="8" s="1"/>
  <c r="B111" i="8"/>
  <c r="H60" i="7"/>
  <c r="E61" i="7" s="1"/>
  <c r="B111" i="7"/>
  <c r="D110" i="7"/>
  <c r="I110" i="7" s="1"/>
  <c r="H60" i="6"/>
  <c r="E61" i="6" s="1"/>
  <c r="D110" i="6"/>
  <c r="I110" i="6" s="1"/>
  <c r="B111" i="6"/>
  <c r="E110" i="5"/>
  <c r="F110" i="5" s="1"/>
  <c r="G110" i="5" s="1"/>
  <c r="H110" i="5" s="1"/>
  <c r="B111" i="5"/>
  <c r="D110" i="5"/>
  <c r="I110" i="5" s="1"/>
  <c r="D110" i="4"/>
  <c r="I110" i="4" s="1"/>
  <c r="E111" i="4" s="1"/>
  <c r="B111" i="4"/>
  <c r="D110" i="3"/>
  <c r="I110" i="3" s="1"/>
  <c r="E111" i="3" s="1"/>
  <c r="F111" i="3" s="1"/>
  <c r="G111" i="3" s="1"/>
  <c r="H111" i="3" s="1"/>
  <c r="B111" i="3"/>
  <c r="B111" i="2"/>
  <c r="D110" i="2"/>
  <c r="I110" i="2" s="1"/>
  <c r="B169" i="1"/>
  <c r="D168" i="1"/>
  <c r="I168" i="1" s="1"/>
  <c r="C113" i="1"/>
  <c r="F61" i="10" l="1"/>
  <c r="G61" i="10" s="1"/>
  <c r="B112" i="10"/>
  <c r="D111" i="10"/>
  <c r="I111" i="10" s="1"/>
  <c r="B112" i="9"/>
  <c r="D111" i="9"/>
  <c r="I111" i="9" s="1"/>
  <c r="F61" i="9"/>
  <c r="G61" i="9" s="1"/>
  <c r="F61" i="8"/>
  <c r="G61" i="8" s="1"/>
  <c r="D111" i="8"/>
  <c r="I111" i="8" s="1"/>
  <c r="B112" i="8"/>
  <c r="B112" i="7"/>
  <c r="D111" i="7"/>
  <c r="I111" i="7" s="1"/>
  <c r="F61" i="7"/>
  <c r="G61" i="7" s="1"/>
  <c r="D111" i="6"/>
  <c r="I111" i="6" s="1"/>
  <c r="B112" i="6"/>
  <c r="F61" i="6"/>
  <c r="G61" i="6" s="1"/>
  <c r="F111" i="4"/>
  <c r="G111" i="4" s="1"/>
  <c r="H111" i="4" s="1"/>
  <c r="E111" i="5"/>
  <c r="F111" i="5" s="1"/>
  <c r="G111" i="5" s="1"/>
  <c r="H111" i="5" s="1"/>
  <c r="B112" i="5"/>
  <c r="D111" i="5"/>
  <c r="I111" i="5" s="1"/>
  <c r="D111" i="4"/>
  <c r="I111" i="4" s="1"/>
  <c r="B112" i="4"/>
  <c r="B112" i="3"/>
  <c r="D111" i="3"/>
  <c r="I111" i="3" s="1"/>
  <c r="E112" i="3" s="1"/>
  <c r="D111" i="2"/>
  <c r="I111" i="2" s="1"/>
  <c r="B112" i="2"/>
  <c r="C114" i="1"/>
  <c r="B170" i="1"/>
  <c r="D169" i="1"/>
  <c r="I169" i="1" s="1"/>
  <c r="B113" i="10" l="1"/>
  <c r="D112" i="10"/>
  <c r="I112" i="10" s="1"/>
  <c r="H61" i="10"/>
  <c r="E62" i="10" s="1"/>
  <c r="H61" i="9"/>
  <c r="E62" i="9" s="1"/>
  <c r="B113" i="9"/>
  <c r="D112" i="9"/>
  <c r="I112" i="9" s="1"/>
  <c r="D112" i="8"/>
  <c r="I112" i="8" s="1"/>
  <c r="B113" i="8"/>
  <c r="H61" i="8"/>
  <c r="E62" i="8" s="1"/>
  <c r="H61" i="7"/>
  <c r="E62" i="7" s="1"/>
  <c r="B113" i="7"/>
  <c r="D112" i="7"/>
  <c r="I112" i="7" s="1"/>
  <c r="H61" i="6"/>
  <c r="E62" i="6" s="1"/>
  <c r="D112" i="6"/>
  <c r="I112" i="6" s="1"/>
  <c r="B113" i="6"/>
  <c r="F112" i="3"/>
  <c r="G112" i="3" s="1"/>
  <c r="H112" i="3" s="1"/>
  <c r="E112" i="5"/>
  <c r="F112" i="5" s="1"/>
  <c r="G112" i="5" s="1"/>
  <c r="H112" i="5" s="1"/>
  <c r="E112" i="4"/>
  <c r="B113" i="5"/>
  <c r="D112" i="5"/>
  <c r="I112" i="5" s="1"/>
  <c r="D112" i="4"/>
  <c r="I112" i="4" s="1"/>
  <c r="B113" i="4"/>
  <c r="D112" i="3"/>
  <c r="I112" i="3" s="1"/>
  <c r="B113" i="3"/>
  <c r="D112" i="2"/>
  <c r="I112" i="2" s="1"/>
  <c r="B113" i="2"/>
  <c r="C115" i="1"/>
  <c r="B171" i="1"/>
  <c r="D170" i="1"/>
  <c r="I170" i="1" s="1"/>
  <c r="F62" i="10" l="1"/>
  <c r="G62" i="10" s="1"/>
  <c r="B114" i="10"/>
  <c r="D113" i="10"/>
  <c r="I113" i="10" s="1"/>
  <c r="B114" i="9"/>
  <c r="D113" i="9"/>
  <c r="I113" i="9" s="1"/>
  <c r="F62" i="9"/>
  <c r="G62" i="9" s="1"/>
  <c r="F62" i="8"/>
  <c r="G62" i="8" s="1"/>
  <c r="D113" i="8"/>
  <c r="I113" i="8" s="1"/>
  <c r="B114" i="8"/>
  <c r="B114" i="7"/>
  <c r="D113" i="7"/>
  <c r="I113" i="7" s="1"/>
  <c r="F62" i="7"/>
  <c r="G62" i="7" s="1"/>
  <c r="D113" i="6"/>
  <c r="I113" i="6" s="1"/>
  <c r="B114" i="6"/>
  <c r="F62" i="6"/>
  <c r="G62" i="6" s="1"/>
  <c r="E113" i="3"/>
  <c r="F113" i="3" s="1"/>
  <c r="G113" i="3" s="1"/>
  <c r="H113" i="3" s="1"/>
  <c r="E113" i="5"/>
  <c r="F113" i="5" s="1"/>
  <c r="G113" i="5" s="1"/>
  <c r="H113" i="5" s="1"/>
  <c r="F112" i="4"/>
  <c r="G112" i="4" s="1"/>
  <c r="H112" i="4" s="1"/>
  <c r="E113" i="4" s="1"/>
  <c r="D113" i="5"/>
  <c r="I113" i="5" s="1"/>
  <c r="B114" i="5"/>
  <c r="D113" i="4"/>
  <c r="I113" i="4" s="1"/>
  <c r="B114" i="4"/>
  <c r="B114" i="3"/>
  <c r="D113" i="3"/>
  <c r="I113" i="3" s="1"/>
  <c r="D113" i="2"/>
  <c r="I113" i="2" s="1"/>
  <c r="B114" i="2"/>
  <c r="B172" i="1"/>
  <c r="D171" i="1"/>
  <c r="I171" i="1" s="1"/>
  <c r="C116" i="1"/>
  <c r="H62" i="10" l="1"/>
  <c r="E63" i="10" s="1"/>
  <c r="B115" i="10"/>
  <c r="D114" i="10"/>
  <c r="I114" i="10" s="1"/>
  <c r="H62" i="9"/>
  <c r="E63" i="9" s="1"/>
  <c r="B115" i="9"/>
  <c r="D114" i="9"/>
  <c r="I114" i="9" s="1"/>
  <c r="H62" i="8"/>
  <c r="E63" i="8" s="1"/>
  <c r="D114" i="8"/>
  <c r="I114" i="8" s="1"/>
  <c r="B115" i="8"/>
  <c r="H62" i="7"/>
  <c r="E63" i="7" s="1"/>
  <c r="B115" i="7"/>
  <c r="D114" i="7"/>
  <c r="I114" i="7" s="1"/>
  <c r="H62" i="6"/>
  <c r="E63" i="6" s="1"/>
  <c r="D114" i="6"/>
  <c r="I114" i="6" s="1"/>
  <c r="B115" i="6"/>
  <c r="E114" i="3"/>
  <c r="F114" i="3" s="1"/>
  <c r="G114" i="3" s="1"/>
  <c r="H114" i="3" s="1"/>
  <c r="E114" i="5"/>
  <c r="F114" i="5" s="1"/>
  <c r="G114" i="5" s="1"/>
  <c r="H114" i="5" s="1"/>
  <c r="F113" i="4"/>
  <c r="G113" i="4" s="1"/>
  <c r="H113" i="4" s="1"/>
  <c r="E114" i="4" s="1"/>
  <c r="F114" i="4" s="1"/>
  <c r="G114" i="4" s="1"/>
  <c r="H114" i="4" s="1"/>
  <c r="B115" i="5"/>
  <c r="D114" i="5"/>
  <c r="I114" i="5" s="1"/>
  <c r="D114" i="4"/>
  <c r="I114" i="4" s="1"/>
  <c r="B115" i="4"/>
  <c r="D114" i="3"/>
  <c r="I114" i="3" s="1"/>
  <c r="B115" i="3"/>
  <c r="D114" i="2"/>
  <c r="I114" i="2" s="1"/>
  <c r="B115" i="2"/>
  <c r="C117" i="1"/>
  <c r="B173" i="1"/>
  <c r="D172" i="1"/>
  <c r="I172" i="1" s="1"/>
  <c r="B116" i="10" l="1"/>
  <c r="D115" i="10"/>
  <c r="I115" i="10" s="1"/>
  <c r="F63" i="10"/>
  <c r="G63" i="10" s="1"/>
  <c r="B116" i="9"/>
  <c r="D115" i="9"/>
  <c r="I115" i="9" s="1"/>
  <c r="F63" i="9"/>
  <c r="G63" i="9" s="1"/>
  <c r="D115" i="8"/>
  <c r="I115" i="8" s="1"/>
  <c r="B116" i="8"/>
  <c r="F63" i="8"/>
  <c r="G63" i="8" s="1"/>
  <c r="B116" i="7"/>
  <c r="D115" i="7"/>
  <c r="I115" i="7" s="1"/>
  <c r="F63" i="7"/>
  <c r="G63" i="7" s="1"/>
  <c r="D115" i="6"/>
  <c r="I115" i="6" s="1"/>
  <c r="B116" i="6"/>
  <c r="F63" i="6"/>
  <c r="G63" i="6" s="1"/>
  <c r="E115" i="3"/>
  <c r="F115" i="3" s="1"/>
  <c r="G115" i="3" s="1"/>
  <c r="H115" i="3" s="1"/>
  <c r="E115" i="4"/>
  <c r="F115" i="4" s="1"/>
  <c r="G115" i="4" s="1"/>
  <c r="H115" i="4" s="1"/>
  <c r="E115" i="5"/>
  <c r="F115" i="5" s="1"/>
  <c r="G115" i="5" s="1"/>
  <c r="H115" i="5" s="1"/>
  <c r="D115" i="5"/>
  <c r="I115" i="5" s="1"/>
  <c r="B116" i="5"/>
  <c r="B116" i="4"/>
  <c r="D115" i="4"/>
  <c r="I115" i="4" s="1"/>
  <c r="D115" i="3"/>
  <c r="I115" i="3" s="1"/>
  <c r="B116" i="3"/>
  <c r="D115" i="2"/>
  <c r="I115" i="2" s="1"/>
  <c r="B116" i="2"/>
  <c r="C118" i="1"/>
  <c r="B174" i="1"/>
  <c r="D173" i="1"/>
  <c r="I173" i="1" s="1"/>
  <c r="H63" i="10" l="1"/>
  <c r="E64" i="10" s="1"/>
  <c r="B117" i="10"/>
  <c r="D116" i="10"/>
  <c r="I116" i="10" s="1"/>
  <c r="H63" i="9"/>
  <c r="E64" i="9" s="1"/>
  <c r="B117" i="9"/>
  <c r="D116" i="9"/>
  <c r="I116" i="9" s="1"/>
  <c r="H63" i="8"/>
  <c r="E64" i="8" s="1"/>
  <c r="D116" i="8"/>
  <c r="I116" i="8" s="1"/>
  <c r="B117" i="8"/>
  <c r="H63" i="7"/>
  <c r="E64" i="7" s="1"/>
  <c r="B117" i="7"/>
  <c r="D116" i="7"/>
  <c r="I116" i="7" s="1"/>
  <c r="H63" i="6"/>
  <c r="E64" i="6" s="1"/>
  <c r="D116" i="6"/>
  <c r="I116" i="6" s="1"/>
  <c r="B117" i="6"/>
  <c r="E116" i="4"/>
  <c r="F116" i="4" s="1"/>
  <c r="G116" i="4" s="1"/>
  <c r="H116" i="4" s="1"/>
  <c r="E116" i="3"/>
  <c r="F116" i="3" s="1"/>
  <c r="G116" i="3" s="1"/>
  <c r="H116" i="3" s="1"/>
  <c r="E116" i="5"/>
  <c r="F116" i="5" s="1"/>
  <c r="G116" i="5" s="1"/>
  <c r="H116" i="5" s="1"/>
  <c r="B117" i="5"/>
  <c r="D116" i="5"/>
  <c r="I116" i="5" s="1"/>
  <c r="D116" i="4"/>
  <c r="I116" i="4" s="1"/>
  <c r="B117" i="4"/>
  <c r="B117" i="3"/>
  <c r="D116" i="3"/>
  <c r="I116" i="3" s="1"/>
  <c r="D116" i="2"/>
  <c r="I116" i="2" s="1"/>
  <c r="B117" i="2"/>
  <c r="B175" i="1"/>
  <c r="D174" i="1"/>
  <c r="I174" i="1" s="1"/>
  <c r="C119" i="1"/>
  <c r="B118" i="10" l="1"/>
  <c r="D117" i="10"/>
  <c r="I117" i="10" s="1"/>
  <c r="F64" i="10"/>
  <c r="G64" i="10" s="1"/>
  <c r="B118" i="9"/>
  <c r="D117" i="9"/>
  <c r="I117" i="9" s="1"/>
  <c r="F64" i="9"/>
  <c r="G64" i="9" s="1"/>
  <c r="D117" i="8"/>
  <c r="I117" i="8" s="1"/>
  <c r="B118" i="8"/>
  <c r="F64" i="8"/>
  <c r="G64" i="8" s="1"/>
  <c r="B118" i="7"/>
  <c r="D117" i="7"/>
  <c r="I117" i="7" s="1"/>
  <c r="F64" i="7"/>
  <c r="G64" i="7" s="1"/>
  <c r="D117" i="6"/>
  <c r="I117" i="6" s="1"/>
  <c r="B118" i="6"/>
  <c r="E117" i="4"/>
  <c r="F117" i="4" s="1"/>
  <c r="G117" i="4" s="1"/>
  <c r="H117" i="4" s="1"/>
  <c r="F64" i="6"/>
  <c r="G64" i="6" s="1"/>
  <c r="E117" i="3"/>
  <c r="F117" i="3" s="1"/>
  <c r="G117" i="3" s="1"/>
  <c r="H117" i="3" s="1"/>
  <c r="E117" i="5"/>
  <c r="F117" i="5" s="1"/>
  <c r="G117" i="5" s="1"/>
  <c r="H117" i="5" s="1"/>
  <c r="B118" i="5"/>
  <c r="D117" i="5"/>
  <c r="I117" i="5" s="1"/>
  <c r="B118" i="4"/>
  <c r="D117" i="4"/>
  <c r="I117" i="4" s="1"/>
  <c r="B118" i="3"/>
  <c r="D117" i="3"/>
  <c r="I117" i="3" s="1"/>
  <c r="B118" i="2"/>
  <c r="D117" i="2"/>
  <c r="I117" i="2" s="1"/>
  <c r="C120" i="1"/>
  <c r="B176" i="1"/>
  <c r="D175" i="1"/>
  <c r="I175" i="1" s="1"/>
  <c r="H64" i="10" l="1"/>
  <c r="E65" i="10" s="1"/>
  <c r="B119" i="10"/>
  <c r="D118" i="10"/>
  <c r="I118" i="10" s="1"/>
  <c r="H64" i="9"/>
  <c r="E65" i="9" s="1"/>
  <c r="B119" i="9"/>
  <c r="D118" i="9"/>
  <c r="I118" i="9" s="1"/>
  <c r="H64" i="8"/>
  <c r="E65" i="8" s="1"/>
  <c r="D118" i="8"/>
  <c r="I118" i="8" s="1"/>
  <c r="B119" i="8"/>
  <c r="H64" i="7"/>
  <c r="E65" i="7" s="1"/>
  <c r="E118" i="4"/>
  <c r="F118" i="4" s="1"/>
  <c r="G118" i="4" s="1"/>
  <c r="H118" i="4" s="1"/>
  <c r="B119" i="7"/>
  <c r="D118" i="7"/>
  <c r="I118" i="7" s="1"/>
  <c r="H64" i="6"/>
  <c r="E65" i="6" s="1"/>
  <c r="E118" i="3"/>
  <c r="F118" i="3" s="1"/>
  <c r="G118" i="3" s="1"/>
  <c r="H118" i="3" s="1"/>
  <c r="D118" i="6"/>
  <c r="I118" i="6" s="1"/>
  <c r="B119" i="6"/>
  <c r="E118" i="5"/>
  <c r="F118" i="5" s="1"/>
  <c r="G118" i="5" s="1"/>
  <c r="H118" i="5" s="1"/>
  <c r="B119" i="5"/>
  <c r="D118" i="5"/>
  <c r="I118" i="5" s="1"/>
  <c r="B119" i="4"/>
  <c r="D118" i="4"/>
  <c r="I118" i="4" s="1"/>
  <c r="B119" i="3"/>
  <c r="D118" i="3"/>
  <c r="I118" i="3" s="1"/>
  <c r="D118" i="2"/>
  <c r="I118" i="2" s="1"/>
  <c r="B119" i="2"/>
  <c r="B177" i="1"/>
  <c r="D176" i="1"/>
  <c r="I176" i="1" s="1"/>
  <c r="C121" i="1"/>
  <c r="B120" i="10" l="1"/>
  <c r="D119" i="10"/>
  <c r="I119" i="10" s="1"/>
  <c r="F65" i="10"/>
  <c r="G65" i="10" s="1"/>
  <c r="B120" i="9"/>
  <c r="D119" i="9"/>
  <c r="I119" i="9" s="1"/>
  <c r="F65" i="9"/>
  <c r="G65" i="9" s="1"/>
  <c r="F65" i="8"/>
  <c r="G65" i="8" s="1"/>
  <c r="D119" i="8"/>
  <c r="I119" i="8" s="1"/>
  <c r="B120" i="8"/>
  <c r="E119" i="4"/>
  <c r="F119" i="4" s="1"/>
  <c r="G119" i="4" s="1"/>
  <c r="H119" i="4" s="1"/>
  <c r="F65" i="7"/>
  <c r="G65" i="7" s="1"/>
  <c r="B120" i="7"/>
  <c r="D119" i="7"/>
  <c r="I119" i="7" s="1"/>
  <c r="E119" i="3"/>
  <c r="F119" i="3" s="1"/>
  <c r="G119" i="3" s="1"/>
  <c r="H119" i="3" s="1"/>
  <c r="D119" i="6"/>
  <c r="I119" i="6" s="1"/>
  <c r="B120" i="6"/>
  <c r="F65" i="6"/>
  <c r="G65" i="6" s="1"/>
  <c r="E119" i="5"/>
  <c r="F119" i="5" s="1"/>
  <c r="G119" i="5" s="1"/>
  <c r="H119" i="5" s="1"/>
  <c r="D119" i="5"/>
  <c r="I119" i="5" s="1"/>
  <c r="B120" i="5"/>
  <c r="B120" i="4"/>
  <c r="D119" i="4"/>
  <c r="I119" i="4" s="1"/>
  <c r="D119" i="3"/>
  <c r="I119" i="3" s="1"/>
  <c r="B120" i="3"/>
  <c r="B120" i="2"/>
  <c r="D119" i="2"/>
  <c r="I119" i="2" s="1"/>
  <c r="C122" i="1"/>
  <c r="B178" i="1"/>
  <c r="D177" i="1"/>
  <c r="I177" i="1" s="1"/>
  <c r="E120" i="3" l="1"/>
  <c r="F120" i="3" s="1"/>
  <c r="G120" i="3" s="1"/>
  <c r="H120" i="3" s="1"/>
  <c r="H65" i="10"/>
  <c r="E66" i="10" s="1"/>
  <c r="B121" i="10"/>
  <c r="D120" i="10"/>
  <c r="I120" i="10" s="1"/>
  <c r="H65" i="9"/>
  <c r="E66" i="9" s="1"/>
  <c r="E120" i="4"/>
  <c r="F120" i="4" s="1"/>
  <c r="G120" i="4" s="1"/>
  <c r="H120" i="4" s="1"/>
  <c r="B121" i="9"/>
  <c r="D120" i="9"/>
  <c r="I120" i="9" s="1"/>
  <c r="H65" i="8"/>
  <c r="E66" i="8" s="1"/>
  <c r="D120" i="8"/>
  <c r="I120" i="8" s="1"/>
  <c r="B121" i="8"/>
  <c r="H65" i="7"/>
  <c r="E66" i="7" s="1"/>
  <c r="B121" i="7"/>
  <c r="D120" i="7"/>
  <c r="I120" i="7" s="1"/>
  <c r="H65" i="6"/>
  <c r="E66" i="6" s="1"/>
  <c r="D120" i="6"/>
  <c r="I120" i="6" s="1"/>
  <c r="B121" i="6"/>
  <c r="E120" i="5"/>
  <c r="F120" i="5" s="1"/>
  <c r="G120" i="5" s="1"/>
  <c r="H120" i="5" s="1"/>
  <c r="D120" i="5"/>
  <c r="I120" i="5" s="1"/>
  <c r="B121" i="5"/>
  <c r="D120" i="4"/>
  <c r="I120" i="4" s="1"/>
  <c r="B121" i="4"/>
  <c r="D120" i="3"/>
  <c r="I120" i="3" s="1"/>
  <c r="B121" i="3"/>
  <c r="D120" i="2"/>
  <c r="I120" i="2" s="1"/>
  <c r="B121" i="2"/>
  <c r="B179" i="1"/>
  <c r="D178" i="1"/>
  <c r="I178" i="1" s="1"/>
  <c r="C123" i="1"/>
  <c r="E121" i="3" l="1"/>
  <c r="F121" i="3" s="1"/>
  <c r="G121" i="3" s="1"/>
  <c r="H121" i="3" s="1"/>
  <c r="E121" i="4"/>
  <c r="F121" i="4" s="1"/>
  <c r="G121" i="4" s="1"/>
  <c r="H121" i="4" s="1"/>
  <c r="B122" i="10"/>
  <c r="D121" i="10"/>
  <c r="I121" i="10" s="1"/>
  <c r="F66" i="10"/>
  <c r="G66" i="10" s="1"/>
  <c r="B122" i="9"/>
  <c r="D121" i="9"/>
  <c r="I121" i="9" s="1"/>
  <c r="F66" i="9"/>
  <c r="G66" i="9" s="1"/>
  <c r="D121" i="8"/>
  <c r="I121" i="8" s="1"/>
  <c r="B122" i="8"/>
  <c r="F66" i="8"/>
  <c r="G66" i="8" s="1"/>
  <c r="B122" i="7"/>
  <c r="D121" i="7"/>
  <c r="I121" i="7" s="1"/>
  <c r="F66" i="7"/>
  <c r="G66" i="7" s="1"/>
  <c r="F66" i="6"/>
  <c r="G66" i="6" s="1"/>
  <c r="D121" i="6"/>
  <c r="I121" i="6" s="1"/>
  <c r="B122" i="6"/>
  <c r="E121" i="5"/>
  <c r="F121" i="5" s="1"/>
  <c r="G121" i="5" s="1"/>
  <c r="H121" i="5" s="1"/>
  <c r="D121" i="5"/>
  <c r="I121" i="5" s="1"/>
  <c r="B122" i="5"/>
  <c r="B122" i="4"/>
  <c r="D121" i="4"/>
  <c r="I121" i="4" s="1"/>
  <c r="D121" i="3"/>
  <c r="I121" i="3" s="1"/>
  <c r="B122" i="3"/>
  <c r="D121" i="2"/>
  <c r="I121" i="2" s="1"/>
  <c r="B122" i="2"/>
  <c r="C124" i="1"/>
  <c r="B180" i="1"/>
  <c r="D179" i="1"/>
  <c r="I179" i="1" s="1"/>
  <c r="E122" i="3" l="1"/>
  <c r="F122" i="3" s="1"/>
  <c r="G122" i="3" s="1"/>
  <c r="H122" i="3" s="1"/>
  <c r="E122" i="4"/>
  <c r="F122" i="4" s="1"/>
  <c r="G122" i="4" s="1"/>
  <c r="H122" i="4" s="1"/>
  <c r="H66" i="10"/>
  <c r="E67" i="10" s="1"/>
  <c r="B123" i="10"/>
  <c r="D122" i="10"/>
  <c r="I122" i="10" s="1"/>
  <c r="H66" i="9"/>
  <c r="E67" i="9" s="1"/>
  <c r="B123" i="9"/>
  <c r="D122" i="9"/>
  <c r="I122" i="9" s="1"/>
  <c r="H66" i="8"/>
  <c r="E67" i="8" s="1"/>
  <c r="D122" i="8"/>
  <c r="I122" i="8" s="1"/>
  <c r="B123" i="8"/>
  <c r="H66" i="7"/>
  <c r="E67" i="7" s="1"/>
  <c r="B123" i="7"/>
  <c r="D122" i="7"/>
  <c r="I122" i="7" s="1"/>
  <c r="H66" i="6"/>
  <c r="E67" i="6" s="1"/>
  <c r="D122" i="6"/>
  <c r="I122" i="6" s="1"/>
  <c r="B123" i="6"/>
  <c r="E122" i="5"/>
  <c r="F122" i="5" s="1"/>
  <c r="G122" i="5" s="1"/>
  <c r="H122" i="5" s="1"/>
  <c r="D122" i="5"/>
  <c r="I122" i="5" s="1"/>
  <c r="B123" i="5"/>
  <c r="D122" i="4"/>
  <c r="I122" i="4" s="1"/>
  <c r="B123" i="4"/>
  <c r="D122" i="3"/>
  <c r="I122" i="3" s="1"/>
  <c r="E123" i="3" s="1"/>
  <c r="F123" i="3" s="1"/>
  <c r="G123" i="3" s="1"/>
  <c r="H123" i="3" s="1"/>
  <c r="B123" i="3"/>
  <c r="B123" i="2"/>
  <c r="D122" i="2"/>
  <c r="I122" i="2" s="1"/>
  <c r="C125" i="1"/>
  <c r="B181" i="1"/>
  <c r="D180" i="1"/>
  <c r="I180" i="1" s="1"/>
  <c r="E123" i="4" l="1"/>
  <c r="F123" i="4" s="1"/>
  <c r="G123" i="4" s="1"/>
  <c r="H123" i="4" s="1"/>
  <c r="B124" i="10"/>
  <c r="D123" i="10"/>
  <c r="I123" i="10" s="1"/>
  <c r="F67" i="10"/>
  <c r="G67" i="10" s="1"/>
  <c r="B124" i="9"/>
  <c r="D123" i="9"/>
  <c r="I123" i="9" s="1"/>
  <c r="F67" i="9"/>
  <c r="G67" i="9" s="1"/>
  <c r="D123" i="8"/>
  <c r="I123" i="8" s="1"/>
  <c r="B124" i="8"/>
  <c r="F67" i="8"/>
  <c r="G67" i="8" s="1"/>
  <c r="B124" i="7"/>
  <c r="D123" i="7"/>
  <c r="I123" i="7" s="1"/>
  <c r="F67" i="7"/>
  <c r="G67" i="7" s="1"/>
  <c r="D123" i="6"/>
  <c r="I123" i="6" s="1"/>
  <c r="B124" i="6"/>
  <c r="F67" i="6"/>
  <c r="F5" i="6" s="1"/>
  <c r="E123" i="5"/>
  <c r="F123" i="5" s="1"/>
  <c r="G123" i="5" s="1"/>
  <c r="H123" i="5" s="1"/>
  <c r="D123" i="5"/>
  <c r="I123" i="5" s="1"/>
  <c r="B124" i="5"/>
  <c r="D123" i="4"/>
  <c r="I123" i="4" s="1"/>
  <c r="E124" i="4" s="1"/>
  <c r="F124" i="4" s="1"/>
  <c r="G124" i="4" s="1"/>
  <c r="H124" i="4" s="1"/>
  <c r="B124" i="4"/>
  <c r="D123" i="3"/>
  <c r="I123" i="3" s="1"/>
  <c r="E124" i="3" s="1"/>
  <c r="F124" i="3" s="1"/>
  <c r="G124" i="3" s="1"/>
  <c r="H124" i="3" s="1"/>
  <c r="B124" i="3"/>
  <c r="D123" i="2"/>
  <c r="I123" i="2" s="1"/>
  <c r="B124" i="2"/>
  <c r="B182" i="1"/>
  <c r="D181" i="1"/>
  <c r="I181" i="1" s="1"/>
  <c r="C126" i="1"/>
  <c r="G67" i="6" l="1"/>
  <c r="H67" i="6" s="1"/>
  <c r="F3" i="6" s="1"/>
  <c r="H67" i="10"/>
  <c r="E68" i="10" s="1"/>
  <c r="B125" i="10"/>
  <c r="D124" i="10"/>
  <c r="I124" i="10" s="1"/>
  <c r="H67" i="9"/>
  <c r="E68" i="9" s="1"/>
  <c r="B125" i="9"/>
  <c r="D124" i="9"/>
  <c r="I124" i="9" s="1"/>
  <c r="H67" i="8"/>
  <c r="E68" i="8" s="1"/>
  <c r="D124" i="8"/>
  <c r="I124" i="8" s="1"/>
  <c r="B125" i="8"/>
  <c r="H67" i="7"/>
  <c r="E68" i="7" s="1"/>
  <c r="B125" i="7"/>
  <c r="D124" i="7"/>
  <c r="I124" i="7" s="1"/>
  <c r="D124" i="6"/>
  <c r="I124" i="6" s="1"/>
  <c r="B125" i="6"/>
  <c r="E124" i="5"/>
  <c r="F124" i="5" s="1"/>
  <c r="G124" i="5" s="1"/>
  <c r="H124" i="5" s="1"/>
  <c r="B125" i="5"/>
  <c r="D124" i="5"/>
  <c r="I124" i="5" s="1"/>
  <c r="D124" i="4"/>
  <c r="I124" i="4" s="1"/>
  <c r="E125" i="4" s="1"/>
  <c r="F125" i="4" s="1"/>
  <c r="G125" i="4" s="1"/>
  <c r="H125" i="4" s="1"/>
  <c r="B125" i="4"/>
  <c r="B125" i="3"/>
  <c r="D124" i="3"/>
  <c r="I124" i="3" s="1"/>
  <c r="E125" i="3" s="1"/>
  <c r="F125" i="3" s="1"/>
  <c r="G125" i="3" s="1"/>
  <c r="H125" i="3" s="1"/>
  <c r="B125" i="2"/>
  <c r="D124" i="2"/>
  <c r="I124" i="2" s="1"/>
  <c r="C127" i="1"/>
  <c r="B183" i="1"/>
  <c r="D182" i="1"/>
  <c r="I182" i="1" s="1"/>
  <c r="G68" i="6" l="1"/>
  <c r="G69" i="6" s="1"/>
  <c r="G70" i="6" s="1"/>
  <c r="G71" i="6" s="1"/>
  <c r="G72" i="6" s="1"/>
  <c r="G73" i="6" s="1"/>
  <c r="G74" i="6" s="1"/>
  <c r="G75" i="6" s="1"/>
  <c r="G76" i="6" s="1"/>
  <c r="G77" i="6" s="1"/>
  <c r="G78" i="6" s="1"/>
  <c r="G79" i="6" s="1"/>
  <c r="G80" i="6" s="1"/>
  <c r="G81" i="6" s="1"/>
  <c r="G82" i="6" s="1"/>
  <c r="G83" i="6" s="1"/>
  <c r="G84" i="6" s="1"/>
  <c r="G85" i="6" s="1"/>
  <c r="G86" i="6" s="1"/>
  <c r="G87" i="6" s="1"/>
  <c r="G88" i="6" s="1"/>
  <c r="G89" i="6" s="1"/>
  <c r="G90" i="6" s="1"/>
  <c r="G91" i="6" s="1"/>
  <c r="G92" i="6" s="1"/>
  <c r="G93" i="6" s="1"/>
  <c r="G94" i="6" s="1"/>
  <c r="G95" i="6" s="1"/>
  <c r="G96" i="6" s="1"/>
  <c r="G97" i="6" s="1"/>
  <c r="G98" i="6" s="1"/>
  <c r="G99" i="6" s="1"/>
  <c r="G100" i="6" s="1"/>
  <c r="G101" i="6" s="1"/>
  <c r="G102" i="6" s="1"/>
  <c r="G103" i="6" s="1"/>
  <c r="G104" i="6" s="1"/>
  <c r="G105" i="6" s="1"/>
  <c r="G106" i="6" s="1"/>
  <c r="G107" i="6" s="1"/>
  <c r="G108" i="6" s="1"/>
  <c r="G109" i="6" s="1"/>
  <c r="G110" i="6" s="1"/>
  <c r="G111" i="6" s="1"/>
  <c r="G112" i="6" s="1"/>
  <c r="G113" i="6" s="1"/>
  <c r="G114" i="6" s="1"/>
  <c r="G115" i="6" s="1"/>
  <c r="G116" i="6" s="1"/>
  <c r="G117" i="6" s="1"/>
  <c r="G118" i="6" s="1"/>
  <c r="G119" i="6" s="1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G165" i="6" s="1"/>
  <c r="G166" i="6" s="1"/>
  <c r="G167" i="6" s="1"/>
  <c r="G168" i="6" s="1"/>
  <c r="G169" i="6" s="1"/>
  <c r="G170" i="6" s="1"/>
  <c r="G171" i="6" s="1"/>
  <c r="G172" i="6" s="1"/>
  <c r="G173" i="6" s="1"/>
  <c r="G174" i="6" s="1"/>
  <c r="G175" i="6" s="1"/>
  <c r="G176" i="6" s="1"/>
  <c r="G177" i="6" s="1"/>
  <c r="G178" i="6" s="1"/>
  <c r="G179" i="6" s="1"/>
  <c r="G180" i="6" s="1"/>
  <c r="G181" i="6" s="1"/>
  <c r="G182" i="6" s="1"/>
  <c r="G183" i="6" s="1"/>
  <c r="G184" i="6" s="1"/>
  <c r="G185" i="6" s="1"/>
  <c r="G186" i="6" s="1"/>
  <c r="G187" i="6" s="1"/>
  <c r="G188" i="6" s="1"/>
  <c r="G189" i="6" s="1"/>
  <c r="G190" i="6" s="1"/>
  <c r="G191" i="6" s="1"/>
  <c r="G192" i="6" s="1"/>
  <c r="G193" i="6" s="1"/>
  <c r="G194" i="6" s="1"/>
  <c r="G195" i="6" s="1"/>
  <c r="G196" i="6" s="1"/>
  <c r="G197" i="6" s="1"/>
  <c r="G198" i="6" s="1"/>
  <c r="G199" i="6" s="1"/>
  <c r="G200" i="6" s="1"/>
  <c r="G201" i="6" s="1"/>
  <c r="G202" i="6" s="1"/>
  <c r="G203" i="6" s="1"/>
  <c r="G204" i="6" s="1"/>
  <c r="G205" i="6" s="1"/>
  <c r="G206" i="6" s="1"/>
  <c r="G207" i="6" s="1"/>
  <c r="G208" i="6" s="1"/>
  <c r="G209" i="6" s="1"/>
  <c r="G210" i="6" s="1"/>
  <c r="G211" i="6" s="1"/>
  <c r="E7" i="6" s="1"/>
  <c r="F68" i="10"/>
  <c r="G68" i="10" s="1"/>
  <c r="B126" i="10"/>
  <c r="D125" i="10"/>
  <c r="I125" i="10" s="1"/>
  <c r="B126" i="9"/>
  <c r="D125" i="9"/>
  <c r="I125" i="9" s="1"/>
  <c r="F68" i="9"/>
  <c r="G68" i="9" s="1"/>
  <c r="D125" i="8"/>
  <c r="I125" i="8" s="1"/>
  <c r="B126" i="8"/>
  <c r="F68" i="8"/>
  <c r="G68" i="8" s="1"/>
  <c r="B126" i="7"/>
  <c r="D125" i="7"/>
  <c r="I125" i="7" s="1"/>
  <c r="F68" i="7"/>
  <c r="G68" i="7" s="1"/>
  <c r="D125" i="6"/>
  <c r="I125" i="6" s="1"/>
  <c r="B126" i="6"/>
  <c r="E125" i="5"/>
  <c r="F125" i="5" s="1"/>
  <c r="G125" i="5" s="1"/>
  <c r="H125" i="5" s="1"/>
  <c r="B126" i="5"/>
  <c r="D125" i="5"/>
  <c r="I125" i="5" s="1"/>
  <c r="B126" i="4"/>
  <c r="D125" i="4"/>
  <c r="I125" i="4" s="1"/>
  <c r="E126" i="4" s="1"/>
  <c r="F126" i="4" s="1"/>
  <c r="G126" i="4" s="1"/>
  <c r="H126" i="4" s="1"/>
  <c r="B126" i="3"/>
  <c r="D125" i="3"/>
  <c r="I125" i="3" s="1"/>
  <c r="E126" i="3" s="1"/>
  <c r="F126" i="3" s="1"/>
  <c r="G126" i="3" s="1"/>
  <c r="B126" i="2"/>
  <c r="D125" i="2"/>
  <c r="I125" i="2" s="1"/>
  <c r="C128" i="1"/>
  <c r="B184" i="1"/>
  <c r="D183" i="1"/>
  <c r="I183" i="1" s="1"/>
  <c r="H68" i="10" l="1"/>
  <c r="E69" i="10" s="1"/>
  <c r="B127" i="10"/>
  <c r="D126" i="10"/>
  <c r="I126" i="10" s="1"/>
  <c r="H68" i="9"/>
  <c r="E69" i="9" s="1"/>
  <c r="B127" i="9"/>
  <c r="D126" i="9"/>
  <c r="I126" i="9" s="1"/>
  <c r="H68" i="8"/>
  <c r="E69" i="8" s="1"/>
  <c r="D126" i="8"/>
  <c r="I126" i="8" s="1"/>
  <c r="B127" i="8"/>
  <c r="H68" i="7"/>
  <c r="E69" i="7" s="1"/>
  <c r="B127" i="7"/>
  <c r="D126" i="7"/>
  <c r="I126" i="7" s="1"/>
  <c r="D126" i="6"/>
  <c r="I126" i="6" s="1"/>
  <c r="B127" i="6"/>
  <c r="H126" i="3"/>
  <c r="E126" i="5"/>
  <c r="F126" i="5" s="1"/>
  <c r="G126" i="5" s="1"/>
  <c r="H126" i="5" s="1"/>
  <c r="B127" i="5"/>
  <c r="D126" i="5"/>
  <c r="I126" i="5" s="1"/>
  <c r="B127" i="4"/>
  <c r="D126" i="4"/>
  <c r="I126" i="4" s="1"/>
  <c r="E127" i="4" s="1"/>
  <c r="F127" i="4" s="1"/>
  <c r="G127" i="4" s="1"/>
  <c r="H127" i="4" s="1"/>
  <c r="B127" i="3"/>
  <c r="D126" i="3"/>
  <c r="I126" i="3" s="1"/>
  <c r="D126" i="2"/>
  <c r="I126" i="2" s="1"/>
  <c r="B127" i="2"/>
  <c r="B185" i="1"/>
  <c r="D184" i="1"/>
  <c r="I184" i="1" s="1"/>
  <c r="C129" i="1"/>
  <c r="E127" i="3" l="1"/>
  <c r="F127" i="3" s="1"/>
  <c r="G127" i="3" s="1"/>
  <c r="H127" i="3" s="1"/>
  <c r="B128" i="10"/>
  <c r="D127" i="10"/>
  <c r="I127" i="10" s="1"/>
  <c r="F69" i="10"/>
  <c r="G69" i="10" s="1"/>
  <c r="D127" i="9"/>
  <c r="I127" i="9" s="1"/>
  <c r="B128" i="9"/>
  <c r="F69" i="9"/>
  <c r="G69" i="9" s="1"/>
  <c r="D127" i="8"/>
  <c r="I127" i="8" s="1"/>
  <c r="B128" i="8"/>
  <c r="F69" i="8"/>
  <c r="G69" i="8" s="1"/>
  <c r="D127" i="7"/>
  <c r="I127" i="7" s="1"/>
  <c r="B128" i="7"/>
  <c r="F69" i="7"/>
  <c r="G69" i="7" s="1"/>
  <c r="D127" i="6"/>
  <c r="I127" i="6" s="1"/>
  <c r="B128" i="6"/>
  <c r="E127" i="5"/>
  <c r="F127" i="5" s="1"/>
  <c r="G127" i="5" s="1"/>
  <c r="H127" i="5" s="1"/>
  <c r="D127" i="5"/>
  <c r="I127" i="5" s="1"/>
  <c r="B128" i="5"/>
  <c r="B128" i="4"/>
  <c r="D127" i="4"/>
  <c r="I127" i="4" s="1"/>
  <c r="E128" i="4" s="1"/>
  <c r="F128" i="4" s="1"/>
  <c r="G128" i="4" s="1"/>
  <c r="H128" i="4" s="1"/>
  <c r="D127" i="3"/>
  <c r="I127" i="3" s="1"/>
  <c r="B128" i="3"/>
  <c r="D127" i="2"/>
  <c r="I127" i="2" s="1"/>
  <c r="B128" i="2"/>
  <c r="C130" i="1"/>
  <c r="B186" i="1"/>
  <c r="D185" i="1"/>
  <c r="I185" i="1" s="1"/>
  <c r="E128" i="3" l="1"/>
  <c r="F128" i="3" s="1"/>
  <c r="G128" i="3" s="1"/>
  <c r="H128" i="3" s="1"/>
  <c r="H69" i="10"/>
  <c r="E70" i="10" s="1"/>
  <c r="B129" i="10"/>
  <c r="D128" i="10"/>
  <c r="I128" i="10" s="1"/>
  <c r="H69" i="9"/>
  <c r="E70" i="9" s="1"/>
  <c r="D128" i="9"/>
  <c r="I128" i="9" s="1"/>
  <c r="B129" i="9"/>
  <c r="H69" i="8"/>
  <c r="E70" i="8" s="1"/>
  <c r="B129" i="8"/>
  <c r="D128" i="8"/>
  <c r="I128" i="8" s="1"/>
  <c r="H69" i="7"/>
  <c r="E70" i="7" s="1"/>
  <c r="D128" i="7"/>
  <c r="I128" i="7" s="1"/>
  <c r="B129" i="7"/>
  <c r="B129" i="6"/>
  <c r="D128" i="6"/>
  <c r="I128" i="6" s="1"/>
  <c r="E128" i="5"/>
  <c r="F128" i="5" s="1"/>
  <c r="G128" i="5" s="1"/>
  <c r="D128" i="5"/>
  <c r="I128" i="5" s="1"/>
  <c r="B129" i="5"/>
  <c r="D128" i="4"/>
  <c r="I128" i="4" s="1"/>
  <c r="E129" i="4" s="1"/>
  <c r="F129" i="4" s="1"/>
  <c r="G129" i="4" s="1"/>
  <c r="H129" i="4" s="1"/>
  <c r="B129" i="4"/>
  <c r="D128" i="3"/>
  <c r="I128" i="3" s="1"/>
  <c r="B129" i="3"/>
  <c r="D128" i="2"/>
  <c r="I128" i="2" s="1"/>
  <c r="B129" i="2"/>
  <c r="C131" i="1"/>
  <c r="B187" i="1"/>
  <c r="D186" i="1"/>
  <c r="I186" i="1" s="1"/>
  <c r="E129" i="3" l="1"/>
  <c r="F129" i="3" s="1"/>
  <c r="G129" i="3" s="1"/>
  <c r="H129" i="3" s="1"/>
  <c r="F70" i="10"/>
  <c r="G70" i="10" s="1"/>
  <c r="D129" i="10"/>
  <c r="I129" i="10" s="1"/>
  <c r="B130" i="10"/>
  <c r="D129" i="9"/>
  <c r="I129" i="9" s="1"/>
  <c r="B130" i="9"/>
  <c r="F70" i="9"/>
  <c r="G70" i="9" s="1"/>
  <c r="D129" i="8"/>
  <c r="I129" i="8" s="1"/>
  <c r="B130" i="8"/>
  <c r="F70" i="8"/>
  <c r="G70" i="8" s="1"/>
  <c r="F70" i="7"/>
  <c r="G70" i="7" s="1"/>
  <c r="D129" i="7"/>
  <c r="I129" i="7" s="1"/>
  <c r="B130" i="7"/>
  <c r="D129" i="6"/>
  <c r="I129" i="6" s="1"/>
  <c r="B130" i="6"/>
  <c r="H128" i="5"/>
  <c r="E129" i="5" s="1"/>
  <c r="F129" i="5" s="1"/>
  <c r="G129" i="5" s="1"/>
  <c r="D129" i="5"/>
  <c r="I129" i="5" s="1"/>
  <c r="B130" i="5"/>
  <c r="B130" i="4"/>
  <c r="D129" i="4"/>
  <c r="I129" i="4" s="1"/>
  <c r="E130" i="4" s="1"/>
  <c r="F130" i="4" s="1"/>
  <c r="G130" i="4" s="1"/>
  <c r="H130" i="4" s="1"/>
  <c r="D129" i="3"/>
  <c r="I129" i="3" s="1"/>
  <c r="B130" i="3"/>
  <c r="B130" i="2"/>
  <c r="D129" i="2"/>
  <c r="I129" i="2" s="1"/>
  <c r="B188" i="1"/>
  <c r="D187" i="1"/>
  <c r="I187" i="1" s="1"/>
  <c r="C132" i="1"/>
  <c r="E130" i="3" l="1"/>
  <c r="F130" i="3" s="1"/>
  <c r="F5" i="3" s="1"/>
  <c r="H70" i="10"/>
  <c r="E71" i="10" s="1"/>
  <c r="B131" i="10"/>
  <c r="D130" i="10"/>
  <c r="I130" i="10" s="1"/>
  <c r="H70" i="9"/>
  <c r="E71" i="9" s="1"/>
  <c r="D130" i="9"/>
  <c r="I130" i="9" s="1"/>
  <c r="B131" i="9"/>
  <c r="H70" i="8"/>
  <c r="E71" i="8" s="1"/>
  <c r="D130" i="8"/>
  <c r="I130" i="8" s="1"/>
  <c r="B131" i="8"/>
  <c r="D130" i="7"/>
  <c r="I130" i="7" s="1"/>
  <c r="B131" i="7"/>
  <c r="H70" i="7"/>
  <c r="E71" i="7" s="1"/>
  <c r="D130" i="6"/>
  <c r="I130" i="6" s="1"/>
  <c r="B131" i="6"/>
  <c r="H129" i="5"/>
  <c r="E130" i="5" s="1"/>
  <c r="F130" i="5" s="1"/>
  <c r="G130" i="5" s="1"/>
  <c r="D130" i="5"/>
  <c r="I130" i="5" s="1"/>
  <c r="B131" i="5"/>
  <c r="D130" i="4"/>
  <c r="I130" i="4" s="1"/>
  <c r="E131" i="4" s="1"/>
  <c r="F131" i="4" s="1"/>
  <c r="G131" i="4" s="1"/>
  <c r="H131" i="4" s="1"/>
  <c r="B131" i="4"/>
  <c r="D130" i="3"/>
  <c r="I130" i="3" s="1"/>
  <c r="B131" i="3"/>
  <c r="B131" i="2"/>
  <c r="D130" i="2"/>
  <c r="I130" i="2" s="1"/>
  <c r="C133" i="1"/>
  <c r="B189" i="1"/>
  <c r="D188" i="1"/>
  <c r="I188" i="1" s="1"/>
  <c r="D131" i="10" l="1"/>
  <c r="I131" i="10" s="1"/>
  <c r="B132" i="10"/>
  <c r="F71" i="10"/>
  <c r="G71" i="10" s="1"/>
  <c r="D131" i="9"/>
  <c r="I131" i="9" s="1"/>
  <c r="B132" i="9"/>
  <c r="F71" i="9"/>
  <c r="G71" i="9" s="1"/>
  <c r="D131" i="8"/>
  <c r="I131" i="8" s="1"/>
  <c r="B132" i="8"/>
  <c r="F71" i="8"/>
  <c r="G71" i="8" s="1"/>
  <c r="F71" i="7"/>
  <c r="G71" i="7" s="1"/>
  <c r="D131" i="7"/>
  <c r="I131" i="7" s="1"/>
  <c r="B132" i="7"/>
  <c r="B132" i="6"/>
  <c r="D131" i="6"/>
  <c r="I131" i="6" s="1"/>
  <c r="G130" i="3"/>
  <c r="H130" i="5"/>
  <c r="E131" i="5" s="1"/>
  <c r="F131" i="5" s="1"/>
  <c r="G131" i="5" s="1"/>
  <c r="D131" i="5"/>
  <c r="I131" i="5" s="1"/>
  <c r="B132" i="5"/>
  <c r="D131" i="4"/>
  <c r="I131" i="4" s="1"/>
  <c r="E132" i="4" s="1"/>
  <c r="F132" i="4" s="1"/>
  <c r="G132" i="4" s="1"/>
  <c r="H132" i="4" s="1"/>
  <c r="B132" i="4"/>
  <c r="D131" i="3"/>
  <c r="I131" i="3" s="1"/>
  <c r="B132" i="3"/>
  <c r="D131" i="2"/>
  <c r="I131" i="2" s="1"/>
  <c r="B132" i="2"/>
  <c r="C134" i="1"/>
  <c r="B190" i="1"/>
  <c r="D189" i="1"/>
  <c r="I189" i="1" s="1"/>
  <c r="H71" i="10" l="1"/>
  <c r="E72" i="10" s="1"/>
  <c r="D132" i="10"/>
  <c r="I132" i="10" s="1"/>
  <c r="B133" i="10"/>
  <c r="H71" i="9"/>
  <c r="E72" i="9" s="1"/>
  <c r="D132" i="9"/>
  <c r="I132" i="9" s="1"/>
  <c r="B133" i="9"/>
  <c r="H71" i="8"/>
  <c r="E72" i="8" s="1"/>
  <c r="D132" i="8"/>
  <c r="I132" i="8" s="1"/>
  <c r="B133" i="8"/>
  <c r="H71" i="7"/>
  <c r="E72" i="7" s="1"/>
  <c r="D132" i="7"/>
  <c r="I132" i="7" s="1"/>
  <c r="B133" i="7"/>
  <c r="D132" i="6"/>
  <c r="I132" i="6" s="1"/>
  <c r="B133" i="6"/>
  <c r="H130" i="3"/>
  <c r="F3" i="3" s="1"/>
  <c r="G131" i="3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E7" i="3" s="1"/>
  <c r="H131" i="5"/>
  <c r="E132" i="5" s="1"/>
  <c r="F132" i="5" s="1"/>
  <c r="G132" i="5" s="1"/>
  <c r="B133" i="5"/>
  <c r="D132" i="5"/>
  <c r="I132" i="5" s="1"/>
  <c r="D132" i="4"/>
  <c r="I132" i="4" s="1"/>
  <c r="E133" i="4" s="1"/>
  <c r="F133" i="4" s="1"/>
  <c r="G133" i="4" s="1"/>
  <c r="H133" i="4" s="1"/>
  <c r="B133" i="4"/>
  <c r="B133" i="3"/>
  <c r="D132" i="3"/>
  <c r="I132" i="3" s="1"/>
  <c r="D132" i="2"/>
  <c r="I132" i="2" s="1"/>
  <c r="B133" i="2"/>
  <c r="C135" i="1"/>
  <c r="B191" i="1"/>
  <c r="D190" i="1"/>
  <c r="I190" i="1" s="1"/>
  <c r="B134" i="10" l="1"/>
  <c r="D133" i="10"/>
  <c r="I133" i="10" s="1"/>
  <c r="F72" i="10"/>
  <c r="G72" i="10" s="1"/>
  <c r="D133" i="9"/>
  <c r="I133" i="9" s="1"/>
  <c r="B134" i="9"/>
  <c r="F72" i="9"/>
  <c r="G72" i="9" s="1"/>
  <c r="D133" i="8"/>
  <c r="I133" i="8" s="1"/>
  <c r="B134" i="8"/>
  <c r="F72" i="8"/>
  <c r="G72" i="8" s="1"/>
  <c r="D133" i="7"/>
  <c r="I133" i="7" s="1"/>
  <c r="B134" i="7"/>
  <c r="F72" i="7"/>
  <c r="G72" i="7" s="1"/>
  <c r="B134" i="6"/>
  <c r="D133" i="6"/>
  <c r="I133" i="6" s="1"/>
  <c r="H132" i="5"/>
  <c r="E133" i="5" s="1"/>
  <c r="F133" i="5" s="1"/>
  <c r="G133" i="5" s="1"/>
  <c r="B134" i="5"/>
  <c r="D133" i="5"/>
  <c r="I133" i="5" s="1"/>
  <c r="B134" i="4"/>
  <c r="D133" i="4"/>
  <c r="I133" i="4" s="1"/>
  <c r="E134" i="4" s="1"/>
  <c r="F134" i="4" s="1"/>
  <c r="G134" i="4" s="1"/>
  <c r="H134" i="4" s="1"/>
  <c r="B134" i="3"/>
  <c r="D133" i="3"/>
  <c r="I133" i="3" s="1"/>
  <c r="B134" i="2"/>
  <c r="D133" i="2"/>
  <c r="I133" i="2" s="1"/>
  <c r="B192" i="1"/>
  <c r="D191" i="1"/>
  <c r="I191" i="1" s="1"/>
  <c r="C136" i="1"/>
  <c r="H72" i="10" l="1"/>
  <c r="E73" i="10" s="1"/>
  <c r="B135" i="10"/>
  <c r="D134" i="10"/>
  <c r="I134" i="10" s="1"/>
  <c r="H72" i="9"/>
  <c r="E73" i="9" s="1"/>
  <c r="D134" i="9"/>
  <c r="I134" i="9" s="1"/>
  <c r="B135" i="9"/>
  <c r="H72" i="8"/>
  <c r="E73" i="8" s="1"/>
  <c r="D134" i="8"/>
  <c r="I134" i="8" s="1"/>
  <c r="B135" i="8"/>
  <c r="H72" i="7"/>
  <c r="E73" i="7" s="1"/>
  <c r="D134" i="7"/>
  <c r="I134" i="7" s="1"/>
  <c r="B135" i="7"/>
  <c r="B135" i="6"/>
  <c r="D134" i="6"/>
  <c r="I134" i="6" s="1"/>
  <c r="H133" i="5"/>
  <c r="E134" i="5" s="1"/>
  <c r="F134" i="5" s="1"/>
  <c r="G134" i="5" s="1"/>
  <c r="B135" i="5"/>
  <c r="D134" i="5"/>
  <c r="I134" i="5" s="1"/>
  <c r="B135" i="4"/>
  <c r="D134" i="4"/>
  <c r="I134" i="4" s="1"/>
  <c r="E135" i="4" s="1"/>
  <c r="F135" i="4" s="1"/>
  <c r="G135" i="4" s="1"/>
  <c r="H135" i="4" s="1"/>
  <c r="B135" i="3"/>
  <c r="D134" i="3"/>
  <c r="I134" i="3" s="1"/>
  <c r="D134" i="2"/>
  <c r="I134" i="2" s="1"/>
  <c r="B135" i="2"/>
  <c r="C137" i="1"/>
  <c r="B193" i="1"/>
  <c r="D192" i="1"/>
  <c r="I192" i="1" s="1"/>
  <c r="B136" i="10" l="1"/>
  <c r="D135" i="10"/>
  <c r="I135" i="10" s="1"/>
  <c r="F73" i="10"/>
  <c r="G73" i="10" s="1"/>
  <c r="D135" i="9"/>
  <c r="I135" i="9" s="1"/>
  <c r="B136" i="9"/>
  <c r="F73" i="9"/>
  <c r="G73" i="9" s="1"/>
  <c r="D135" i="8"/>
  <c r="I135" i="8" s="1"/>
  <c r="B136" i="8"/>
  <c r="F73" i="8"/>
  <c r="G73" i="8" s="1"/>
  <c r="D135" i="7"/>
  <c r="I135" i="7" s="1"/>
  <c r="B136" i="7"/>
  <c r="F73" i="7"/>
  <c r="G73" i="7" s="1"/>
  <c r="D135" i="6"/>
  <c r="I135" i="6" s="1"/>
  <c r="B136" i="6"/>
  <c r="H134" i="5"/>
  <c r="E135" i="5" s="1"/>
  <c r="F135" i="5" s="1"/>
  <c r="G135" i="5" s="1"/>
  <c r="D135" i="5"/>
  <c r="I135" i="5" s="1"/>
  <c r="B136" i="5"/>
  <c r="B136" i="4"/>
  <c r="D135" i="4"/>
  <c r="I135" i="4" s="1"/>
  <c r="E136" i="4" s="1"/>
  <c r="F136" i="4" s="1"/>
  <c r="G136" i="4" s="1"/>
  <c r="H136" i="4" s="1"/>
  <c r="D135" i="3"/>
  <c r="I135" i="3" s="1"/>
  <c r="B136" i="3"/>
  <c r="B136" i="2"/>
  <c r="D135" i="2"/>
  <c r="I135" i="2" s="1"/>
  <c r="B194" i="1"/>
  <c r="D193" i="1"/>
  <c r="I193" i="1" s="1"/>
  <c r="C138" i="1"/>
  <c r="H73" i="10" l="1"/>
  <c r="E74" i="10" s="1"/>
  <c r="B137" i="10"/>
  <c r="D136" i="10"/>
  <c r="I136" i="10" s="1"/>
  <c r="H73" i="9"/>
  <c r="E74" i="9" s="1"/>
  <c r="D136" i="9"/>
  <c r="I136" i="9" s="1"/>
  <c r="B137" i="9"/>
  <c r="H73" i="8"/>
  <c r="E74" i="8" s="1"/>
  <c r="D136" i="8"/>
  <c r="I136" i="8" s="1"/>
  <c r="B137" i="8"/>
  <c r="H73" i="7"/>
  <c r="E74" i="7" s="1"/>
  <c r="D136" i="7"/>
  <c r="I136" i="7" s="1"/>
  <c r="B137" i="7"/>
  <c r="B137" i="6"/>
  <c r="D136" i="6"/>
  <c r="I136" i="6" s="1"/>
  <c r="H135" i="5"/>
  <c r="E136" i="5" s="1"/>
  <c r="F136" i="5" s="1"/>
  <c r="G136" i="5" s="1"/>
  <c r="D136" i="5"/>
  <c r="I136" i="5" s="1"/>
  <c r="B137" i="5"/>
  <c r="D136" i="4"/>
  <c r="I136" i="4" s="1"/>
  <c r="E137" i="4" s="1"/>
  <c r="B137" i="4"/>
  <c r="D136" i="3"/>
  <c r="I136" i="3" s="1"/>
  <c r="B137" i="3"/>
  <c r="D136" i="2"/>
  <c r="I136" i="2" s="1"/>
  <c r="B137" i="2"/>
  <c r="C139" i="1"/>
  <c r="B195" i="1"/>
  <c r="D194" i="1"/>
  <c r="I194" i="1" s="1"/>
  <c r="D137" i="10" l="1"/>
  <c r="I137" i="10" s="1"/>
  <c r="B138" i="10"/>
  <c r="F74" i="10"/>
  <c r="G74" i="10" s="1"/>
  <c r="D137" i="9"/>
  <c r="I137" i="9" s="1"/>
  <c r="B138" i="9"/>
  <c r="F74" i="9"/>
  <c r="G74" i="9" s="1"/>
  <c r="D137" i="8"/>
  <c r="I137" i="8" s="1"/>
  <c r="B138" i="8"/>
  <c r="F74" i="8"/>
  <c r="G74" i="8" s="1"/>
  <c r="D137" i="7"/>
  <c r="I137" i="7" s="1"/>
  <c r="B138" i="7"/>
  <c r="F74" i="7"/>
  <c r="G74" i="7" s="1"/>
  <c r="D137" i="6"/>
  <c r="I137" i="6" s="1"/>
  <c r="B138" i="6"/>
  <c r="F137" i="4"/>
  <c r="F5" i="4" s="1"/>
  <c r="H136" i="5"/>
  <c r="E137" i="5" s="1"/>
  <c r="D137" i="5"/>
  <c r="I137" i="5" s="1"/>
  <c r="B138" i="5"/>
  <c r="B138" i="4"/>
  <c r="D137" i="4"/>
  <c r="I137" i="4" s="1"/>
  <c r="D137" i="3"/>
  <c r="I137" i="3" s="1"/>
  <c r="B138" i="3"/>
  <c r="B138" i="2"/>
  <c r="D137" i="2"/>
  <c r="I137" i="2" s="1"/>
  <c r="C140" i="1"/>
  <c r="B196" i="1"/>
  <c r="D195" i="1"/>
  <c r="I195" i="1" s="1"/>
  <c r="H74" i="10" l="1"/>
  <c r="E75" i="10" s="1"/>
  <c r="B139" i="10"/>
  <c r="D138" i="10"/>
  <c r="I138" i="10" s="1"/>
  <c r="H74" i="9"/>
  <c r="E75" i="9" s="1"/>
  <c r="D138" i="9"/>
  <c r="I138" i="9" s="1"/>
  <c r="B139" i="9"/>
  <c r="H74" i="8"/>
  <c r="E75" i="8" s="1"/>
  <c r="D138" i="8"/>
  <c r="I138" i="8" s="1"/>
  <c r="B139" i="8"/>
  <c r="H74" i="7"/>
  <c r="E75" i="7" s="1"/>
  <c r="D138" i="7"/>
  <c r="I138" i="7" s="1"/>
  <c r="B139" i="7"/>
  <c r="D138" i="6"/>
  <c r="I138" i="6" s="1"/>
  <c r="B139" i="6"/>
  <c r="G137" i="4"/>
  <c r="H137" i="4" s="1"/>
  <c r="F3" i="4" s="1"/>
  <c r="F137" i="5"/>
  <c r="G137" i="5" s="1"/>
  <c r="D138" i="5"/>
  <c r="I138" i="5" s="1"/>
  <c r="B139" i="5"/>
  <c r="D138" i="4"/>
  <c r="I138" i="4" s="1"/>
  <c r="B139" i="4"/>
  <c r="D138" i="3"/>
  <c r="I138" i="3" s="1"/>
  <c r="B139" i="3"/>
  <c r="D138" i="2"/>
  <c r="I138" i="2" s="1"/>
  <c r="B139" i="2"/>
  <c r="C141" i="1"/>
  <c r="B197" i="1"/>
  <c r="D196" i="1"/>
  <c r="I196" i="1" s="1"/>
  <c r="D139" i="10" l="1"/>
  <c r="I139" i="10" s="1"/>
  <c r="B140" i="10"/>
  <c r="F75" i="10"/>
  <c r="G75" i="10" s="1"/>
  <c r="D139" i="9"/>
  <c r="I139" i="9" s="1"/>
  <c r="B140" i="9"/>
  <c r="F75" i="9"/>
  <c r="G75" i="9" s="1"/>
  <c r="D139" i="8"/>
  <c r="I139" i="8" s="1"/>
  <c r="B140" i="8"/>
  <c r="F75" i="8"/>
  <c r="G75" i="8" s="1"/>
  <c r="D139" i="7"/>
  <c r="I139" i="7" s="1"/>
  <c r="B140" i="7"/>
  <c r="F75" i="7"/>
  <c r="G75" i="7" s="1"/>
  <c r="B140" i="6"/>
  <c r="D139" i="6"/>
  <c r="I139" i="6" s="1"/>
  <c r="G138" i="4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E7" i="4" s="1"/>
  <c r="H137" i="5"/>
  <c r="E138" i="5" s="1"/>
  <c r="F138" i="5" s="1"/>
  <c r="G138" i="5" s="1"/>
  <c r="D139" i="5"/>
  <c r="I139" i="5" s="1"/>
  <c r="B140" i="5"/>
  <c r="D139" i="4"/>
  <c r="I139" i="4" s="1"/>
  <c r="B140" i="4"/>
  <c r="D139" i="3"/>
  <c r="I139" i="3" s="1"/>
  <c r="B140" i="3"/>
  <c r="D139" i="2"/>
  <c r="I139" i="2" s="1"/>
  <c r="B140" i="2"/>
  <c r="B198" i="1"/>
  <c r="D197" i="1"/>
  <c r="I197" i="1" s="1"/>
  <c r="C142" i="1"/>
  <c r="H75" i="10" l="1"/>
  <c r="E76" i="10" s="1"/>
  <c r="B141" i="10"/>
  <c r="D140" i="10"/>
  <c r="I140" i="10" s="1"/>
  <c r="H75" i="9"/>
  <c r="E76" i="9" s="1"/>
  <c r="D140" i="9"/>
  <c r="I140" i="9" s="1"/>
  <c r="B141" i="9"/>
  <c r="H75" i="8"/>
  <c r="E76" i="8" s="1"/>
  <c r="D140" i="8"/>
  <c r="I140" i="8" s="1"/>
  <c r="B141" i="8"/>
  <c r="H75" i="7"/>
  <c r="E76" i="7" s="1"/>
  <c r="D140" i="7"/>
  <c r="I140" i="7" s="1"/>
  <c r="B141" i="7"/>
  <c r="D140" i="6"/>
  <c r="I140" i="6" s="1"/>
  <c r="B141" i="6"/>
  <c r="H138" i="5"/>
  <c r="E139" i="5" s="1"/>
  <c r="F139" i="5" s="1"/>
  <c r="G139" i="5" s="1"/>
  <c r="B141" i="5"/>
  <c r="D140" i="5"/>
  <c r="I140" i="5" s="1"/>
  <c r="D140" i="4"/>
  <c r="I140" i="4" s="1"/>
  <c r="B141" i="4"/>
  <c r="B141" i="3"/>
  <c r="D140" i="3"/>
  <c r="I140" i="3" s="1"/>
  <c r="B141" i="2"/>
  <c r="D140" i="2"/>
  <c r="I140" i="2" s="1"/>
  <c r="C143" i="1"/>
  <c r="B199" i="1"/>
  <c r="D198" i="1"/>
  <c r="I198" i="1" s="1"/>
  <c r="B142" i="10" l="1"/>
  <c r="D141" i="10"/>
  <c r="I141" i="10" s="1"/>
  <c r="F76" i="10"/>
  <c r="G76" i="10" s="1"/>
  <c r="D141" i="9"/>
  <c r="I141" i="9" s="1"/>
  <c r="B142" i="9"/>
  <c r="F76" i="9"/>
  <c r="G76" i="9" s="1"/>
  <c r="D141" i="8"/>
  <c r="I141" i="8" s="1"/>
  <c r="B142" i="8"/>
  <c r="F76" i="8"/>
  <c r="G76" i="8" s="1"/>
  <c r="D141" i="7"/>
  <c r="I141" i="7" s="1"/>
  <c r="B142" i="7"/>
  <c r="F76" i="7"/>
  <c r="G76" i="7" s="1"/>
  <c r="B142" i="6"/>
  <c r="D141" i="6"/>
  <c r="I141" i="6" s="1"/>
  <c r="H139" i="5"/>
  <c r="E140" i="5" s="1"/>
  <c r="F140" i="5" s="1"/>
  <c r="G140" i="5" s="1"/>
  <c r="B142" i="5"/>
  <c r="D141" i="5"/>
  <c r="I141" i="5" s="1"/>
  <c r="B142" i="4"/>
  <c r="D141" i="4"/>
  <c r="I141" i="4" s="1"/>
  <c r="B142" i="3"/>
  <c r="D141" i="3"/>
  <c r="I141" i="3" s="1"/>
  <c r="B142" i="2"/>
  <c r="D141" i="2"/>
  <c r="I141" i="2" s="1"/>
  <c r="B200" i="1"/>
  <c r="D199" i="1"/>
  <c r="I199" i="1" s="1"/>
  <c r="C144" i="1"/>
  <c r="H76" i="10" l="1"/>
  <c r="E77" i="10" s="1"/>
  <c r="B143" i="10"/>
  <c r="D142" i="10"/>
  <c r="I142" i="10" s="1"/>
  <c r="H76" i="9"/>
  <c r="E77" i="9" s="1"/>
  <c r="D142" i="9"/>
  <c r="I142" i="9" s="1"/>
  <c r="B143" i="9"/>
  <c r="H76" i="8"/>
  <c r="E77" i="8" s="1"/>
  <c r="D142" i="8"/>
  <c r="I142" i="8" s="1"/>
  <c r="B143" i="8"/>
  <c r="H76" i="7"/>
  <c r="E77" i="7" s="1"/>
  <c r="D142" i="7"/>
  <c r="I142" i="7" s="1"/>
  <c r="B143" i="7"/>
  <c r="B143" i="6"/>
  <c r="D142" i="6"/>
  <c r="I142" i="6" s="1"/>
  <c r="H140" i="5"/>
  <c r="E141" i="5" s="1"/>
  <c r="F141" i="5" s="1"/>
  <c r="G141" i="5" s="1"/>
  <c r="B143" i="5"/>
  <c r="D142" i="5"/>
  <c r="I142" i="5" s="1"/>
  <c r="B143" i="4"/>
  <c r="D142" i="4"/>
  <c r="I142" i="4" s="1"/>
  <c r="B143" i="3"/>
  <c r="D142" i="3"/>
  <c r="I142" i="3" s="1"/>
  <c r="D142" i="2"/>
  <c r="I142" i="2" s="1"/>
  <c r="B143" i="2"/>
  <c r="C145" i="1"/>
  <c r="B201" i="1"/>
  <c r="D200" i="1"/>
  <c r="I200" i="1" s="1"/>
  <c r="B144" i="10" l="1"/>
  <c r="D143" i="10"/>
  <c r="I143" i="10" s="1"/>
  <c r="F77" i="10"/>
  <c r="G77" i="10" s="1"/>
  <c r="D143" i="9"/>
  <c r="I143" i="9" s="1"/>
  <c r="B144" i="9"/>
  <c r="F77" i="9"/>
  <c r="G77" i="9" s="1"/>
  <c r="D143" i="8"/>
  <c r="I143" i="8" s="1"/>
  <c r="B144" i="8"/>
  <c r="F77" i="8"/>
  <c r="G77" i="8" s="1"/>
  <c r="D143" i="7"/>
  <c r="I143" i="7" s="1"/>
  <c r="B144" i="7"/>
  <c r="F77" i="7"/>
  <c r="G77" i="7" s="1"/>
  <c r="D143" i="6"/>
  <c r="I143" i="6" s="1"/>
  <c r="B144" i="6"/>
  <c r="H141" i="5"/>
  <c r="E142" i="5" s="1"/>
  <c r="F142" i="5" s="1"/>
  <c r="G142" i="5" s="1"/>
  <c r="D143" i="5"/>
  <c r="I143" i="5" s="1"/>
  <c r="B144" i="5"/>
  <c r="B144" i="4"/>
  <c r="D143" i="4"/>
  <c r="I143" i="4" s="1"/>
  <c r="D143" i="3"/>
  <c r="I143" i="3" s="1"/>
  <c r="B144" i="3"/>
  <c r="D143" i="2"/>
  <c r="I143" i="2" s="1"/>
  <c r="B144" i="2"/>
  <c r="B202" i="1"/>
  <c r="D201" i="1"/>
  <c r="I201" i="1" s="1"/>
  <c r="C146" i="1"/>
  <c r="H77" i="10" l="1"/>
  <c r="E78" i="10" s="1"/>
  <c r="B145" i="10"/>
  <c r="D144" i="10"/>
  <c r="I144" i="10" s="1"/>
  <c r="H77" i="9"/>
  <c r="E78" i="9" s="1"/>
  <c r="D144" i="9"/>
  <c r="I144" i="9" s="1"/>
  <c r="B145" i="9"/>
  <c r="H77" i="8"/>
  <c r="E78" i="8" s="1"/>
  <c r="D144" i="8"/>
  <c r="I144" i="8" s="1"/>
  <c r="B145" i="8"/>
  <c r="H77" i="7"/>
  <c r="E78" i="7" s="1"/>
  <c r="D144" i="7"/>
  <c r="I144" i="7" s="1"/>
  <c r="B145" i="7"/>
  <c r="B145" i="6"/>
  <c r="D144" i="6"/>
  <c r="I144" i="6" s="1"/>
  <c r="H142" i="5"/>
  <c r="E143" i="5" s="1"/>
  <c r="F143" i="5" s="1"/>
  <c r="G143" i="5" s="1"/>
  <c r="D144" i="5"/>
  <c r="I144" i="5" s="1"/>
  <c r="B145" i="5"/>
  <c r="D144" i="4"/>
  <c r="I144" i="4" s="1"/>
  <c r="B145" i="4"/>
  <c r="D144" i="3"/>
  <c r="I144" i="3" s="1"/>
  <c r="B145" i="3"/>
  <c r="D144" i="2"/>
  <c r="I144" i="2" s="1"/>
  <c r="B145" i="2"/>
  <c r="C147" i="1"/>
  <c r="B203" i="1"/>
  <c r="D202" i="1"/>
  <c r="I202" i="1" s="1"/>
  <c r="D145" i="10" l="1"/>
  <c r="I145" i="10" s="1"/>
  <c r="B146" i="10"/>
  <c r="F78" i="10"/>
  <c r="G78" i="10" s="1"/>
  <c r="D145" i="9"/>
  <c r="I145" i="9" s="1"/>
  <c r="B146" i="9"/>
  <c r="F78" i="9"/>
  <c r="G78" i="9" s="1"/>
  <c r="D145" i="8"/>
  <c r="I145" i="8" s="1"/>
  <c r="B146" i="8"/>
  <c r="F78" i="8"/>
  <c r="G78" i="8" s="1"/>
  <c r="D145" i="7"/>
  <c r="I145" i="7" s="1"/>
  <c r="B146" i="7"/>
  <c r="F78" i="7"/>
  <c r="G78" i="7" s="1"/>
  <c r="D145" i="6"/>
  <c r="I145" i="6" s="1"/>
  <c r="B146" i="6"/>
  <c r="H143" i="5"/>
  <c r="E144" i="5" s="1"/>
  <c r="D145" i="5"/>
  <c r="I145" i="5" s="1"/>
  <c r="B146" i="5"/>
  <c r="B146" i="4"/>
  <c r="D145" i="4"/>
  <c r="I145" i="4" s="1"/>
  <c r="D145" i="3"/>
  <c r="I145" i="3" s="1"/>
  <c r="B146" i="3"/>
  <c r="D145" i="2"/>
  <c r="I145" i="2" s="1"/>
  <c r="B146" i="2"/>
  <c r="B204" i="1"/>
  <c r="D203" i="1"/>
  <c r="I203" i="1" s="1"/>
  <c r="C148" i="1"/>
  <c r="H78" i="10" l="1"/>
  <c r="E79" i="10" s="1"/>
  <c r="B147" i="10"/>
  <c r="D146" i="10"/>
  <c r="I146" i="10" s="1"/>
  <c r="H78" i="9"/>
  <c r="E79" i="9" s="1"/>
  <c r="D146" i="9"/>
  <c r="I146" i="9" s="1"/>
  <c r="B147" i="9"/>
  <c r="H78" i="8"/>
  <c r="E79" i="8" s="1"/>
  <c r="D146" i="8"/>
  <c r="I146" i="8" s="1"/>
  <c r="B147" i="8"/>
  <c r="H78" i="7"/>
  <c r="E79" i="7" s="1"/>
  <c r="D146" i="7"/>
  <c r="I146" i="7" s="1"/>
  <c r="B147" i="7"/>
  <c r="D146" i="6"/>
  <c r="I146" i="6" s="1"/>
  <c r="B147" i="6"/>
  <c r="F144" i="5"/>
  <c r="G144" i="5" s="1"/>
  <c r="D146" i="5"/>
  <c r="I146" i="5" s="1"/>
  <c r="B147" i="5"/>
  <c r="D146" i="4"/>
  <c r="I146" i="4" s="1"/>
  <c r="B147" i="4"/>
  <c r="D146" i="3"/>
  <c r="I146" i="3" s="1"/>
  <c r="B147" i="3"/>
  <c r="B147" i="2"/>
  <c r="D146" i="2"/>
  <c r="I146" i="2" s="1"/>
  <c r="C149" i="1"/>
  <c r="B205" i="1"/>
  <c r="D204" i="1"/>
  <c r="I204" i="1" s="1"/>
  <c r="D147" i="10" l="1"/>
  <c r="I147" i="10" s="1"/>
  <c r="B148" i="10"/>
  <c r="F79" i="10"/>
  <c r="G79" i="10" s="1"/>
  <c r="D147" i="9"/>
  <c r="I147" i="9" s="1"/>
  <c r="B148" i="9"/>
  <c r="F79" i="9"/>
  <c r="G79" i="9" s="1"/>
  <c r="D147" i="8"/>
  <c r="I147" i="8" s="1"/>
  <c r="B148" i="8"/>
  <c r="F79" i="8"/>
  <c r="G79" i="8" s="1"/>
  <c r="D147" i="7"/>
  <c r="I147" i="7" s="1"/>
  <c r="B148" i="7"/>
  <c r="F79" i="7"/>
  <c r="G79" i="7" s="1"/>
  <c r="B148" i="6"/>
  <c r="D147" i="6"/>
  <c r="I147" i="6" s="1"/>
  <c r="H144" i="5"/>
  <c r="E145" i="5" s="1"/>
  <c r="F145" i="5" s="1"/>
  <c r="G145" i="5" s="1"/>
  <c r="D147" i="5"/>
  <c r="I147" i="5" s="1"/>
  <c r="B148" i="5"/>
  <c r="D147" i="4"/>
  <c r="I147" i="4" s="1"/>
  <c r="B148" i="4"/>
  <c r="D147" i="3"/>
  <c r="I147" i="3" s="1"/>
  <c r="B148" i="3"/>
  <c r="D147" i="2"/>
  <c r="I147" i="2" s="1"/>
  <c r="B148" i="2"/>
  <c r="B206" i="1"/>
  <c r="D205" i="1"/>
  <c r="I205" i="1" s="1"/>
  <c r="C150" i="1"/>
  <c r="H79" i="10" l="1"/>
  <c r="E80" i="10" s="1"/>
  <c r="D148" i="10"/>
  <c r="I148" i="10" s="1"/>
  <c r="B149" i="10"/>
  <c r="H79" i="9"/>
  <c r="E80" i="9" s="1"/>
  <c r="D148" i="9"/>
  <c r="I148" i="9" s="1"/>
  <c r="B149" i="9"/>
  <c r="H79" i="8"/>
  <c r="E80" i="8" s="1"/>
  <c r="D148" i="8"/>
  <c r="I148" i="8" s="1"/>
  <c r="B149" i="8"/>
  <c r="H79" i="7"/>
  <c r="E80" i="7" s="1"/>
  <c r="D148" i="7"/>
  <c r="I148" i="7" s="1"/>
  <c r="B149" i="7"/>
  <c r="D148" i="6"/>
  <c r="I148" i="6" s="1"/>
  <c r="B149" i="6"/>
  <c r="H145" i="5"/>
  <c r="E146" i="5" s="1"/>
  <c r="F146" i="5" s="1"/>
  <c r="G146" i="5" s="1"/>
  <c r="B149" i="5"/>
  <c r="D148" i="5"/>
  <c r="I148" i="5" s="1"/>
  <c r="D148" i="4"/>
  <c r="I148" i="4" s="1"/>
  <c r="B149" i="4"/>
  <c r="B149" i="3"/>
  <c r="D148" i="3"/>
  <c r="I148" i="3" s="1"/>
  <c r="B149" i="2"/>
  <c r="D148" i="2"/>
  <c r="I148" i="2" s="1"/>
  <c r="C151" i="1"/>
  <c r="B207" i="1"/>
  <c r="D206" i="1"/>
  <c r="I206" i="1" s="1"/>
  <c r="B150" i="10" l="1"/>
  <c r="D149" i="10"/>
  <c r="I149" i="10" s="1"/>
  <c r="F80" i="10"/>
  <c r="G80" i="10" s="1"/>
  <c r="D149" i="9"/>
  <c r="I149" i="9" s="1"/>
  <c r="B150" i="9"/>
  <c r="F80" i="9"/>
  <c r="G80" i="9" s="1"/>
  <c r="D149" i="8"/>
  <c r="I149" i="8" s="1"/>
  <c r="B150" i="8"/>
  <c r="F80" i="8"/>
  <c r="G80" i="8" s="1"/>
  <c r="D149" i="7"/>
  <c r="I149" i="7" s="1"/>
  <c r="B150" i="7"/>
  <c r="F80" i="7"/>
  <c r="G80" i="7" s="1"/>
  <c r="B150" i="6"/>
  <c r="D149" i="6"/>
  <c r="I149" i="6" s="1"/>
  <c r="H146" i="5"/>
  <c r="E147" i="5" s="1"/>
  <c r="F147" i="5" s="1"/>
  <c r="G147" i="5" s="1"/>
  <c r="B150" i="5"/>
  <c r="D149" i="5"/>
  <c r="I149" i="5" s="1"/>
  <c r="B150" i="4"/>
  <c r="D149" i="4"/>
  <c r="I149" i="4" s="1"/>
  <c r="B150" i="3"/>
  <c r="D149" i="3"/>
  <c r="I149" i="3" s="1"/>
  <c r="B150" i="2"/>
  <c r="D149" i="2"/>
  <c r="I149" i="2" s="1"/>
  <c r="B208" i="1"/>
  <c r="D207" i="1"/>
  <c r="I207" i="1" s="1"/>
  <c r="C152" i="1"/>
  <c r="H80" i="10" l="1"/>
  <c r="E81" i="10" s="1"/>
  <c r="B151" i="10"/>
  <c r="D150" i="10"/>
  <c r="I150" i="10" s="1"/>
  <c r="H80" i="9"/>
  <c r="E81" i="9" s="1"/>
  <c r="D150" i="9"/>
  <c r="I150" i="9" s="1"/>
  <c r="B151" i="9"/>
  <c r="H80" i="8"/>
  <c r="E81" i="8" s="1"/>
  <c r="D150" i="8"/>
  <c r="I150" i="8" s="1"/>
  <c r="B151" i="8"/>
  <c r="H80" i="7"/>
  <c r="E81" i="7" s="1"/>
  <c r="D150" i="7"/>
  <c r="I150" i="7" s="1"/>
  <c r="B151" i="7"/>
  <c r="B151" i="6"/>
  <c r="D150" i="6"/>
  <c r="I150" i="6" s="1"/>
  <c r="H147" i="5"/>
  <c r="E148" i="5" s="1"/>
  <c r="F148" i="5" s="1"/>
  <c r="G148" i="5" s="1"/>
  <c r="B151" i="5"/>
  <c r="D150" i="5"/>
  <c r="I150" i="5" s="1"/>
  <c r="D150" i="4"/>
  <c r="I150" i="4" s="1"/>
  <c r="B151" i="4"/>
  <c r="B151" i="3"/>
  <c r="D150" i="3"/>
  <c r="I150" i="3" s="1"/>
  <c r="D150" i="2"/>
  <c r="I150" i="2" s="1"/>
  <c r="B151" i="2"/>
  <c r="C153" i="1"/>
  <c r="B209" i="1"/>
  <c r="D208" i="1"/>
  <c r="I208" i="1" s="1"/>
  <c r="B152" i="10" l="1"/>
  <c r="D151" i="10"/>
  <c r="I151" i="10" s="1"/>
  <c r="F81" i="10"/>
  <c r="G81" i="10" s="1"/>
  <c r="D151" i="9"/>
  <c r="I151" i="9" s="1"/>
  <c r="B152" i="9"/>
  <c r="F81" i="9"/>
  <c r="G81" i="9" s="1"/>
  <c r="D151" i="8"/>
  <c r="I151" i="8" s="1"/>
  <c r="B152" i="8"/>
  <c r="F81" i="8"/>
  <c r="G81" i="8" s="1"/>
  <c r="D151" i="7"/>
  <c r="I151" i="7" s="1"/>
  <c r="B152" i="7"/>
  <c r="F81" i="7"/>
  <c r="G81" i="7" s="1"/>
  <c r="D151" i="6"/>
  <c r="I151" i="6" s="1"/>
  <c r="B152" i="6"/>
  <c r="H148" i="5"/>
  <c r="E149" i="5" s="1"/>
  <c r="F149" i="5" s="1"/>
  <c r="G149" i="5" s="1"/>
  <c r="D151" i="5"/>
  <c r="I151" i="5" s="1"/>
  <c r="B152" i="5"/>
  <c r="B152" i="4"/>
  <c r="D151" i="4"/>
  <c r="I151" i="4" s="1"/>
  <c r="D151" i="3"/>
  <c r="I151" i="3" s="1"/>
  <c r="B152" i="3"/>
  <c r="D151" i="2"/>
  <c r="I151" i="2" s="1"/>
  <c r="B152" i="2"/>
  <c r="C154" i="1"/>
  <c r="B210" i="1"/>
  <c r="D209" i="1"/>
  <c r="I209" i="1" s="1"/>
  <c r="H81" i="10" l="1"/>
  <c r="E82" i="10" s="1"/>
  <c r="B153" i="10"/>
  <c r="D152" i="10"/>
  <c r="I152" i="10" s="1"/>
  <c r="H81" i="9"/>
  <c r="E82" i="9" s="1"/>
  <c r="D152" i="9"/>
  <c r="I152" i="9" s="1"/>
  <c r="B153" i="9"/>
  <c r="H81" i="8"/>
  <c r="E82" i="8" s="1"/>
  <c r="D152" i="8"/>
  <c r="I152" i="8" s="1"/>
  <c r="B153" i="8"/>
  <c r="H81" i="7"/>
  <c r="E82" i="7" s="1"/>
  <c r="D152" i="7"/>
  <c r="I152" i="7" s="1"/>
  <c r="B153" i="7"/>
  <c r="B153" i="6"/>
  <c r="D152" i="6"/>
  <c r="I152" i="6" s="1"/>
  <c r="H149" i="5"/>
  <c r="E150" i="5" s="1"/>
  <c r="F150" i="5" s="1"/>
  <c r="G150" i="5" s="1"/>
  <c r="D152" i="5"/>
  <c r="I152" i="5" s="1"/>
  <c r="B153" i="5"/>
  <c r="D152" i="4"/>
  <c r="I152" i="4" s="1"/>
  <c r="B153" i="4"/>
  <c r="D152" i="3"/>
  <c r="I152" i="3" s="1"/>
  <c r="B153" i="3"/>
  <c r="D152" i="2"/>
  <c r="I152" i="2" s="1"/>
  <c r="B153" i="2"/>
  <c r="C155" i="1"/>
  <c r="B211" i="1"/>
  <c r="D211" i="1" s="1"/>
  <c r="I211" i="1" s="1"/>
  <c r="D210" i="1"/>
  <c r="I210" i="1" s="1"/>
  <c r="F4" i="1" l="1"/>
  <c r="D153" i="10"/>
  <c r="I153" i="10" s="1"/>
  <c r="B154" i="10"/>
  <c r="F82" i="10"/>
  <c r="G82" i="10" s="1"/>
  <c r="D153" i="9"/>
  <c r="I153" i="9" s="1"/>
  <c r="B154" i="9"/>
  <c r="F82" i="9"/>
  <c r="G82" i="9" s="1"/>
  <c r="D153" i="8"/>
  <c r="I153" i="8" s="1"/>
  <c r="B154" i="8"/>
  <c r="F82" i="8"/>
  <c r="G82" i="8" s="1"/>
  <c r="D153" i="7"/>
  <c r="I153" i="7" s="1"/>
  <c r="B154" i="7"/>
  <c r="F82" i="7"/>
  <c r="G82" i="7" s="1"/>
  <c r="D153" i="6"/>
  <c r="I153" i="6" s="1"/>
  <c r="B154" i="6"/>
  <c r="H150" i="5"/>
  <c r="E151" i="5" s="1"/>
  <c r="F151" i="5" s="1"/>
  <c r="G151" i="5" s="1"/>
  <c r="D153" i="5"/>
  <c r="I153" i="5" s="1"/>
  <c r="B154" i="5"/>
  <c r="B154" i="4"/>
  <c r="D153" i="4"/>
  <c r="I153" i="4" s="1"/>
  <c r="D153" i="3"/>
  <c r="I153" i="3" s="1"/>
  <c r="B154" i="3"/>
  <c r="B154" i="2"/>
  <c r="D153" i="2"/>
  <c r="I153" i="2" s="1"/>
  <c r="C156" i="1"/>
  <c r="H82" i="10" l="1"/>
  <c r="E83" i="10" s="1"/>
  <c r="B155" i="10"/>
  <c r="D154" i="10"/>
  <c r="I154" i="10" s="1"/>
  <c r="H82" i="9"/>
  <c r="E83" i="9" s="1"/>
  <c r="D154" i="9"/>
  <c r="I154" i="9" s="1"/>
  <c r="B155" i="9"/>
  <c r="H82" i="8"/>
  <c r="E83" i="8" s="1"/>
  <c r="D154" i="8"/>
  <c r="I154" i="8" s="1"/>
  <c r="B155" i="8"/>
  <c r="H82" i="7"/>
  <c r="E83" i="7" s="1"/>
  <c r="D154" i="7"/>
  <c r="I154" i="7" s="1"/>
  <c r="B155" i="7"/>
  <c r="D154" i="6"/>
  <c r="I154" i="6" s="1"/>
  <c r="B155" i="6"/>
  <c r="H151" i="5"/>
  <c r="E152" i="5" s="1"/>
  <c r="F152" i="5" s="1"/>
  <c r="G152" i="5" s="1"/>
  <c r="D154" i="5"/>
  <c r="I154" i="5" s="1"/>
  <c r="B155" i="5"/>
  <c r="D154" i="4"/>
  <c r="I154" i="4" s="1"/>
  <c r="B155" i="4"/>
  <c r="D154" i="3"/>
  <c r="I154" i="3" s="1"/>
  <c r="B155" i="3"/>
  <c r="D154" i="2"/>
  <c r="I154" i="2" s="1"/>
  <c r="B155" i="2"/>
  <c r="C157" i="1"/>
  <c r="D155" i="10" l="1"/>
  <c r="I155" i="10" s="1"/>
  <c r="B156" i="10"/>
  <c r="F83" i="10"/>
  <c r="G83" i="10" s="1"/>
  <c r="D155" i="9"/>
  <c r="I155" i="9" s="1"/>
  <c r="B156" i="9"/>
  <c r="F83" i="9"/>
  <c r="G83" i="9" s="1"/>
  <c r="D155" i="8"/>
  <c r="I155" i="8" s="1"/>
  <c r="B156" i="8"/>
  <c r="F83" i="8"/>
  <c r="G83" i="8" s="1"/>
  <c r="D155" i="7"/>
  <c r="I155" i="7" s="1"/>
  <c r="B156" i="7"/>
  <c r="F83" i="7"/>
  <c r="G83" i="7" s="1"/>
  <c r="B156" i="6"/>
  <c r="D155" i="6"/>
  <c r="I155" i="6" s="1"/>
  <c r="H152" i="5"/>
  <c r="E153" i="5" s="1"/>
  <c r="F153" i="5" s="1"/>
  <c r="G153" i="5" s="1"/>
  <c r="D155" i="5"/>
  <c r="I155" i="5" s="1"/>
  <c r="B156" i="5"/>
  <c r="D155" i="4"/>
  <c r="I155" i="4" s="1"/>
  <c r="B156" i="4"/>
  <c r="D155" i="3"/>
  <c r="I155" i="3" s="1"/>
  <c r="B156" i="3"/>
  <c r="D155" i="2"/>
  <c r="I155" i="2" s="1"/>
  <c r="B156" i="2"/>
  <c r="C158" i="1"/>
  <c r="H83" i="10" l="1"/>
  <c r="E84" i="10" s="1"/>
  <c r="B157" i="10"/>
  <c r="D156" i="10"/>
  <c r="I156" i="10" s="1"/>
  <c r="H83" i="9"/>
  <c r="E84" i="9" s="1"/>
  <c r="D156" i="9"/>
  <c r="I156" i="9" s="1"/>
  <c r="B157" i="9"/>
  <c r="H83" i="8"/>
  <c r="E84" i="8" s="1"/>
  <c r="D156" i="8"/>
  <c r="I156" i="8" s="1"/>
  <c r="B157" i="8"/>
  <c r="H83" i="7"/>
  <c r="E84" i="7" s="1"/>
  <c r="D156" i="7"/>
  <c r="I156" i="7" s="1"/>
  <c r="B157" i="7"/>
  <c r="D156" i="6"/>
  <c r="I156" i="6" s="1"/>
  <c r="B157" i="6"/>
  <c r="H153" i="5"/>
  <c r="E154" i="5" s="1"/>
  <c r="F154" i="5" s="1"/>
  <c r="G154" i="5" s="1"/>
  <c r="H154" i="5" s="1"/>
  <c r="E155" i="5" s="1"/>
  <c r="F155" i="5" s="1"/>
  <c r="G155" i="5" s="1"/>
  <c r="B157" i="5"/>
  <c r="D156" i="5"/>
  <c r="I156" i="5" s="1"/>
  <c r="D156" i="4"/>
  <c r="I156" i="4" s="1"/>
  <c r="B157" i="4"/>
  <c r="B157" i="3"/>
  <c r="D156" i="3"/>
  <c r="I156" i="3" s="1"/>
  <c r="D156" i="2"/>
  <c r="I156" i="2" s="1"/>
  <c r="B157" i="2"/>
  <c r="C159" i="1"/>
  <c r="B158" i="10" l="1"/>
  <c r="D157" i="10"/>
  <c r="I157" i="10" s="1"/>
  <c r="F84" i="10"/>
  <c r="G84" i="10" s="1"/>
  <c r="D157" i="9"/>
  <c r="I157" i="9" s="1"/>
  <c r="B158" i="9"/>
  <c r="F84" i="9"/>
  <c r="G84" i="9" s="1"/>
  <c r="D157" i="8"/>
  <c r="I157" i="8" s="1"/>
  <c r="B158" i="8"/>
  <c r="F84" i="8"/>
  <c r="G84" i="8" s="1"/>
  <c r="D157" i="7"/>
  <c r="I157" i="7" s="1"/>
  <c r="B158" i="7"/>
  <c r="F84" i="7"/>
  <c r="G84" i="7" s="1"/>
  <c r="B158" i="6"/>
  <c r="D157" i="6"/>
  <c r="I157" i="6" s="1"/>
  <c r="H155" i="5"/>
  <c r="E156" i="5" s="1"/>
  <c r="F156" i="5" s="1"/>
  <c r="G156" i="5" s="1"/>
  <c r="B158" i="5"/>
  <c r="D157" i="5"/>
  <c r="I157" i="5" s="1"/>
  <c r="B158" i="4"/>
  <c r="D157" i="4"/>
  <c r="I157" i="4" s="1"/>
  <c r="B158" i="3"/>
  <c r="D157" i="3"/>
  <c r="I157" i="3" s="1"/>
  <c r="B158" i="2"/>
  <c r="D157" i="2"/>
  <c r="I157" i="2" s="1"/>
  <c r="C160" i="1"/>
  <c r="H84" i="10" l="1"/>
  <c r="E85" i="10" s="1"/>
  <c r="B159" i="10"/>
  <c r="D158" i="10"/>
  <c r="I158" i="10" s="1"/>
  <c r="H84" i="9"/>
  <c r="E85" i="9" s="1"/>
  <c r="D158" i="9"/>
  <c r="I158" i="9" s="1"/>
  <c r="B159" i="9"/>
  <c r="H84" i="8"/>
  <c r="E85" i="8" s="1"/>
  <c r="D158" i="8"/>
  <c r="I158" i="8" s="1"/>
  <c r="B159" i="8"/>
  <c r="H84" i="7"/>
  <c r="E85" i="7" s="1"/>
  <c r="D158" i="7"/>
  <c r="I158" i="7" s="1"/>
  <c r="B159" i="7"/>
  <c r="B159" i="6"/>
  <c r="D158" i="6"/>
  <c r="I158" i="6" s="1"/>
  <c r="H156" i="5"/>
  <c r="E157" i="5" s="1"/>
  <c r="F157" i="5" s="1"/>
  <c r="G157" i="5" s="1"/>
  <c r="H157" i="5" s="1"/>
  <c r="E158" i="5" s="1"/>
  <c r="F158" i="5" s="1"/>
  <c r="G158" i="5" s="1"/>
  <c r="B159" i="5"/>
  <c r="D158" i="5"/>
  <c r="I158" i="5" s="1"/>
  <c r="B159" i="4"/>
  <c r="D158" i="4"/>
  <c r="I158" i="4" s="1"/>
  <c r="B159" i="3"/>
  <c r="D158" i="3"/>
  <c r="I158" i="3" s="1"/>
  <c r="D158" i="2"/>
  <c r="I158" i="2" s="1"/>
  <c r="B159" i="2"/>
  <c r="C161" i="1"/>
  <c r="B160" i="10" l="1"/>
  <c r="D159" i="10"/>
  <c r="I159" i="10" s="1"/>
  <c r="F85" i="10"/>
  <c r="G85" i="10" s="1"/>
  <c r="D159" i="9"/>
  <c r="I159" i="9" s="1"/>
  <c r="B160" i="9"/>
  <c r="F85" i="9"/>
  <c r="G85" i="9" s="1"/>
  <c r="D159" i="8"/>
  <c r="I159" i="8" s="1"/>
  <c r="B160" i="8"/>
  <c r="F85" i="8"/>
  <c r="G85" i="8" s="1"/>
  <c r="D159" i="7"/>
  <c r="I159" i="7" s="1"/>
  <c r="B160" i="7"/>
  <c r="F85" i="7"/>
  <c r="G85" i="7" s="1"/>
  <c r="D159" i="6"/>
  <c r="I159" i="6" s="1"/>
  <c r="B160" i="6"/>
  <c r="H158" i="5"/>
  <c r="G159" i="5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E7" i="5" s="1"/>
  <c r="D159" i="5"/>
  <c r="I159" i="5" s="1"/>
  <c r="B160" i="5"/>
  <c r="B160" i="4"/>
  <c r="D159" i="4"/>
  <c r="I159" i="4" s="1"/>
  <c r="D159" i="3"/>
  <c r="I159" i="3" s="1"/>
  <c r="B160" i="3"/>
  <c r="B160" i="2"/>
  <c r="D159" i="2"/>
  <c r="I159" i="2" s="1"/>
  <c r="C162" i="1"/>
  <c r="H85" i="10" l="1"/>
  <c r="E86" i="10" s="1"/>
  <c r="B161" i="10"/>
  <c r="D160" i="10"/>
  <c r="I160" i="10" s="1"/>
  <c r="H85" i="9"/>
  <c r="E86" i="9" s="1"/>
  <c r="D160" i="9"/>
  <c r="I160" i="9" s="1"/>
  <c r="B161" i="9"/>
  <c r="H85" i="8"/>
  <c r="E86" i="8" s="1"/>
  <c r="D160" i="8"/>
  <c r="I160" i="8" s="1"/>
  <c r="B161" i="8"/>
  <c r="H85" i="7"/>
  <c r="E86" i="7" s="1"/>
  <c r="D160" i="7"/>
  <c r="I160" i="7" s="1"/>
  <c r="B161" i="7"/>
  <c r="B161" i="6"/>
  <c r="D160" i="6"/>
  <c r="I160" i="6" s="1"/>
  <c r="D160" i="5"/>
  <c r="I160" i="5" s="1"/>
  <c r="B161" i="5"/>
  <c r="D160" i="4"/>
  <c r="I160" i="4" s="1"/>
  <c r="B161" i="4"/>
  <c r="D160" i="3"/>
  <c r="I160" i="3" s="1"/>
  <c r="B161" i="3"/>
  <c r="D160" i="2"/>
  <c r="I160" i="2" s="1"/>
  <c r="B161" i="2"/>
  <c r="C163" i="1"/>
  <c r="D161" i="10" l="1"/>
  <c r="I161" i="10" s="1"/>
  <c r="B162" i="10"/>
  <c r="F86" i="10"/>
  <c r="G86" i="10" s="1"/>
  <c r="D161" i="9"/>
  <c r="I161" i="9" s="1"/>
  <c r="B162" i="9"/>
  <c r="F86" i="9"/>
  <c r="G86" i="9" s="1"/>
  <c r="D161" i="8"/>
  <c r="I161" i="8" s="1"/>
  <c r="B162" i="8"/>
  <c r="F86" i="8"/>
  <c r="G86" i="8" s="1"/>
  <c r="D161" i="7"/>
  <c r="I161" i="7" s="1"/>
  <c r="B162" i="7"/>
  <c r="F86" i="7"/>
  <c r="G86" i="7" s="1"/>
  <c r="D161" i="6"/>
  <c r="I161" i="6" s="1"/>
  <c r="B162" i="6"/>
  <c r="D161" i="5"/>
  <c r="I161" i="5" s="1"/>
  <c r="B162" i="5"/>
  <c r="B162" i="4"/>
  <c r="D161" i="4"/>
  <c r="I161" i="4" s="1"/>
  <c r="D161" i="3"/>
  <c r="I161" i="3" s="1"/>
  <c r="B162" i="3"/>
  <c r="B162" i="2"/>
  <c r="D161" i="2"/>
  <c r="I161" i="2" s="1"/>
  <c r="C164" i="1"/>
  <c r="H86" i="10" l="1"/>
  <c r="E87" i="10" s="1"/>
  <c r="B163" i="10"/>
  <c r="D162" i="10"/>
  <c r="I162" i="10" s="1"/>
  <c r="H86" i="9"/>
  <c r="E87" i="9" s="1"/>
  <c r="D162" i="9"/>
  <c r="I162" i="9" s="1"/>
  <c r="B163" i="9"/>
  <c r="H86" i="8"/>
  <c r="E87" i="8" s="1"/>
  <c r="D162" i="8"/>
  <c r="I162" i="8" s="1"/>
  <c r="B163" i="8"/>
  <c r="H86" i="7"/>
  <c r="E87" i="7" s="1"/>
  <c r="D162" i="7"/>
  <c r="I162" i="7" s="1"/>
  <c r="B163" i="7"/>
  <c r="B163" i="6"/>
  <c r="D162" i="6"/>
  <c r="I162" i="6" s="1"/>
  <c r="D162" i="5"/>
  <c r="I162" i="5" s="1"/>
  <c r="B163" i="5"/>
  <c r="D162" i="4"/>
  <c r="I162" i="4" s="1"/>
  <c r="B163" i="4"/>
  <c r="D162" i="3"/>
  <c r="I162" i="3" s="1"/>
  <c r="B163" i="3"/>
  <c r="B163" i="2"/>
  <c r="D162" i="2"/>
  <c r="I162" i="2" s="1"/>
  <c r="C165" i="1"/>
  <c r="D163" i="10" l="1"/>
  <c r="I163" i="10" s="1"/>
  <c r="B164" i="10"/>
  <c r="F87" i="10"/>
  <c r="G87" i="10" s="1"/>
  <c r="D163" i="9"/>
  <c r="I163" i="9" s="1"/>
  <c r="B164" i="9"/>
  <c r="F87" i="9"/>
  <c r="G87" i="9" s="1"/>
  <c r="D163" i="8"/>
  <c r="I163" i="8" s="1"/>
  <c r="B164" i="8"/>
  <c r="F87" i="8"/>
  <c r="G87" i="8" s="1"/>
  <c r="F87" i="7"/>
  <c r="G87" i="7" s="1"/>
  <c r="D163" i="7"/>
  <c r="I163" i="7" s="1"/>
  <c r="B164" i="7"/>
  <c r="D163" i="6"/>
  <c r="I163" i="6" s="1"/>
  <c r="B164" i="6"/>
  <c r="D163" i="5"/>
  <c r="I163" i="5" s="1"/>
  <c r="B164" i="5"/>
  <c r="D163" i="4"/>
  <c r="I163" i="4" s="1"/>
  <c r="B164" i="4"/>
  <c r="D163" i="3"/>
  <c r="I163" i="3" s="1"/>
  <c r="B164" i="3"/>
  <c r="D163" i="2"/>
  <c r="I163" i="2" s="1"/>
  <c r="B164" i="2"/>
  <c r="C166" i="1"/>
  <c r="H87" i="10" l="1"/>
  <c r="E88" i="10" s="1"/>
  <c r="B165" i="10"/>
  <c r="D164" i="10"/>
  <c r="I164" i="10" s="1"/>
  <c r="H87" i="9"/>
  <c r="E88" i="9" s="1"/>
  <c r="D164" i="9"/>
  <c r="I164" i="9" s="1"/>
  <c r="B165" i="9"/>
  <c r="H87" i="8"/>
  <c r="E88" i="8" s="1"/>
  <c r="D164" i="8"/>
  <c r="I164" i="8" s="1"/>
  <c r="B165" i="8"/>
  <c r="H87" i="7"/>
  <c r="E88" i="7" s="1"/>
  <c r="D164" i="7"/>
  <c r="I164" i="7" s="1"/>
  <c r="B165" i="7"/>
  <c r="B165" i="6"/>
  <c r="D164" i="6"/>
  <c r="I164" i="6" s="1"/>
  <c r="B165" i="5"/>
  <c r="D164" i="5"/>
  <c r="I164" i="5" s="1"/>
  <c r="D164" i="4"/>
  <c r="I164" i="4" s="1"/>
  <c r="B165" i="4"/>
  <c r="B165" i="3"/>
  <c r="D164" i="3"/>
  <c r="I164" i="3" s="1"/>
  <c r="B165" i="2"/>
  <c r="D164" i="2"/>
  <c r="I164" i="2" s="1"/>
  <c r="C167" i="1"/>
  <c r="B166" i="10" l="1"/>
  <c r="D165" i="10"/>
  <c r="I165" i="10" s="1"/>
  <c r="F88" i="10"/>
  <c r="G88" i="10" s="1"/>
  <c r="D165" i="9"/>
  <c r="I165" i="9" s="1"/>
  <c r="B166" i="9"/>
  <c r="F88" i="9"/>
  <c r="G88" i="9" s="1"/>
  <c r="D165" i="8"/>
  <c r="I165" i="8" s="1"/>
  <c r="B166" i="8"/>
  <c r="F88" i="8"/>
  <c r="G88" i="8" s="1"/>
  <c r="D165" i="7"/>
  <c r="I165" i="7" s="1"/>
  <c r="B166" i="7"/>
  <c r="F88" i="7"/>
  <c r="G88" i="7" s="1"/>
  <c r="D165" i="6"/>
  <c r="I165" i="6" s="1"/>
  <c r="B166" i="6"/>
  <c r="B166" i="5"/>
  <c r="D165" i="5"/>
  <c r="I165" i="5" s="1"/>
  <c r="B166" i="4"/>
  <c r="D165" i="4"/>
  <c r="I165" i="4" s="1"/>
  <c r="B166" i="3"/>
  <c r="D165" i="3"/>
  <c r="I165" i="3" s="1"/>
  <c r="B166" i="2"/>
  <c r="D165" i="2"/>
  <c r="I165" i="2" s="1"/>
  <c r="C168" i="1"/>
  <c r="H88" i="10" l="1"/>
  <c r="E89" i="10" s="1"/>
  <c r="B167" i="10"/>
  <c r="D166" i="10"/>
  <c r="I166" i="10" s="1"/>
  <c r="H88" i="9"/>
  <c r="E89" i="9" s="1"/>
  <c r="D166" i="9"/>
  <c r="I166" i="9" s="1"/>
  <c r="B167" i="9"/>
  <c r="H88" i="8"/>
  <c r="E89" i="8" s="1"/>
  <c r="D166" i="8"/>
  <c r="I166" i="8" s="1"/>
  <c r="B167" i="8"/>
  <c r="H88" i="7"/>
  <c r="E89" i="7" s="1"/>
  <c r="D166" i="7"/>
  <c r="I166" i="7" s="1"/>
  <c r="B167" i="7"/>
  <c r="B167" i="6"/>
  <c r="D166" i="6"/>
  <c r="I166" i="6" s="1"/>
  <c r="B167" i="5"/>
  <c r="D166" i="5"/>
  <c r="I166" i="5" s="1"/>
  <c r="B167" i="4"/>
  <c r="D166" i="4"/>
  <c r="I166" i="4" s="1"/>
  <c r="B167" i="3"/>
  <c r="D166" i="3"/>
  <c r="I166" i="3" s="1"/>
  <c r="D166" i="2"/>
  <c r="I166" i="2" s="1"/>
  <c r="B167" i="2"/>
  <c r="C169" i="1"/>
  <c r="B168" i="10" l="1"/>
  <c r="D167" i="10"/>
  <c r="I167" i="10" s="1"/>
  <c r="F89" i="10"/>
  <c r="G89" i="10" s="1"/>
  <c r="D167" i="9"/>
  <c r="I167" i="9" s="1"/>
  <c r="B168" i="9"/>
  <c r="F89" i="9"/>
  <c r="G89" i="9" s="1"/>
  <c r="D167" i="8"/>
  <c r="I167" i="8" s="1"/>
  <c r="B168" i="8"/>
  <c r="F89" i="8"/>
  <c r="G89" i="8" s="1"/>
  <c r="D167" i="7"/>
  <c r="I167" i="7" s="1"/>
  <c r="B168" i="7"/>
  <c r="F89" i="7"/>
  <c r="G89" i="7" s="1"/>
  <c r="D167" i="6"/>
  <c r="I167" i="6" s="1"/>
  <c r="B168" i="6"/>
  <c r="D167" i="5"/>
  <c r="I167" i="5" s="1"/>
  <c r="B168" i="5"/>
  <c r="B168" i="4"/>
  <c r="D167" i="4"/>
  <c r="I167" i="4" s="1"/>
  <c r="D167" i="3"/>
  <c r="I167" i="3" s="1"/>
  <c r="B168" i="3"/>
  <c r="D167" i="2"/>
  <c r="I167" i="2" s="1"/>
  <c r="B168" i="2"/>
  <c r="C170" i="1"/>
  <c r="H89" i="10" l="1"/>
  <c r="E90" i="10" s="1"/>
  <c r="B169" i="10"/>
  <c r="D168" i="10"/>
  <c r="I168" i="10" s="1"/>
  <c r="H89" i="9"/>
  <c r="E90" i="9" s="1"/>
  <c r="D168" i="9"/>
  <c r="I168" i="9" s="1"/>
  <c r="B169" i="9"/>
  <c r="H89" i="8"/>
  <c r="E90" i="8" s="1"/>
  <c r="D168" i="8"/>
  <c r="I168" i="8" s="1"/>
  <c r="B169" i="8"/>
  <c r="H89" i="7"/>
  <c r="E90" i="7" s="1"/>
  <c r="D168" i="7"/>
  <c r="I168" i="7" s="1"/>
  <c r="B169" i="7"/>
  <c r="B169" i="6"/>
  <c r="D168" i="6"/>
  <c r="I168" i="6" s="1"/>
  <c r="D168" i="5"/>
  <c r="I168" i="5" s="1"/>
  <c r="B169" i="5"/>
  <c r="D168" i="4"/>
  <c r="I168" i="4" s="1"/>
  <c r="B169" i="4"/>
  <c r="D168" i="3"/>
  <c r="I168" i="3" s="1"/>
  <c r="B169" i="3"/>
  <c r="D168" i="2"/>
  <c r="I168" i="2" s="1"/>
  <c r="B169" i="2"/>
  <c r="C171" i="1"/>
  <c r="D169" i="10" l="1"/>
  <c r="I169" i="10" s="1"/>
  <c r="B170" i="10"/>
  <c r="F90" i="10"/>
  <c r="G90" i="10" s="1"/>
  <c r="D169" i="9"/>
  <c r="I169" i="9" s="1"/>
  <c r="B170" i="9"/>
  <c r="F90" i="9"/>
  <c r="G90" i="9" s="1"/>
  <c r="D169" i="8"/>
  <c r="I169" i="8" s="1"/>
  <c r="B170" i="8"/>
  <c r="F90" i="8"/>
  <c r="G90" i="8" s="1"/>
  <c r="D169" i="7"/>
  <c r="I169" i="7" s="1"/>
  <c r="B170" i="7"/>
  <c r="F90" i="7"/>
  <c r="G90" i="7" s="1"/>
  <c r="D169" i="6"/>
  <c r="I169" i="6" s="1"/>
  <c r="B170" i="6"/>
  <c r="D169" i="5"/>
  <c r="I169" i="5" s="1"/>
  <c r="B170" i="5"/>
  <c r="B170" i="4"/>
  <c r="D169" i="4"/>
  <c r="I169" i="4" s="1"/>
  <c r="D169" i="3"/>
  <c r="I169" i="3" s="1"/>
  <c r="B170" i="3"/>
  <c r="D169" i="2"/>
  <c r="I169" i="2" s="1"/>
  <c r="B170" i="2"/>
  <c r="C172" i="1"/>
  <c r="H90" i="10" l="1"/>
  <c r="E91" i="10" s="1"/>
  <c r="B171" i="10"/>
  <c r="D170" i="10"/>
  <c r="I170" i="10" s="1"/>
  <c r="H90" i="9"/>
  <c r="E91" i="9" s="1"/>
  <c r="D170" i="9"/>
  <c r="I170" i="9" s="1"/>
  <c r="B171" i="9"/>
  <c r="H90" i="8"/>
  <c r="E91" i="8" s="1"/>
  <c r="D170" i="8"/>
  <c r="I170" i="8" s="1"/>
  <c r="B171" i="8"/>
  <c r="H90" i="7"/>
  <c r="E91" i="7" s="1"/>
  <c r="D170" i="7"/>
  <c r="I170" i="7" s="1"/>
  <c r="B171" i="7"/>
  <c r="B171" i="6"/>
  <c r="D170" i="6"/>
  <c r="I170" i="6" s="1"/>
  <c r="D170" i="5"/>
  <c r="I170" i="5" s="1"/>
  <c r="B171" i="5"/>
  <c r="D170" i="4"/>
  <c r="I170" i="4" s="1"/>
  <c r="B171" i="4"/>
  <c r="D170" i="3"/>
  <c r="I170" i="3" s="1"/>
  <c r="B171" i="3"/>
  <c r="B171" i="2"/>
  <c r="D170" i="2"/>
  <c r="I170" i="2" s="1"/>
  <c r="C173" i="1"/>
  <c r="D171" i="10" l="1"/>
  <c r="I171" i="10" s="1"/>
  <c r="B172" i="10"/>
  <c r="F91" i="10"/>
  <c r="G91" i="10" s="1"/>
  <c r="D171" i="9"/>
  <c r="I171" i="9" s="1"/>
  <c r="B172" i="9"/>
  <c r="F91" i="9"/>
  <c r="G91" i="9" s="1"/>
  <c r="D171" i="8"/>
  <c r="I171" i="8" s="1"/>
  <c r="B172" i="8"/>
  <c r="F91" i="8"/>
  <c r="G91" i="8" s="1"/>
  <c r="D171" i="7"/>
  <c r="I171" i="7" s="1"/>
  <c r="B172" i="7"/>
  <c r="F91" i="7"/>
  <c r="G91" i="7" s="1"/>
  <c r="D171" i="6"/>
  <c r="I171" i="6" s="1"/>
  <c r="B172" i="6"/>
  <c r="D171" i="5"/>
  <c r="I171" i="5" s="1"/>
  <c r="B172" i="5"/>
  <c r="D171" i="4"/>
  <c r="I171" i="4" s="1"/>
  <c r="B172" i="4"/>
  <c r="D171" i="3"/>
  <c r="I171" i="3" s="1"/>
  <c r="B172" i="3"/>
  <c r="D171" i="2"/>
  <c r="I171" i="2" s="1"/>
  <c r="B172" i="2"/>
  <c r="C174" i="1"/>
  <c r="H91" i="10" l="1"/>
  <c r="E92" i="10" s="1"/>
  <c r="B173" i="10"/>
  <c r="D172" i="10"/>
  <c r="I172" i="10" s="1"/>
  <c r="H91" i="9"/>
  <c r="E92" i="9" s="1"/>
  <c r="D172" i="9"/>
  <c r="I172" i="9" s="1"/>
  <c r="B173" i="9"/>
  <c r="H91" i="8"/>
  <c r="E92" i="8" s="1"/>
  <c r="D172" i="8"/>
  <c r="I172" i="8" s="1"/>
  <c r="B173" i="8"/>
  <c r="H91" i="7"/>
  <c r="E92" i="7" s="1"/>
  <c r="D172" i="7"/>
  <c r="I172" i="7" s="1"/>
  <c r="B173" i="7"/>
  <c r="B173" i="6"/>
  <c r="D172" i="6"/>
  <c r="I172" i="6" s="1"/>
  <c r="B173" i="5"/>
  <c r="D172" i="5"/>
  <c r="I172" i="5" s="1"/>
  <c r="D172" i="4"/>
  <c r="I172" i="4" s="1"/>
  <c r="B173" i="4"/>
  <c r="B173" i="3"/>
  <c r="D172" i="3"/>
  <c r="I172" i="3" s="1"/>
  <c r="B173" i="2"/>
  <c r="D172" i="2"/>
  <c r="I172" i="2" s="1"/>
  <c r="C175" i="1"/>
  <c r="B174" i="10" l="1"/>
  <c r="D173" i="10"/>
  <c r="I173" i="10" s="1"/>
  <c r="F92" i="10"/>
  <c r="G92" i="10" s="1"/>
  <c r="D173" i="9"/>
  <c r="I173" i="9" s="1"/>
  <c r="B174" i="9"/>
  <c r="F92" i="9"/>
  <c r="G92" i="9" s="1"/>
  <c r="D173" i="8"/>
  <c r="I173" i="8" s="1"/>
  <c r="B174" i="8"/>
  <c r="F92" i="8"/>
  <c r="G92" i="8" s="1"/>
  <c r="F92" i="7"/>
  <c r="G92" i="7" s="1"/>
  <c r="D173" i="7"/>
  <c r="I173" i="7" s="1"/>
  <c r="B174" i="7"/>
  <c r="D173" i="6"/>
  <c r="I173" i="6" s="1"/>
  <c r="B174" i="6"/>
  <c r="B174" i="5"/>
  <c r="D173" i="5"/>
  <c r="I173" i="5" s="1"/>
  <c r="B174" i="4"/>
  <c r="D173" i="4"/>
  <c r="I173" i="4" s="1"/>
  <c r="B174" i="3"/>
  <c r="D173" i="3"/>
  <c r="I173" i="3" s="1"/>
  <c r="B174" i="2"/>
  <c r="D173" i="2"/>
  <c r="I173" i="2" s="1"/>
  <c r="C176" i="1"/>
  <c r="H92" i="10" l="1"/>
  <c r="E93" i="10" s="1"/>
  <c r="B175" i="10"/>
  <c r="D174" i="10"/>
  <c r="I174" i="10" s="1"/>
  <c r="H92" i="9"/>
  <c r="E93" i="9" s="1"/>
  <c r="D174" i="9"/>
  <c r="I174" i="9" s="1"/>
  <c r="B175" i="9"/>
  <c r="H92" i="8"/>
  <c r="E93" i="8" s="1"/>
  <c r="D174" i="8"/>
  <c r="I174" i="8" s="1"/>
  <c r="B175" i="8"/>
  <c r="H92" i="7"/>
  <c r="E93" i="7" s="1"/>
  <c r="D174" i="7"/>
  <c r="I174" i="7" s="1"/>
  <c r="B175" i="7"/>
  <c r="B175" i="6"/>
  <c r="D174" i="6"/>
  <c r="I174" i="6" s="1"/>
  <c r="B175" i="5"/>
  <c r="D174" i="5"/>
  <c r="I174" i="5" s="1"/>
  <c r="B175" i="4"/>
  <c r="D174" i="4"/>
  <c r="I174" i="4" s="1"/>
  <c r="B175" i="3"/>
  <c r="D174" i="3"/>
  <c r="I174" i="3" s="1"/>
  <c r="D174" i="2"/>
  <c r="I174" i="2" s="1"/>
  <c r="B175" i="2"/>
  <c r="C177" i="1"/>
  <c r="B176" i="10" l="1"/>
  <c r="D175" i="10"/>
  <c r="I175" i="10" s="1"/>
  <c r="F93" i="10"/>
  <c r="G93" i="10" s="1"/>
  <c r="D175" i="9"/>
  <c r="I175" i="9" s="1"/>
  <c r="B176" i="9"/>
  <c r="F93" i="9"/>
  <c r="G93" i="9" s="1"/>
  <c r="D175" i="8"/>
  <c r="I175" i="8" s="1"/>
  <c r="B176" i="8"/>
  <c r="F93" i="8"/>
  <c r="G93" i="8" s="1"/>
  <c r="D175" i="7"/>
  <c r="I175" i="7" s="1"/>
  <c r="B176" i="7"/>
  <c r="F93" i="7"/>
  <c r="G93" i="7" s="1"/>
  <c r="D175" i="6"/>
  <c r="I175" i="6" s="1"/>
  <c r="B176" i="6"/>
  <c r="D175" i="5"/>
  <c r="I175" i="5" s="1"/>
  <c r="B176" i="5"/>
  <c r="B176" i="4"/>
  <c r="D175" i="4"/>
  <c r="I175" i="4" s="1"/>
  <c r="D175" i="3"/>
  <c r="I175" i="3" s="1"/>
  <c r="B176" i="3"/>
  <c r="B176" i="2"/>
  <c r="D175" i="2"/>
  <c r="I175" i="2" s="1"/>
  <c r="C178" i="1"/>
  <c r="H93" i="10" l="1"/>
  <c r="E94" i="10" s="1"/>
  <c r="B177" i="10"/>
  <c r="D176" i="10"/>
  <c r="I176" i="10" s="1"/>
  <c r="H93" i="9"/>
  <c r="E94" i="9" s="1"/>
  <c r="D176" i="9"/>
  <c r="I176" i="9" s="1"/>
  <c r="B177" i="9"/>
  <c r="H93" i="8"/>
  <c r="E94" i="8" s="1"/>
  <c r="D176" i="8"/>
  <c r="I176" i="8" s="1"/>
  <c r="B177" i="8"/>
  <c r="H93" i="7"/>
  <c r="E94" i="7" s="1"/>
  <c r="D176" i="7"/>
  <c r="I176" i="7" s="1"/>
  <c r="B177" i="7"/>
  <c r="B177" i="6"/>
  <c r="D176" i="6"/>
  <c r="I176" i="6" s="1"/>
  <c r="D176" i="5"/>
  <c r="I176" i="5" s="1"/>
  <c r="B177" i="5"/>
  <c r="D176" i="4"/>
  <c r="I176" i="4" s="1"/>
  <c r="B177" i="4"/>
  <c r="D176" i="3"/>
  <c r="I176" i="3" s="1"/>
  <c r="B177" i="3"/>
  <c r="D176" i="2"/>
  <c r="I176" i="2" s="1"/>
  <c r="B177" i="2"/>
  <c r="C179" i="1"/>
  <c r="D177" i="10" l="1"/>
  <c r="I177" i="10" s="1"/>
  <c r="B178" i="10"/>
  <c r="F94" i="10"/>
  <c r="G94" i="10" s="1"/>
  <c r="D177" i="9"/>
  <c r="I177" i="9" s="1"/>
  <c r="B178" i="9"/>
  <c r="F94" i="9"/>
  <c r="G94" i="9" s="1"/>
  <c r="D177" i="8"/>
  <c r="I177" i="8" s="1"/>
  <c r="B178" i="8"/>
  <c r="F94" i="8"/>
  <c r="G94" i="8" s="1"/>
  <c r="D177" i="7"/>
  <c r="I177" i="7" s="1"/>
  <c r="B178" i="7"/>
  <c r="F94" i="7"/>
  <c r="G94" i="7" s="1"/>
  <c r="D177" i="6"/>
  <c r="I177" i="6" s="1"/>
  <c r="B178" i="6"/>
  <c r="D177" i="5"/>
  <c r="I177" i="5" s="1"/>
  <c r="B178" i="5"/>
  <c r="B178" i="4"/>
  <c r="D177" i="4"/>
  <c r="I177" i="4" s="1"/>
  <c r="D177" i="3"/>
  <c r="I177" i="3" s="1"/>
  <c r="B178" i="3"/>
  <c r="B178" i="2"/>
  <c r="D177" i="2"/>
  <c r="I177" i="2" s="1"/>
  <c r="C180" i="1"/>
  <c r="H94" i="10" l="1"/>
  <c r="E95" i="10" s="1"/>
  <c r="B179" i="10"/>
  <c r="D178" i="10"/>
  <c r="I178" i="10" s="1"/>
  <c r="H94" i="9"/>
  <c r="E95" i="9" s="1"/>
  <c r="D178" i="9"/>
  <c r="I178" i="9" s="1"/>
  <c r="B179" i="9"/>
  <c r="H94" i="8"/>
  <c r="E95" i="8" s="1"/>
  <c r="D178" i="8"/>
  <c r="I178" i="8" s="1"/>
  <c r="B179" i="8"/>
  <c r="H94" i="7"/>
  <c r="E95" i="7" s="1"/>
  <c r="D178" i="7"/>
  <c r="I178" i="7" s="1"/>
  <c r="B179" i="7"/>
  <c r="B179" i="6"/>
  <c r="D178" i="6"/>
  <c r="I178" i="6" s="1"/>
  <c r="D178" i="5"/>
  <c r="I178" i="5" s="1"/>
  <c r="B179" i="5"/>
  <c r="D178" i="4"/>
  <c r="I178" i="4" s="1"/>
  <c r="B179" i="4"/>
  <c r="D178" i="3"/>
  <c r="I178" i="3" s="1"/>
  <c r="B179" i="3"/>
  <c r="D178" i="2"/>
  <c r="I178" i="2" s="1"/>
  <c r="B179" i="2"/>
  <c r="C181" i="1"/>
  <c r="D179" i="10" l="1"/>
  <c r="I179" i="10" s="1"/>
  <c r="B180" i="10"/>
  <c r="F95" i="10"/>
  <c r="G95" i="10" s="1"/>
  <c r="D179" i="9"/>
  <c r="I179" i="9" s="1"/>
  <c r="B180" i="9"/>
  <c r="F95" i="9"/>
  <c r="G95" i="9" s="1"/>
  <c r="D179" i="8"/>
  <c r="I179" i="8" s="1"/>
  <c r="B180" i="8"/>
  <c r="F95" i="8"/>
  <c r="G95" i="8" s="1"/>
  <c r="D179" i="7"/>
  <c r="I179" i="7" s="1"/>
  <c r="B180" i="7"/>
  <c r="F95" i="7"/>
  <c r="G95" i="7" s="1"/>
  <c r="D179" i="6"/>
  <c r="I179" i="6" s="1"/>
  <c r="B180" i="6"/>
  <c r="D179" i="5"/>
  <c r="I179" i="5" s="1"/>
  <c r="B180" i="5"/>
  <c r="D179" i="4"/>
  <c r="I179" i="4" s="1"/>
  <c r="B180" i="4"/>
  <c r="D179" i="3"/>
  <c r="I179" i="3" s="1"/>
  <c r="B180" i="3"/>
  <c r="D179" i="2"/>
  <c r="I179" i="2" s="1"/>
  <c r="B180" i="2"/>
  <c r="C182" i="1"/>
  <c r="H95" i="10" l="1"/>
  <c r="E96" i="10" s="1"/>
  <c r="D180" i="10"/>
  <c r="I180" i="10" s="1"/>
  <c r="B181" i="10"/>
  <c r="H95" i="9"/>
  <c r="E96" i="9" s="1"/>
  <c r="D180" i="9"/>
  <c r="I180" i="9" s="1"/>
  <c r="B181" i="9"/>
  <c r="H95" i="8"/>
  <c r="E96" i="8" s="1"/>
  <c r="D180" i="8"/>
  <c r="I180" i="8" s="1"/>
  <c r="B181" i="8"/>
  <c r="H95" i="7"/>
  <c r="E96" i="7" s="1"/>
  <c r="D180" i="7"/>
  <c r="I180" i="7" s="1"/>
  <c r="B181" i="7"/>
  <c r="B181" i="6"/>
  <c r="D180" i="6"/>
  <c r="I180" i="6" s="1"/>
  <c r="B181" i="5"/>
  <c r="D180" i="5"/>
  <c r="I180" i="5" s="1"/>
  <c r="D180" i="4"/>
  <c r="I180" i="4" s="1"/>
  <c r="B181" i="4"/>
  <c r="B181" i="3"/>
  <c r="D180" i="3"/>
  <c r="I180" i="3" s="1"/>
  <c r="D180" i="2"/>
  <c r="I180" i="2" s="1"/>
  <c r="B181" i="2"/>
  <c r="C183" i="1"/>
  <c r="B182" i="10" l="1"/>
  <c r="D181" i="10"/>
  <c r="I181" i="10" s="1"/>
  <c r="F96" i="10"/>
  <c r="G96" i="10" s="1"/>
  <c r="D181" i="9"/>
  <c r="I181" i="9" s="1"/>
  <c r="B182" i="9"/>
  <c r="F96" i="9"/>
  <c r="G96" i="9" s="1"/>
  <c r="D181" i="8"/>
  <c r="I181" i="8" s="1"/>
  <c r="B182" i="8"/>
  <c r="F96" i="8"/>
  <c r="G96" i="8" s="1"/>
  <c r="D181" i="7"/>
  <c r="I181" i="7" s="1"/>
  <c r="B182" i="7"/>
  <c r="F96" i="7"/>
  <c r="G96" i="7" s="1"/>
  <c r="D181" i="6"/>
  <c r="I181" i="6" s="1"/>
  <c r="B182" i="6"/>
  <c r="B182" i="5"/>
  <c r="D181" i="5"/>
  <c r="I181" i="5" s="1"/>
  <c r="B182" i="4"/>
  <c r="D181" i="4"/>
  <c r="I181" i="4" s="1"/>
  <c r="B182" i="3"/>
  <c r="D181" i="3"/>
  <c r="I181" i="3" s="1"/>
  <c r="B182" i="2"/>
  <c r="D181" i="2"/>
  <c r="I181" i="2" s="1"/>
  <c r="C184" i="1"/>
  <c r="H96" i="10" l="1"/>
  <c r="E97" i="10" s="1"/>
  <c r="B183" i="10"/>
  <c r="D182" i="10"/>
  <c r="I182" i="10" s="1"/>
  <c r="H96" i="9"/>
  <c r="E97" i="9" s="1"/>
  <c r="D182" i="9"/>
  <c r="I182" i="9" s="1"/>
  <c r="B183" i="9"/>
  <c r="H96" i="8"/>
  <c r="E97" i="8" s="1"/>
  <c r="D182" i="8"/>
  <c r="I182" i="8" s="1"/>
  <c r="B183" i="8"/>
  <c r="H96" i="7"/>
  <c r="E97" i="7" s="1"/>
  <c r="D182" i="7"/>
  <c r="I182" i="7" s="1"/>
  <c r="B183" i="7"/>
  <c r="B183" i="6"/>
  <c r="D182" i="6"/>
  <c r="I182" i="6" s="1"/>
  <c r="B183" i="5"/>
  <c r="D182" i="5"/>
  <c r="I182" i="5" s="1"/>
  <c r="B183" i="4"/>
  <c r="D182" i="4"/>
  <c r="I182" i="4" s="1"/>
  <c r="B183" i="3"/>
  <c r="D182" i="3"/>
  <c r="I182" i="3" s="1"/>
  <c r="D182" i="2"/>
  <c r="I182" i="2" s="1"/>
  <c r="B183" i="2"/>
  <c r="C185" i="1"/>
  <c r="B184" i="10" l="1"/>
  <c r="D183" i="10"/>
  <c r="I183" i="10" s="1"/>
  <c r="F97" i="10"/>
  <c r="G97" i="10" s="1"/>
  <c r="D183" i="9"/>
  <c r="I183" i="9" s="1"/>
  <c r="B184" i="9"/>
  <c r="F97" i="9"/>
  <c r="G97" i="9" s="1"/>
  <c r="D183" i="8"/>
  <c r="I183" i="8" s="1"/>
  <c r="B184" i="8"/>
  <c r="F97" i="8"/>
  <c r="G97" i="8" s="1"/>
  <c r="F97" i="7"/>
  <c r="G97" i="7" s="1"/>
  <c r="D183" i="7"/>
  <c r="I183" i="7" s="1"/>
  <c r="B184" i="7"/>
  <c r="D183" i="6"/>
  <c r="I183" i="6" s="1"/>
  <c r="B184" i="6"/>
  <c r="D183" i="5"/>
  <c r="I183" i="5" s="1"/>
  <c r="B184" i="5"/>
  <c r="B184" i="4"/>
  <c r="D183" i="4"/>
  <c r="I183" i="4" s="1"/>
  <c r="D183" i="3"/>
  <c r="I183" i="3" s="1"/>
  <c r="B184" i="3"/>
  <c r="B184" i="2"/>
  <c r="D183" i="2"/>
  <c r="I183" i="2" s="1"/>
  <c r="C186" i="1"/>
  <c r="H97" i="10" l="1"/>
  <c r="E98" i="10" s="1"/>
  <c r="B185" i="10"/>
  <c r="D184" i="10"/>
  <c r="I184" i="10" s="1"/>
  <c r="H97" i="9"/>
  <c r="E98" i="9" s="1"/>
  <c r="D184" i="9"/>
  <c r="I184" i="9" s="1"/>
  <c r="B185" i="9"/>
  <c r="H97" i="8"/>
  <c r="E98" i="8" s="1"/>
  <c r="D184" i="8"/>
  <c r="I184" i="8" s="1"/>
  <c r="B185" i="8"/>
  <c r="H97" i="7"/>
  <c r="E98" i="7" s="1"/>
  <c r="D184" i="7"/>
  <c r="I184" i="7" s="1"/>
  <c r="B185" i="7"/>
  <c r="B185" i="6"/>
  <c r="D184" i="6"/>
  <c r="I184" i="6" s="1"/>
  <c r="D184" i="5"/>
  <c r="I184" i="5" s="1"/>
  <c r="B185" i="5"/>
  <c r="D184" i="4"/>
  <c r="I184" i="4" s="1"/>
  <c r="B185" i="4"/>
  <c r="D184" i="3"/>
  <c r="I184" i="3" s="1"/>
  <c r="B185" i="3"/>
  <c r="D184" i="2"/>
  <c r="I184" i="2" s="1"/>
  <c r="B185" i="2"/>
  <c r="C187" i="1"/>
  <c r="D185" i="10" l="1"/>
  <c r="I185" i="10" s="1"/>
  <c r="B186" i="10"/>
  <c r="F98" i="10"/>
  <c r="G98" i="10" s="1"/>
  <c r="D185" i="9"/>
  <c r="I185" i="9" s="1"/>
  <c r="B186" i="9"/>
  <c r="F98" i="9"/>
  <c r="G98" i="9" s="1"/>
  <c r="D185" i="8"/>
  <c r="I185" i="8" s="1"/>
  <c r="B186" i="8"/>
  <c r="F98" i="8"/>
  <c r="G98" i="8" s="1"/>
  <c r="D185" i="7"/>
  <c r="I185" i="7" s="1"/>
  <c r="B186" i="7"/>
  <c r="F98" i="7"/>
  <c r="G98" i="7" s="1"/>
  <c r="D185" i="6"/>
  <c r="I185" i="6" s="1"/>
  <c r="B186" i="6"/>
  <c r="D185" i="5"/>
  <c r="I185" i="5" s="1"/>
  <c r="B186" i="5"/>
  <c r="B186" i="4"/>
  <c r="D185" i="4"/>
  <c r="I185" i="4" s="1"/>
  <c r="D185" i="3"/>
  <c r="I185" i="3" s="1"/>
  <c r="B186" i="3"/>
  <c r="D185" i="2"/>
  <c r="I185" i="2" s="1"/>
  <c r="B186" i="2"/>
  <c r="C188" i="1"/>
  <c r="H98" i="10" l="1"/>
  <c r="E99" i="10" s="1"/>
  <c r="B187" i="10"/>
  <c r="D186" i="10"/>
  <c r="I186" i="10" s="1"/>
  <c r="H98" i="9"/>
  <c r="E99" i="9" s="1"/>
  <c r="D186" i="9"/>
  <c r="I186" i="9" s="1"/>
  <c r="B187" i="9"/>
  <c r="H98" i="8"/>
  <c r="E99" i="8" s="1"/>
  <c r="D186" i="8"/>
  <c r="I186" i="8" s="1"/>
  <c r="B187" i="8"/>
  <c r="H98" i="7"/>
  <c r="E99" i="7" s="1"/>
  <c r="D186" i="7"/>
  <c r="I186" i="7" s="1"/>
  <c r="B187" i="7"/>
  <c r="B187" i="6"/>
  <c r="D186" i="6"/>
  <c r="I186" i="6" s="1"/>
  <c r="D186" i="5"/>
  <c r="I186" i="5" s="1"/>
  <c r="B187" i="5"/>
  <c r="D186" i="4"/>
  <c r="I186" i="4" s="1"/>
  <c r="B187" i="4"/>
  <c r="D186" i="3"/>
  <c r="I186" i="3" s="1"/>
  <c r="B187" i="3"/>
  <c r="B187" i="2"/>
  <c r="D186" i="2"/>
  <c r="I186" i="2" s="1"/>
  <c r="C189" i="1"/>
  <c r="D187" i="10" l="1"/>
  <c r="I187" i="10" s="1"/>
  <c r="B188" i="10"/>
  <c r="F99" i="10"/>
  <c r="G99" i="10" s="1"/>
  <c r="D187" i="9"/>
  <c r="I187" i="9" s="1"/>
  <c r="B188" i="9"/>
  <c r="F99" i="9"/>
  <c r="G99" i="9" s="1"/>
  <c r="D187" i="8"/>
  <c r="I187" i="8" s="1"/>
  <c r="B188" i="8"/>
  <c r="F99" i="8"/>
  <c r="G99" i="8" s="1"/>
  <c r="D187" i="7"/>
  <c r="I187" i="7" s="1"/>
  <c r="B188" i="7"/>
  <c r="F99" i="7"/>
  <c r="G99" i="7" s="1"/>
  <c r="D187" i="6"/>
  <c r="I187" i="6" s="1"/>
  <c r="B188" i="6"/>
  <c r="D187" i="5"/>
  <c r="I187" i="5" s="1"/>
  <c r="B188" i="5"/>
  <c r="D187" i="4"/>
  <c r="I187" i="4" s="1"/>
  <c r="B188" i="4"/>
  <c r="D187" i="3"/>
  <c r="I187" i="3" s="1"/>
  <c r="B188" i="3"/>
  <c r="D187" i="2"/>
  <c r="I187" i="2" s="1"/>
  <c r="B188" i="2"/>
  <c r="C190" i="1"/>
  <c r="H99" i="10" l="1"/>
  <c r="E100" i="10" s="1"/>
  <c r="B189" i="10"/>
  <c r="D188" i="10"/>
  <c r="I188" i="10" s="1"/>
  <c r="H99" i="9"/>
  <c r="E100" i="9" s="1"/>
  <c r="D188" i="9"/>
  <c r="I188" i="9" s="1"/>
  <c r="B189" i="9"/>
  <c r="H99" i="8"/>
  <c r="E100" i="8" s="1"/>
  <c r="D188" i="8"/>
  <c r="I188" i="8" s="1"/>
  <c r="B189" i="8"/>
  <c r="H99" i="7"/>
  <c r="E100" i="7" s="1"/>
  <c r="D188" i="7"/>
  <c r="I188" i="7" s="1"/>
  <c r="B189" i="7"/>
  <c r="B189" i="6"/>
  <c r="D188" i="6"/>
  <c r="I188" i="6" s="1"/>
  <c r="B189" i="5"/>
  <c r="D188" i="5"/>
  <c r="I188" i="5" s="1"/>
  <c r="D188" i="4"/>
  <c r="I188" i="4" s="1"/>
  <c r="B189" i="4"/>
  <c r="B189" i="3"/>
  <c r="D188" i="3"/>
  <c r="I188" i="3" s="1"/>
  <c r="B189" i="2"/>
  <c r="D188" i="2"/>
  <c r="I188" i="2" s="1"/>
  <c r="C191" i="1"/>
  <c r="B190" i="10" l="1"/>
  <c r="D189" i="10"/>
  <c r="I189" i="10" s="1"/>
  <c r="F100" i="10"/>
  <c r="G100" i="10" s="1"/>
  <c r="D189" i="9"/>
  <c r="I189" i="9" s="1"/>
  <c r="B190" i="9"/>
  <c r="F100" i="9"/>
  <c r="G100" i="9" s="1"/>
  <c r="D189" i="8"/>
  <c r="I189" i="8" s="1"/>
  <c r="B190" i="8"/>
  <c r="F100" i="8"/>
  <c r="G100" i="8" s="1"/>
  <c r="D189" i="7"/>
  <c r="I189" i="7" s="1"/>
  <c r="B190" i="7"/>
  <c r="F100" i="7"/>
  <c r="G100" i="7" s="1"/>
  <c r="D189" i="6"/>
  <c r="I189" i="6" s="1"/>
  <c r="B190" i="6"/>
  <c r="B190" i="5"/>
  <c r="D189" i="5"/>
  <c r="I189" i="5" s="1"/>
  <c r="B190" i="4"/>
  <c r="D189" i="4"/>
  <c r="I189" i="4" s="1"/>
  <c r="B190" i="3"/>
  <c r="D189" i="3"/>
  <c r="I189" i="3" s="1"/>
  <c r="B190" i="2"/>
  <c r="D189" i="2"/>
  <c r="I189" i="2" s="1"/>
  <c r="C192" i="1"/>
  <c r="H100" i="10" l="1"/>
  <c r="E101" i="10" s="1"/>
  <c r="B191" i="10"/>
  <c r="D190" i="10"/>
  <c r="I190" i="10" s="1"/>
  <c r="H100" i="9"/>
  <c r="E101" i="9" s="1"/>
  <c r="D190" i="9"/>
  <c r="I190" i="9" s="1"/>
  <c r="B191" i="9"/>
  <c r="H100" i="8"/>
  <c r="E101" i="8" s="1"/>
  <c r="D190" i="8"/>
  <c r="I190" i="8" s="1"/>
  <c r="B191" i="8"/>
  <c r="H100" i="7"/>
  <c r="E101" i="7" s="1"/>
  <c r="D190" i="7"/>
  <c r="I190" i="7" s="1"/>
  <c r="B191" i="7"/>
  <c r="B191" i="6"/>
  <c r="D190" i="6"/>
  <c r="I190" i="6" s="1"/>
  <c r="B191" i="5"/>
  <c r="D190" i="5"/>
  <c r="I190" i="5" s="1"/>
  <c r="B191" i="4"/>
  <c r="D190" i="4"/>
  <c r="I190" i="4" s="1"/>
  <c r="B191" i="3"/>
  <c r="D190" i="3"/>
  <c r="I190" i="3" s="1"/>
  <c r="D190" i="2"/>
  <c r="I190" i="2" s="1"/>
  <c r="B191" i="2"/>
  <c r="C193" i="1"/>
  <c r="B192" i="10" l="1"/>
  <c r="D191" i="10"/>
  <c r="I191" i="10" s="1"/>
  <c r="F101" i="10"/>
  <c r="G101" i="10" s="1"/>
  <c r="D191" i="9"/>
  <c r="I191" i="9" s="1"/>
  <c r="B192" i="9"/>
  <c r="F101" i="9"/>
  <c r="G101" i="9" s="1"/>
  <c r="D191" i="8"/>
  <c r="I191" i="8" s="1"/>
  <c r="B192" i="8"/>
  <c r="F101" i="8"/>
  <c r="G101" i="8" s="1"/>
  <c r="D191" i="7"/>
  <c r="I191" i="7" s="1"/>
  <c r="B192" i="7"/>
  <c r="F101" i="7"/>
  <c r="G101" i="7" s="1"/>
  <c r="D191" i="6"/>
  <c r="I191" i="6" s="1"/>
  <c r="B192" i="6"/>
  <c r="D191" i="5"/>
  <c r="I191" i="5" s="1"/>
  <c r="B192" i="5"/>
  <c r="B192" i="4"/>
  <c r="D191" i="4"/>
  <c r="I191" i="4" s="1"/>
  <c r="D191" i="3"/>
  <c r="I191" i="3" s="1"/>
  <c r="B192" i="3"/>
  <c r="D191" i="2"/>
  <c r="I191" i="2" s="1"/>
  <c r="B192" i="2"/>
  <c r="C194" i="1"/>
  <c r="H101" i="10" l="1"/>
  <c r="E102" i="10" s="1"/>
  <c r="B193" i="10"/>
  <c r="D192" i="10"/>
  <c r="I192" i="10" s="1"/>
  <c r="H101" i="9"/>
  <c r="E102" i="9" s="1"/>
  <c r="D192" i="9"/>
  <c r="I192" i="9" s="1"/>
  <c r="B193" i="9"/>
  <c r="H101" i="8"/>
  <c r="E102" i="8" s="1"/>
  <c r="D192" i="8"/>
  <c r="I192" i="8" s="1"/>
  <c r="B193" i="8"/>
  <c r="H101" i="7"/>
  <c r="E102" i="7" s="1"/>
  <c r="D192" i="7"/>
  <c r="I192" i="7" s="1"/>
  <c r="B193" i="7"/>
  <c r="B193" i="6"/>
  <c r="D192" i="6"/>
  <c r="I192" i="6" s="1"/>
  <c r="D192" i="5"/>
  <c r="I192" i="5" s="1"/>
  <c r="B193" i="5"/>
  <c r="D192" i="4"/>
  <c r="I192" i="4" s="1"/>
  <c r="B193" i="4"/>
  <c r="D192" i="3"/>
  <c r="I192" i="3" s="1"/>
  <c r="B193" i="3"/>
  <c r="D192" i="2"/>
  <c r="I192" i="2" s="1"/>
  <c r="B193" i="2"/>
  <c r="C195" i="1"/>
  <c r="D193" i="10" l="1"/>
  <c r="I193" i="10" s="1"/>
  <c r="B194" i="10"/>
  <c r="F102" i="10"/>
  <c r="G102" i="10" s="1"/>
  <c r="D193" i="9"/>
  <c r="I193" i="9" s="1"/>
  <c r="B194" i="9"/>
  <c r="F102" i="9"/>
  <c r="G102" i="9" s="1"/>
  <c r="D193" i="8"/>
  <c r="I193" i="8" s="1"/>
  <c r="B194" i="8"/>
  <c r="F102" i="8"/>
  <c r="G102" i="8" s="1"/>
  <c r="F102" i="7"/>
  <c r="G102" i="7" s="1"/>
  <c r="D193" i="7"/>
  <c r="I193" i="7" s="1"/>
  <c r="B194" i="7"/>
  <c r="D193" i="6"/>
  <c r="I193" i="6" s="1"/>
  <c r="B194" i="6"/>
  <c r="D193" i="5"/>
  <c r="I193" i="5" s="1"/>
  <c r="B194" i="5"/>
  <c r="B194" i="4"/>
  <c r="D193" i="4"/>
  <c r="I193" i="4" s="1"/>
  <c r="D193" i="3"/>
  <c r="I193" i="3" s="1"/>
  <c r="B194" i="3"/>
  <c r="B194" i="2"/>
  <c r="D193" i="2"/>
  <c r="I193" i="2" s="1"/>
  <c r="C196" i="1"/>
  <c r="H102" i="10" l="1"/>
  <c r="E103" i="10" s="1"/>
  <c r="B195" i="10"/>
  <c r="D194" i="10"/>
  <c r="I194" i="10" s="1"/>
  <c r="H102" i="9"/>
  <c r="E103" i="9" s="1"/>
  <c r="D194" i="9"/>
  <c r="I194" i="9" s="1"/>
  <c r="B195" i="9"/>
  <c r="H102" i="8"/>
  <c r="E103" i="8" s="1"/>
  <c r="D194" i="8"/>
  <c r="I194" i="8" s="1"/>
  <c r="B195" i="8"/>
  <c r="H102" i="7"/>
  <c r="E103" i="7" s="1"/>
  <c r="D194" i="7"/>
  <c r="I194" i="7" s="1"/>
  <c r="B195" i="7"/>
  <c r="B195" i="6"/>
  <c r="D194" i="6"/>
  <c r="I194" i="6" s="1"/>
  <c r="D194" i="5"/>
  <c r="I194" i="5" s="1"/>
  <c r="B195" i="5"/>
  <c r="D194" i="4"/>
  <c r="I194" i="4" s="1"/>
  <c r="B195" i="4"/>
  <c r="D194" i="3"/>
  <c r="I194" i="3" s="1"/>
  <c r="B195" i="3"/>
  <c r="B195" i="2"/>
  <c r="D194" i="2"/>
  <c r="I194" i="2" s="1"/>
  <c r="C197" i="1"/>
  <c r="D195" i="10" l="1"/>
  <c r="I195" i="10" s="1"/>
  <c r="B196" i="10"/>
  <c r="F103" i="10"/>
  <c r="G103" i="10" s="1"/>
  <c r="D195" i="9"/>
  <c r="I195" i="9" s="1"/>
  <c r="B196" i="9"/>
  <c r="F103" i="9"/>
  <c r="G103" i="9" s="1"/>
  <c r="D195" i="8"/>
  <c r="I195" i="8" s="1"/>
  <c r="B196" i="8"/>
  <c r="F103" i="8"/>
  <c r="G103" i="8" s="1"/>
  <c r="D195" i="7"/>
  <c r="I195" i="7" s="1"/>
  <c r="B196" i="7"/>
  <c r="F103" i="7"/>
  <c r="G103" i="7" s="1"/>
  <c r="D195" i="6"/>
  <c r="I195" i="6" s="1"/>
  <c r="B196" i="6"/>
  <c r="D195" i="5"/>
  <c r="I195" i="5" s="1"/>
  <c r="B196" i="5"/>
  <c r="D195" i="4"/>
  <c r="I195" i="4" s="1"/>
  <c r="B196" i="4"/>
  <c r="D195" i="3"/>
  <c r="I195" i="3" s="1"/>
  <c r="B196" i="3"/>
  <c r="D195" i="2"/>
  <c r="I195" i="2" s="1"/>
  <c r="B196" i="2"/>
  <c r="C198" i="1"/>
  <c r="H103" i="10" l="1"/>
  <c r="E104" i="10" s="1"/>
  <c r="D196" i="10"/>
  <c r="I196" i="10" s="1"/>
  <c r="B197" i="10"/>
  <c r="H103" i="9"/>
  <c r="E104" i="9" s="1"/>
  <c r="D196" i="9"/>
  <c r="I196" i="9" s="1"/>
  <c r="B197" i="9"/>
  <c r="H103" i="8"/>
  <c r="E104" i="8" s="1"/>
  <c r="D196" i="8"/>
  <c r="I196" i="8" s="1"/>
  <c r="B197" i="8"/>
  <c r="H103" i="7"/>
  <c r="E104" i="7" s="1"/>
  <c r="D196" i="7"/>
  <c r="I196" i="7" s="1"/>
  <c r="B197" i="7"/>
  <c r="B197" i="6"/>
  <c r="D196" i="6"/>
  <c r="I196" i="6" s="1"/>
  <c r="B197" i="5"/>
  <c r="D196" i="5"/>
  <c r="I196" i="5" s="1"/>
  <c r="D196" i="4"/>
  <c r="I196" i="4" s="1"/>
  <c r="B197" i="4"/>
  <c r="B197" i="3"/>
  <c r="D196" i="3"/>
  <c r="I196" i="3" s="1"/>
  <c r="D196" i="2"/>
  <c r="I196" i="2" s="1"/>
  <c r="B197" i="2"/>
  <c r="C199" i="1"/>
  <c r="B198" i="10" l="1"/>
  <c r="D197" i="10"/>
  <c r="I197" i="10" s="1"/>
  <c r="F104" i="10"/>
  <c r="G104" i="10" s="1"/>
  <c r="D197" i="9"/>
  <c r="I197" i="9" s="1"/>
  <c r="B198" i="9"/>
  <c r="F104" i="9"/>
  <c r="G104" i="9" s="1"/>
  <c r="D197" i="8"/>
  <c r="I197" i="8" s="1"/>
  <c r="B198" i="8"/>
  <c r="F104" i="8"/>
  <c r="G104" i="8" s="1"/>
  <c r="D197" i="7"/>
  <c r="I197" i="7" s="1"/>
  <c r="B198" i="7"/>
  <c r="F104" i="7"/>
  <c r="G104" i="7" s="1"/>
  <c r="D197" i="6"/>
  <c r="I197" i="6" s="1"/>
  <c r="B198" i="6"/>
  <c r="B198" i="5"/>
  <c r="D197" i="5"/>
  <c r="I197" i="5" s="1"/>
  <c r="B198" i="4"/>
  <c r="D197" i="4"/>
  <c r="I197" i="4" s="1"/>
  <c r="B198" i="3"/>
  <c r="D197" i="3"/>
  <c r="I197" i="3" s="1"/>
  <c r="B198" i="2"/>
  <c r="D197" i="2"/>
  <c r="I197" i="2" s="1"/>
  <c r="C200" i="1"/>
  <c r="H104" i="10" l="1"/>
  <c r="E105" i="10" s="1"/>
  <c r="B199" i="10"/>
  <c r="D198" i="10"/>
  <c r="I198" i="10" s="1"/>
  <c r="H104" i="9"/>
  <c r="E105" i="9" s="1"/>
  <c r="D198" i="9"/>
  <c r="I198" i="9" s="1"/>
  <c r="B199" i="9"/>
  <c r="H104" i="8"/>
  <c r="E105" i="8" s="1"/>
  <c r="D198" i="8"/>
  <c r="I198" i="8" s="1"/>
  <c r="B199" i="8"/>
  <c r="H104" i="7"/>
  <c r="E105" i="7" s="1"/>
  <c r="D198" i="7"/>
  <c r="I198" i="7" s="1"/>
  <c r="B199" i="7"/>
  <c r="B199" i="6"/>
  <c r="D198" i="6"/>
  <c r="I198" i="6" s="1"/>
  <c r="B199" i="5"/>
  <c r="D198" i="5"/>
  <c r="I198" i="5" s="1"/>
  <c r="B199" i="4"/>
  <c r="D198" i="4"/>
  <c r="I198" i="4" s="1"/>
  <c r="B199" i="3"/>
  <c r="D198" i="3"/>
  <c r="I198" i="3" s="1"/>
  <c r="D198" i="2"/>
  <c r="I198" i="2" s="1"/>
  <c r="B199" i="2"/>
  <c r="C201" i="1"/>
  <c r="B200" i="10" l="1"/>
  <c r="D199" i="10"/>
  <c r="I199" i="10" s="1"/>
  <c r="F105" i="10"/>
  <c r="G105" i="10" s="1"/>
  <c r="D199" i="9"/>
  <c r="I199" i="9" s="1"/>
  <c r="B200" i="9"/>
  <c r="F105" i="9"/>
  <c r="G105" i="9" s="1"/>
  <c r="D199" i="8"/>
  <c r="I199" i="8" s="1"/>
  <c r="B200" i="8"/>
  <c r="F105" i="8"/>
  <c r="G105" i="8" s="1"/>
  <c r="D199" i="7"/>
  <c r="I199" i="7" s="1"/>
  <c r="B200" i="7"/>
  <c r="F105" i="7"/>
  <c r="G105" i="7" s="1"/>
  <c r="D199" i="6"/>
  <c r="I199" i="6" s="1"/>
  <c r="B200" i="6"/>
  <c r="D199" i="5"/>
  <c r="I199" i="5" s="1"/>
  <c r="B200" i="5"/>
  <c r="B200" i="4"/>
  <c r="D199" i="4"/>
  <c r="I199" i="4" s="1"/>
  <c r="D199" i="3"/>
  <c r="I199" i="3" s="1"/>
  <c r="B200" i="3"/>
  <c r="B200" i="2"/>
  <c r="D199" i="2"/>
  <c r="I199" i="2" s="1"/>
  <c r="C202" i="1"/>
  <c r="H105" i="10" l="1"/>
  <c r="E106" i="10" s="1"/>
  <c r="B201" i="10"/>
  <c r="D200" i="10"/>
  <c r="I200" i="10" s="1"/>
  <c r="H105" i="9"/>
  <c r="E106" i="9" s="1"/>
  <c r="D200" i="9"/>
  <c r="I200" i="9" s="1"/>
  <c r="B201" i="9"/>
  <c r="H105" i="8"/>
  <c r="E106" i="8" s="1"/>
  <c r="D200" i="8"/>
  <c r="I200" i="8" s="1"/>
  <c r="B201" i="8"/>
  <c r="H105" i="7"/>
  <c r="E106" i="7" s="1"/>
  <c r="D200" i="7"/>
  <c r="I200" i="7" s="1"/>
  <c r="B201" i="7"/>
  <c r="B201" i="6"/>
  <c r="D200" i="6"/>
  <c r="I200" i="6" s="1"/>
  <c r="D200" i="5"/>
  <c r="I200" i="5" s="1"/>
  <c r="B201" i="5"/>
  <c r="D200" i="4"/>
  <c r="I200" i="4" s="1"/>
  <c r="B201" i="4"/>
  <c r="D200" i="3"/>
  <c r="I200" i="3" s="1"/>
  <c r="B201" i="3"/>
  <c r="D200" i="2"/>
  <c r="I200" i="2" s="1"/>
  <c r="B201" i="2"/>
  <c r="C203" i="1"/>
  <c r="D201" i="10" l="1"/>
  <c r="I201" i="10" s="1"/>
  <c r="B202" i="10"/>
  <c r="F106" i="10"/>
  <c r="G106" i="10" s="1"/>
  <c r="D201" i="9"/>
  <c r="I201" i="9" s="1"/>
  <c r="B202" i="9"/>
  <c r="F106" i="9"/>
  <c r="G106" i="9" s="1"/>
  <c r="D201" i="8"/>
  <c r="I201" i="8" s="1"/>
  <c r="B202" i="8"/>
  <c r="F106" i="8"/>
  <c r="G106" i="8" s="1"/>
  <c r="F106" i="7"/>
  <c r="G106" i="7" s="1"/>
  <c r="D201" i="7"/>
  <c r="I201" i="7" s="1"/>
  <c r="B202" i="7"/>
  <c r="D201" i="6"/>
  <c r="I201" i="6" s="1"/>
  <c r="B202" i="6"/>
  <c r="D201" i="5"/>
  <c r="I201" i="5" s="1"/>
  <c r="B202" i="5"/>
  <c r="B202" i="4"/>
  <c r="D201" i="4"/>
  <c r="I201" i="4" s="1"/>
  <c r="D201" i="3"/>
  <c r="I201" i="3" s="1"/>
  <c r="B202" i="3"/>
  <c r="B202" i="2"/>
  <c r="D201" i="2"/>
  <c r="I201" i="2" s="1"/>
  <c r="C204" i="1"/>
  <c r="H106" i="10" l="1"/>
  <c r="E107" i="10" s="1"/>
  <c r="B203" i="10"/>
  <c r="D202" i="10"/>
  <c r="I202" i="10" s="1"/>
  <c r="H106" i="9"/>
  <c r="E107" i="9" s="1"/>
  <c r="D202" i="9"/>
  <c r="I202" i="9" s="1"/>
  <c r="B203" i="9"/>
  <c r="H106" i="8"/>
  <c r="E107" i="8" s="1"/>
  <c r="D202" i="8"/>
  <c r="I202" i="8" s="1"/>
  <c r="B203" i="8"/>
  <c r="H106" i="7"/>
  <c r="E107" i="7" s="1"/>
  <c r="D202" i="7"/>
  <c r="I202" i="7" s="1"/>
  <c r="B203" i="7"/>
  <c r="B203" i="6"/>
  <c r="D202" i="6"/>
  <c r="I202" i="6" s="1"/>
  <c r="D202" i="5"/>
  <c r="I202" i="5" s="1"/>
  <c r="B203" i="5"/>
  <c r="D202" i="4"/>
  <c r="I202" i="4" s="1"/>
  <c r="B203" i="4"/>
  <c r="D202" i="3"/>
  <c r="I202" i="3" s="1"/>
  <c r="B203" i="3"/>
  <c r="D202" i="2"/>
  <c r="I202" i="2" s="1"/>
  <c r="B203" i="2"/>
  <c r="C205" i="1"/>
  <c r="D203" i="10" l="1"/>
  <c r="I203" i="10" s="1"/>
  <c r="B204" i="10"/>
  <c r="F107" i="10"/>
  <c r="G107" i="10" s="1"/>
  <c r="D203" i="9"/>
  <c r="I203" i="9" s="1"/>
  <c r="B204" i="9"/>
  <c r="F107" i="9"/>
  <c r="G107" i="9" s="1"/>
  <c r="D203" i="8"/>
  <c r="I203" i="8" s="1"/>
  <c r="B204" i="8"/>
  <c r="F107" i="8"/>
  <c r="G107" i="8" s="1"/>
  <c r="D203" i="7"/>
  <c r="I203" i="7" s="1"/>
  <c r="B204" i="7"/>
  <c r="F107" i="7"/>
  <c r="G107" i="7" s="1"/>
  <c r="D203" i="6"/>
  <c r="I203" i="6" s="1"/>
  <c r="B204" i="6"/>
  <c r="D203" i="5"/>
  <c r="I203" i="5" s="1"/>
  <c r="B204" i="5"/>
  <c r="D203" i="4"/>
  <c r="I203" i="4" s="1"/>
  <c r="B204" i="4"/>
  <c r="D203" i="3"/>
  <c r="I203" i="3" s="1"/>
  <c r="B204" i="3"/>
  <c r="D203" i="2"/>
  <c r="I203" i="2" s="1"/>
  <c r="B204" i="2"/>
  <c r="C206" i="1"/>
  <c r="H107" i="10" l="1"/>
  <c r="E108" i="10" s="1"/>
  <c r="B205" i="10"/>
  <c r="D204" i="10"/>
  <c r="I204" i="10" s="1"/>
  <c r="H107" i="9"/>
  <c r="E108" i="9" s="1"/>
  <c r="D204" i="9"/>
  <c r="I204" i="9" s="1"/>
  <c r="B205" i="9"/>
  <c r="H107" i="8"/>
  <c r="E108" i="8" s="1"/>
  <c r="D204" i="8"/>
  <c r="I204" i="8" s="1"/>
  <c r="B205" i="8"/>
  <c r="H107" i="7"/>
  <c r="E108" i="7" s="1"/>
  <c r="D204" i="7"/>
  <c r="I204" i="7" s="1"/>
  <c r="B205" i="7"/>
  <c r="B205" i="6"/>
  <c r="D204" i="6"/>
  <c r="I204" i="6" s="1"/>
  <c r="B205" i="5"/>
  <c r="D204" i="5"/>
  <c r="I204" i="5" s="1"/>
  <c r="D204" i="4"/>
  <c r="I204" i="4" s="1"/>
  <c r="B205" i="4"/>
  <c r="B205" i="3"/>
  <c r="D204" i="3"/>
  <c r="I204" i="3" s="1"/>
  <c r="B205" i="2"/>
  <c r="D204" i="2"/>
  <c r="I204" i="2" s="1"/>
  <c r="C207" i="1"/>
  <c r="B206" i="10" l="1"/>
  <c r="D205" i="10"/>
  <c r="I205" i="10" s="1"/>
  <c r="F108" i="10"/>
  <c r="G108" i="10" s="1"/>
  <c r="D205" i="9"/>
  <c r="I205" i="9" s="1"/>
  <c r="B206" i="9"/>
  <c r="F108" i="9"/>
  <c r="G108" i="9" s="1"/>
  <c r="D205" i="8"/>
  <c r="I205" i="8" s="1"/>
  <c r="B206" i="8"/>
  <c r="F108" i="8"/>
  <c r="G108" i="8" s="1"/>
  <c r="D205" i="7"/>
  <c r="I205" i="7" s="1"/>
  <c r="B206" i="7"/>
  <c r="F108" i="7"/>
  <c r="G108" i="7" s="1"/>
  <c r="D205" i="6"/>
  <c r="I205" i="6" s="1"/>
  <c r="B206" i="6"/>
  <c r="B206" i="5"/>
  <c r="D205" i="5"/>
  <c r="I205" i="5" s="1"/>
  <c r="B206" i="4"/>
  <c r="D205" i="4"/>
  <c r="I205" i="4" s="1"/>
  <c r="B206" i="3"/>
  <c r="D205" i="3"/>
  <c r="I205" i="3" s="1"/>
  <c r="B206" i="2"/>
  <c r="D205" i="2"/>
  <c r="I205" i="2" s="1"/>
  <c r="C208" i="1"/>
  <c r="H108" i="10" l="1"/>
  <c r="E109" i="10" s="1"/>
  <c r="B207" i="10"/>
  <c r="D206" i="10"/>
  <c r="I206" i="10" s="1"/>
  <c r="H108" i="9"/>
  <c r="E109" i="9" s="1"/>
  <c r="D206" i="9"/>
  <c r="I206" i="9" s="1"/>
  <c r="B207" i="9"/>
  <c r="H108" i="8"/>
  <c r="E109" i="8" s="1"/>
  <c r="D206" i="8"/>
  <c r="I206" i="8" s="1"/>
  <c r="B207" i="8"/>
  <c r="H108" i="7"/>
  <c r="E109" i="7" s="1"/>
  <c r="D206" i="7"/>
  <c r="I206" i="7" s="1"/>
  <c r="B207" i="7"/>
  <c r="B207" i="6"/>
  <c r="D206" i="6"/>
  <c r="I206" i="6" s="1"/>
  <c r="B207" i="5"/>
  <c r="D206" i="5"/>
  <c r="I206" i="5" s="1"/>
  <c r="B207" i="4"/>
  <c r="D206" i="4"/>
  <c r="I206" i="4" s="1"/>
  <c r="B207" i="3"/>
  <c r="D206" i="3"/>
  <c r="I206" i="3" s="1"/>
  <c r="D206" i="2"/>
  <c r="I206" i="2" s="1"/>
  <c r="B207" i="2"/>
  <c r="C209" i="1"/>
  <c r="B208" i="10" l="1"/>
  <c r="D207" i="10"/>
  <c r="I207" i="10" s="1"/>
  <c r="F109" i="10"/>
  <c r="G109" i="10" s="1"/>
  <c r="D207" i="9"/>
  <c r="I207" i="9" s="1"/>
  <c r="B208" i="9"/>
  <c r="F109" i="9"/>
  <c r="G109" i="9" s="1"/>
  <c r="D207" i="8"/>
  <c r="I207" i="8" s="1"/>
  <c r="B208" i="8"/>
  <c r="F109" i="8"/>
  <c r="G109" i="8" s="1"/>
  <c r="D207" i="7"/>
  <c r="I207" i="7" s="1"/>
  <c r="B208" i="7"/>
  <c r="F109" i="7"/>
  <c r="G109" i="7" s="1"/>
  <c r="D207" i="6"/>
  <c r="I207" i="6" s="1"/>
  <c r="B208" i="6"/>
  <c r="D207" i="5"/>
  <c r="I207" i="5" s="1"/>
  <c r="B208" i="5"/>
  <c r="B208" i="4"/>
  <c r="D207" i="4"/>
  <c r="I207" i="4" s="1"/>
  <c r="D207" i="3"/>
  <c r="I207" i="3" s="1"/>
  <c r="B208" i="3"/>
  <c r="D207" i="2"/>
  <c r="I207" i="2" s="1"/>
  <c r="B208" i="2"/>
  <c r="C210" i="1"/>
  <c r="H109" i="10" l="1"/>
  <c r="E110" i="10" s="1"/>
  <c r="B209" i="10"/>
  <c r="D208" i="10"/>
  <c r="I208" i="10" s="1"/>
  <c r="H109" i="9"/>
  <c r="E110" i="9" s="1"/>
  <c r="D208" i="9"/>
  <c r="I208" i="9" s="1"/>
  <c r="B209" i="9"/>
  <c r="H109" i="8"/>
  <c r="E110" i="8" s="1"/>
  <c r="D208" i="8"/>
  <c r="I208" i="8" s="1"/>
  <c r="B209" i="8"/>
  <c r="H109" i="7"/>
  <c r="E110" i="7" s="1"/>
  <c r="D208" i="7"/>
  <c r="I208" i="7" s="1"/>
  <c r="B209" i="7"/>
  <c r="B209" i="6"/>
  <c r="D208" i="6"/>
  <c r="I208" i="6" s="1"/>
  <c r="D208" i="5"/>
  <c r="I208" i="5" s="1"/>
  <c r="B209" i="5"/>
  <c r="D208" i="4"/>
  <c r="I208" i="4" s="1"/>
  <c r="B209" i="4"/>
  <c r="D208" i="3"/>
  <c r="I208" i="3" s="1"/>
  <c r="B209" i="3"/>
  <c r="D208" i="2"/>
  <c r="I208" i="2" s="1"/>
  <c r="B209" i="2"/>
  <c r="C211" i="1"/>
  <c r="D209" i="10" l="1"/>
  <c r="I209" i="10" s="1"/>
  <c r="B210" i="10"/>
  <c r="F110" i="10"/>
  <c r="G110" i="10" s="1"/>
  <c r="D209" i="9"/>
  <c r="I209" i="9" s="1"/>
  <c r="B210" i="9"/>
  <c r="F110" i="9"/>
  <c r="G110" i="9" s="1"/>
  <c r="D209" i="8"/>
  <c r="I209" i="8" s="1"/>
  <c r="B210" i="8"/>
  <c r="F110" i="8"/>
  <c r="G110" i="8" s="1"/>
  <c r="F110" i="7"/>
  <c r="G110" i="7" s="1"/>
  <c r="D209" i="7"/>
  <c r="I209" i="7" s="1"/>
  <c r="B210" i="7"/>
  <c r="D209" i="6"/>
  <c r="I209" i="6" s="1"/>
  <c r="B210" i="6"/>
  <c r="D209" i="5"/>
  <c r="I209" i="5" s="1"/>
  <c r="B210" i="5"/>
  <c r="B210" i="4"/>
  <c r="D209" i="4"/>
  <c r="I209" i="4" s="1"/>
  <c r="D209" i="3"/>
  <c r="I209" i="3" s="1"/>
  <c r="B210" i="3"/>
  <c r="D209" i="2"/>
  <c r="I209" i="2" s="1"/>
  <c r="B210" i="2"/>
  <c r="H110" i="10" l="1"/>
  <c r="E111" i="10" s="1"/>
  <c r="B211" i="10"/>
  <c r="D211" i="10" s="1"/>
  <c r="I211" i="10" s="1"/>
  <c r="D210" i="10"/>
  <c r="I210" i="10" s="1"/>
  <c r="H110" i="9"/>
  <c r="E111" i="9" s="1"/>
  <c r="D210" i="9"/>
  <c r="I210" i="9" s="1"/>
  <c r="B211" i="9"/>
  <c r="D211" i="9" s="1"/>
  <c r="I211" i="9" s="1"/>
  <c r="H110" i="8"/>
  <c r="E111" i="8" s="1"/>
  <c r="D210" i="8"/>
  <c r="I210" i="8" s="1"/>
  <c r="B211" i="8"/>
  <c r="D211" i="8" s="1"/>
  <c r="I211" i="8" s="1"/>
  <c r="H110" i="7"/>
  <c r="E111" i="7" s="1"/>
  <c r="D210" i="7"/>
  <c r="I210" i="7" s="1"/>
  <c r="B211" i="7"/>
  <c r="D211" i="7" s="1"/>
  <c r="I211" i="7" s="1"/>
  <c r="F4" i="7" s="1"/>
  <c r="B211" i="6"/>
  <c r="D211" i="6" s="1"/>
  <c r="I211" i="6" s="1"/>
  <c r="D210" i="6"/>
  <c r="I210" i="6" s="1"/>
  <c r="D210" i="5"/>
  <c r="I210" i="5" s="1"/>
  <c r="B211" i="5"/>
  <c r="D211" i="5" s="1"/>
  <c r="I211" i="5" s="1"/>
  <c r="D210" i="4"/>
  <c r="I210" i="4" s="1"/>
  <c r="B211" i="4"/>
  <c r="D211" i="4" s="1"/>
  <c r="I211" i="4" s="1"/>
  <c r="D210" i="3"/>
  <c r="I210" i="3" s="1"/>
  <c r="B211" i="3"/>
  <c r="D211" i="3" s="1"/>
  <c r="I211" i="3" s="1"/>
  <c r="D210" i="2"/>
  <c r="I210" i="2" s="1"/>
  <c r="B211" i="2"/>
  <c r="D211" i="2" s="1"/>
  <c r="I211" i="2" s="1"/>
  <c r="F4" i="5"/>
  <c r="F4" i="2" l="1"/>
  <c r="F4" i="9"/>
  <c r="F4" i="3"/>
  <c r="F4" i="6"/>
  <c r="F4" i="10"/>
  <c r="F4" i="8"/>
  <c r="F111" i="10"/>
  <c r="G111" i="10" s="1"/>
  <c r="F111" i="9"/>
  <c r="G111" i="9" s="1"/>
  <c r="F4" i="4"/>
  <c r="F111" i="8"/>
  <c r="G111" i="8" s="1"/>
  <c r="F111" i="7"/>
  <c r="H111" i="10" l="1"/>
  <c r="E112" i="10" s="1"/>
  <c r="H111" i="9"/>
  <c r="E112" i="9" s="1"/>
  <c r="H111" i="8"/>
  <c r="E112" i="8" s="1"/>
  <c r="G111" i="7"/>
  <c r="F112" i="10" l="1"/>
  <c r="G112" i="10" s="1"/>
  <c r="F112" i="9"/>
  <c r="G112" i="9" s="1"/>
  <c r="F112" i="8"/>
  <c r="G112" i="8" s="1"/>
  <c r="H111" i="7"/>
  <c r="E112" i="7" s="1"/>
  <c r="H112" i="10" l="1"/>
  <c r="E113" i="10" s="1"/>
  <c r="H112" i="9"/>
  <c r="E113" i="9" s="1"/>
  <c r="H112" i="8"/>
  <c r="E113" i="8" s="1"/>
  <c r="F112" i="7"/>
  <c r="F113" i="10" l="1"/>
  <c r="G113" i="10" s="1"/>
  <c r="F113" i="9"/>
  <c r="G113" i="9" s="1"/>
  <c r="F113" i="8"/>
  <c r="G113" i="8" s="1"/>
  <c r="G112" i="7"/>
  <c r="H113" i="10" l="1"/>
  <c r="E114" i="10" s="1"/>
  <c r="H113" i="9"/>
  <c r="E114" i="9" s="1"/>
  <c r="H113" i="8"/>
  <c r="E114" i="8" s="1"/>
  <c r="H112" i="7"/>
  <c r="E113" i="7" s="1"/>
  <c r="F114" i="10" l="1"/>
  <c r="G114" i="10" s="1"/>
  <c r="F114" i="9"/>
  <c r="G114" i="9" s="1"/>
  <c r="F114" i="8"/>
  <c r="G114" i="8" s="1"/>
  <c r="F113" i="7"/>
  <c r="H114" i="10" l="1"/>
  <c r="E115" i="10" s="1"/>
  <c r="H114" i="9"/>
  <c r="E115" i="9" s="1"/>
  <c r="H114" i="8"/>
  <c r="E115" i="8" s="1"/>
  <c r="G113" i="7"/>
  <c r="F115" i="10" l="1"/>
  <c r="G115" i="10" s="1"/>
  <c r="F115" i="9"/>
  <c r="G115" i="9" s="1"/>
  <c r="F115" i="8"/>
  <c r="G115" i="8" s="1"/>
  <c r="H113" i="7"/>
  <c r="E114" i="7" s="1"/>
  <c r="H115" i="10" l="1"/>
  <c r="E116" i="10" s="1"/>
  <c r="H115" i="9"/>
  <c r="E116" i="9" s="1"/>
  <c r="H115" i="8"/>
  <c r="E116" i="8" s="1"/>
  <c r="F114" i="7"/>
  <c r="G114" i="7" s="1"/>
  <c r="F116" i="10" l="1"/>
  <c r="G116" i="10" s="1"/>
  <c r="F116" i="9"/>
  <c r="G116" i="9" s="1"/>
  <c r="F116" i="8"/>
  <c r="G116" i="8" s="1"/>
  <c r="H114" i="7"/>
  <c r="E115" i="7" s="1"/>
  <c r="H116" i="10" l="1"/>
  <c r="E117" i="10" s="1"/>
  <c r="H116" i="9"/>
  <c r="E117" i="9" s="1"/>
  <c r="H116" i="8"/>
  <c r="E117" i="8" s="1"/>
  <c r="F115" i="7"/>
  <c r="G115" i="7" s="1"/>
  <c r="F117" i="10" l="1"/>
  <c r="G117" i="10" s="1"/>
  <c r="F117" i="9"/>
  <c r="G117" i="9" s="1"/>
  <c r="F117" i="8"/>
  <c r="G117" i="8" s="1"/>
  <c r="H115" i="7"/>
  <c r="E116" i="7" s="1"/>
  <c r="H117" i="10" l="1"/>
  <c r="E118" i="10" s="1"/>
  <c r="H117" i="9"/>
  <c r="E118" i="9" s="1"/>
  <c r="H117" i="8"/>
  <c r="E118" i="8" s="1"/>
  <c r="F116" i="7"/>
  <c r="G116" i="7" s="1"/>
  <c r="F118" i="10" l="1"/>
  <c r="G118" i="10" s="1"/>
  <c r="F118" i="9"/>
  <c r="G118" i="9" s="1"/>
  <c r="F118" i="8"/>
  <c r="G118" i="8" s="1"/>
  <c r="H116" i="7"/>
  <c r="E117" i="7" s="1"/>
  <c r="H118" i="10" l="1"/>
  <c r="E119" i="10" s="1"/>
  <c r="H118" i="9"/>
  <c r="E119" i="9" s="1"/>
  <c r="H118" i="8"/>
  <c r="E119" i="8" s="1"/>
  <c r="F117" i="7"/>
  <c r="G117" i="7" s="1"/>
  <c r="F119" i="10" l="1"/>
  <c r="G119" i="10" s="1"/>
  <c r="F119" i="9"/>
  <c r="G119" i="9" s="1"/>
  <c r="F119" i="8"/>
  <c r="G119" i="8" s="1"/>
  <c r="H117" i="7"/>
  <c r="E118" i="7" s="1"/>
  <c r="H119" i="10" l="1"/>
  <c r="E120" i="10" s="1"/>
  <c r="H119" i="9"/>
  <c r="E120" i="9" s="1"/>
  <c r="H119" i="8"/>
  <c r="E120" i="8" s="1"/>
  <c r="F118" i="7"/>
  <c r="G118" i="7" s="1"/>
  <c r="F120" i="10" l="1"/>
  <c r="G120" i="10" s="1"/>
  <c r="F120" i="9"/>
  <c r="G120" i="9" s="1"/>
  <c r="F120" i="8"/>
  <c r="G120" i="8" s="1"/>
  <c r="H118" i="7"/>
  <c r="E119" i="7" s="1"/>
  <c r="H120" i="10" l="1"/>
  <c r="E121" i="10" s="1"/>
  <c r="H120" i="9"/>
  <c r="E121" i="9" s="1"/>
  <c r="H120" i="8"/>
  <c r="E121" i="8" s="1"/>
  <c r="F119" i="7"/>
  <c r="G119" i="7" s="1"/>
  <c r="F121" i="10" l="1"/>
  <c r="G121" i="10" s="1"/>
  <c r="F121" i="9"/>
  <c r="G121" i="9" s="1"/>
  <c r="F121" i="8"/>
  <c r="G121" i="8" s="1"/>
  <c r="H119" i="7"/>
  <c r="E120" i="7" s="1"/>
  <c r="H121" i="10" l="1"/>
  <c r="E122" i="10" s="1"/>
  <c r="H121" i="9"/>
  <c r="E122" i="9" s="1"/>
  <c r="H121" i="8"/>
  <c r="E122" i="8" s="1"/>
  <c r="F120" i="7"/>
  <c r="G120" i="7" s="1"/>
  <c r="F122" i="10" l="1"/>
  <c r="G122" i="10" s="1"/>
  <c r="F122" i="9"/>
  <c r="G122" i="9" s="1"/>
  <c r="F122" i="8"/>
  <c r="G122" i="8" s="1"/>
  <c r="H120" i="7"/>
  <c r="E121" i="7" s="1"/>
  <c r="H122" i="10" l="1"/>
  <c r="E123" i="10" s="1"/>
  <c r="H122" i="9"/>
  <c r="E123" i="9" s="1"/>
  <c r="H122" i="8"/>
  <c r="E123" i="8" s="1"/>
  <c r="F121" i="7"/>
  <c r="G121" i="7" s="1"/>
  <c r="F123" i="10" l="1"/>
  <c r="G123" i="10" s="1"/>
  <c r="F123" i="9"/>
  <c r="G123" i="9" s="1"/>
  <c r="F123" i="8"/>
  <c r="G123" i="8" s="1"/>
  <c r="H121" i="7"/>
  <c r="E122" i="7" s="1"/>
  <c r="H123" i="10" l="1"/>
  <c r="E124" i="10" s="1"/>
  <c r="H123" i="9"/>
  <c r="E124" i="9" s="1"/>
  <c r="H123" i="8"/>
  <c r="E124" i="8" s="1"/>
  <c r="F122" i="7"/>
  <c r="G122" i="7" s="1"/>
  <c r="F124" i="10" l="1"/>
  <c r="G124" i="10" s="1"/>
  <c r="F124" i="9"/>
  <c r="G124" i="9" s="1"/>
  <c r="F124" i="8"/>
  <c r="G124" i="8" s="1"/>
  <c r="H122" i="7"/>
  <c r="E123" i="7" s="1"/>
  <c r="H124" i="10" l="1"/>
  <c r="E125" i="10" s="1"/>
  <c r="H124" i="9"/>
  <c r="E125" i="9" s="1"/>
  <c r="H124" i="8"/>
  <c r="E125" i="8" s="1"/>
  <c r="F123" i="7"/>
  <c r="F5" i="7" s="1"/>
  <c r="F125" i="10" l="1"/>
  <c r="G125" i="10" s="1"/>
  <c r="F125" i="9"/>
  <c r="G125" i="9" s="1"/>
  <c r="F125" i="8"/>
  <c r="G123" i="7"/>
  <c r="H125" i="10" l="1"/>
  <c r="E126" i="10" s="1"/>
  <c r="H125" i="9"/>
  <c r="E126" i="9" s="1"/>
  <c r="G125" i="8"/>
  <c r="H123" i="7"/>
  <c r="F3" i="7" s="1"/>
  <c r="G124" i="7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E7" i="7" l="1"/>
  <c r="F126" i="10"/>
  <c r="G126" i="10" s="1"/>
  <c r="F126" i="9"/>
  <c r="G126" i="9" s="1"/>
  <c r="H125" i="8"/>
  <c r="E126" i="8" s="1"/>
  <c r="H126" i="10" l="1"/>
  <c r="E127" i="10" s="1"/>
  <c r="H126" i="9"/>
  <c r="E127" i="9" s="1"/>
  <c r="F126" i="8"/>
  <c r="G126" i="8" s="1"/>
  <c r="F127" i="10" l="1"/>
  <c r="G127" i="10" s="1"/>
  <c r="F127" i="9"/>
  <c r="G127" i="9" s="1"/>
  <c r="H126" i="8"/>
  <c r="E127" i="8" s="1"/>
  <c r="H127" i="10" l="1"/>
  <c r="E128" i="10" s="1"/>
  <c r="H127" i="9"/>
  <c r="E128" i="9" s="1"/>
  <c r="F127" i="8"/>
  <c r="F128" i="10" l="1"/>
  <c r="G128" i="10" s="1"/>
  <c r="F128" i="9"/>
  <c r="G128" i="9" s="1"/>
  <c r="G127" i="8"/>
  <c r="H128" i="10" l="1"/>
  <c r="E129" i="10" s="1"/>
  <c r="H128" i="9"/>
  <c r="E129" i="9" s="1"/>
  <c r="H127" i="8"/>
  <c r="E128" i="8" s="1"/>
  <c r="F129" i="10" l="1"/>
  <c r="G129" i="10" s="1"/>
  <c r="F129" i="9"/>
  <c r="G129" i="9" s="1"/>
  <c r="F128" i="8"/>
  <c r="G128" i="8" s="1"/>
  <c r="H129" i="10" l="1"/>
  <c r="E130" i="10" s="1"/>
  <c r="H129" i="9"/>
  <c r="E130" i="9" s="1"/>
  <c r="H128" i="8"/>
  <c r="E129" i="8" s="1"/>
  <c r="F130" i="10" l="1"/>
  <c r="G130" i="10" s="1"/>
  <c r="F130" i="9"/>
  <c r="F129" i="8"/>
  <c r="G129" i="8" s="1"/>
  <c r="H130" i="10" l="1"/>
  <c r="E131" i="10" s="1"/>
  <c r="G130" i="9"/>
  <c r="H129" i="8"/>
  <c r="E130" i="8" s="1"/>
  <c r="F131" i="10" l="1"/>
  <c r="G131" i="10" s="1"/>
  <c r="H130" i="9"/>
  <c r="E131" i="9" s="1"/>
  <c r="F130" i="8"/>
  <c r="G130" i="8" s="1"/>
  <c r="H131" i="10" l="1"/>
  <c r="E132" i="10" s="1"/>
  <c r="F131" i="9"/>
  <c r="H130" i="8"/>
  <c r="E131" i="8" s="1"/>
  <c r="F132" i="10" l="1"/>
  <c r="G132" i="10" s="1"/>
  <c r="G131" i="9"/>
  <c r="F131" i="8"/>
  <c r="G131" i="8" s="1"/>
  <c r="H132" i="10" l="1"/>
  <c r="E133" i="10" s="1"/>
  <c r="H131" i="9"/>
  <c r="E132" i="9" s="1"/>
  <c r="H131" i="8"/>
  <c r="E132" i="8" s="1"/>
  <c r="F133" i="10" l="1"/>
  <c r="G133" i="10" s="1"/>
  <c r="F132" i="9"/>
  <c r="F132" i="8"/>
  <c r="G132" i="8" s="1"/>
  <c r="F3" i="5"/>
  <c r="H133" i="10" l="1"/>
  <c r="E134" i="10" s="1"/>
  <c r="G132" i="9"/>
  <c r="H132" i="8"/>
  <c r="E133" i="8" s="1"/>
  <c r="F134" i="10" l="1"/>
  <c r="G134" i="10" s="1"/>
  <c r="H132" i="9"/>
  <c r="E133" i="9" s="1"/>
  <c r="F133" i="8"/>
  <c r="G133" i="8" s="1"/>
  <c r="F5" i="5"/>
  <c r="H134" i="10" l="1"/>
  <c r="E135" i="10" s="1"/>
  <c r="F133" i="9"/>
  <c r="G133" i="9" s="1"/>
  <c r="H133" i="8"/>
  <c r="E134" i="8" s="1"/>
  <c r="F135" i="10" l="1"/>
  <c r="G135" i="10" s="1"/>
  <c r="H133" i="9"/>
  <c r="E134" i="9" s="1"/>
  <c r="F134" i="8"/>
  <c r="G134" i="8" s="1"/>
  <c r="H135" i="10" l="1"/>
  <c r="E136" i="10" s="1"/>
  <c r="F134" i="9"/>
  <c r="G134" i="9" s="1"/>
  <c r="H134" i="8"/>
  <c r="E135" i="8" s="1"/>
  <c r="F136" i="10" l="1"/>
  <c r="G136" i="10" s="1"/>
  <c r="H134" i="9"/>
  <c r="E135" i="9" s="1"/>
  <c r="F135" i="8"/>
  <c r="G135" i="8" s="1"/>
  <c r="H136" i="10" l="1"/>
  <c r="E137" i="10" s="1"/>
  <c r="F135" i="9"/>
  <c r="G135" i="9" s="1"/>
  <c r="H135" i="8"/>
  <c r="E136" i="8" s="1"/>
  <c r="F137" i="10" l="1"/>
  <c r="G137" i="10" s="1"/>
  <c r="H135" i="9"/>
  <c r="E136" i="9" s="1"/>
  <c r="F136" i="8"/>
  <c r="G136" i="8" s="1"/>
  <c r="H137" i="10" l="1"/>
  <c r="E138" i="10" s="1"/>
  <c r="F136" i="9"/>
  <c r="G136" i="9" s="1"/>
  <c r="H136" i="8"/>
  <c r="E137" i="8" s="1"/>
  <c r="F138" i="10" l="1"/>
  <c r="G138" i="10" s="1"/>
  <c r="H136" i="9"/>
  <c r="E137" i="9" s="1"/>
  <c r="F137" i="8"/>
  <c r="G137" i="8" s="1"/>
  <c r="H138" i="10" l="1"/>
  <c r="E139" i="10" s="1"/>
  <c r="F137" i="9"/>
  <c r="G137" i="9" s="1"/>
  <c r="H137" i="8"/>
  <c r="E138" i="8" s="1"/>
  <c r="F139" i="10" l="1"/>
  <c r="H137" i="9"/>
  <c r="E138" i="9" s="1"/>
  <c r="F138" i="8"/>
  <c r="G138" i="8" s="1"/>
  <c r="G139" i="10" l="1"/>
  <c r="F138" i="9"/>
  <c r="G138" i="9" s="1"/>
  <c r="H138" i="8"/>
  <c r="E139" i="8" s="1"/>
  <c r="H139" i="10" l="1"/>
  <c r="E140" i="10" s="1"/>
  <c r="H138" i="9"/>
  <c r="E139" i="9" s="1"/>
  <c r="F139" i="8"/>
  <c r="G139" i="8" s="1"/>
  <c r="F140" i="10" l="1"/>
  <c r="F139" i="9"/>
  <c r="G139" i="9" s="1"/>
  <c r="H139" i="8"/>
  <c r="E140" i="8" s="1"/>
  <c r="G140" i="10" l="1"/>
  <c r="H139" i="9"/>
  <c r="E140" i="9" s="1"/>
  <c r="F140" i="8"/>
  <c r="G140" i="8" s="1"/>
  <c r="H140" i="10" l="1"/>
  <c r="E141" i="10" s="1"/>
  <c r="F140" i="9"/>
  <c r="G140" i="9" s="1"/>
  <c r="H140" i="8"/>
  <c r="E141" i="8" s="1"/>
  <c r="F141" i="10" l="1"/>
  <c r="H140" i="9"/>
  <c r="E141" i="9" s="1"/>
  <c r="F141" i="8"/>
  <c r="G141" i="8" s="1"/>
  <c r="G141" i="10" l="1"/>
  <c r="F141" i="9"/>
  <c r="G141" i="9" s="1"/>
  <c r="H141" i="8"/>
  <c r="E142" i="8" s="1"/>
  <c r="H141" i="10" l="1"/>
  <c r="E142" i="10" s="1"/>
  <c r="H141" i="9"/>
  <c r="E142" i="9" s="1"/>
  <c r="F142" i="8"/>
  <c r="G142" i="8" s="1"/>
  <c r="F142" i="10" l="1"/>
  <c r="G142" i="10" s="1"/>
  <c r="F142" i="9"/>
  <c r="G142" i="9" s="1"/>
  <c r="H142" i="8"/>
  <c r="E143" i="8" s="1"/>
  <c r="H142" i="10" l="1"/>
  <c r="E143" i="10" s="1"/>
  <c r="H142" i="9"/>
  <c r="E143" i="9" s="1"/>
  <c r="F143" i="8"/>
  <c r="G143" i="8" s="1"/>
  <c r="F143" i="10" l="1"/>
  <c r="G143" i="10" s="1"/>
  <c r="F143" i="9"/>
  <c r="G143" i="9" s="1"/>
  <c r="H143" i="8"/>
  <c r="E144" i="8" s="1"/>
  <c r="H143" i="10" l="1"/>
  <c r="E144" i="10" s="1"/>
  <c r="H143" i="9"/>
  <c r="E144" i="9" s="1"/>
  <c r="F144" i="8"/>
  <c r="G144" i="8" s="1"/>
  <c r="F144" i="10" l="1"/>
  <c r="G144" i="10" s="1"/>
  <c r="F144" i="9"/>
  <c r="G144" i="9" s="1"/>
  <c r="H144" i="8"/>
  <c r="E145" i="8" s="1"/>
  <c r="H144" i="10" l="1"/>
  <c r="E145" i="10" s="1"/>
  <c r="H144" i="9"/>
  <c r="E145" i="9" s="1"/>
  <c r="F145" i="8"/>
  <c r="G145" i="8" s="1"/>
  <c r="F145" i="10" l="1"/>
  <c r="G145" i="10" s="1"/>
  <c r="F145" i="9"/>
  <c r="G145" i="9" s="1"/>
  <c r="H145" i="8"/>
  <c r="E146" i="8" s="1"/>
  <c r="H145" i="10" l="1"/>
  <c r="E146" i="10" s="1"/>
  <c r="H145" i="9"/>
  <c r="E146" i="9" s="1"/>
  <c r="F146" i="8"/>
  <c r="G146" i="8" s="1"/>
  <c r="F146" i="10" l="1"/>
  <c r="G146" i="10" s="1"/>
  <c r="F146" i="9"/>
  <c r="G146" i="9" s="1"/>
  <c r="H146" i="8"/>
  <c r="E147" i="8" s="1"/>
  <c r="H146" i="10" l="1"/>
  <c r="E147" i="10" s="1"/>
  <c r="H146" i="9"/>
  <c r="E147" i="9" s="1"/>
  <c r="F147" i="8"/>
  <c r="G147" i="8" s="1"/>
  <c r="F147" i="10" l="1"/>
  <c r="G147" i="10" s="1"/>
  <c r="F147" i="9"/>
  <c r="G147" i="9" s="1"/>
  <c r="H147" i="8"/>
  <c r="E148" i="8" s="1"/>
  <c r="H147" i="10" l="1"/>
  <c r="E148" i="10" s="1"/>
  <c r="H147" i="9"/>
  <c r="E148" i="9" s="1"/>
  <c r="F148" i="8"/>
  <c r="G148" i="8" s="1"/>
  <c r="F148" i="10" l="1"/>
  <c r="G148" i="10" s="1"/>
  <c r="F148" i="9"/>
  <c r="G148" i="9" s="1"/>
  <c r="H148" i="8"/>
  <c r="E149" i="8" s="1"/>
  <c r="H148" i="10" l="1"/>
  <c r="E149" i="10" s="1"/>
  <c r="H148" i="9"/>
  <c r="E149" i="9" s="1"/>
  <c r="F149" i="8"/>
  <c r="G149" i="8" s="1"/>
  <c r="F149" i="10" l="1"/>
  <c r="G149" i="10" s="1"/>
  <c r="F149" i="9"/>
  <c r="G149" i="9" s="1"/>
  <c r="H149" i="8"/>
  <c r="E150" i="8" s="1"/>
  <c r="H149" i="10" l="1"/>
  <c r="E150" i="10" s="1"/>
  <c r="H149" i="9"/>
  <c r="E150" i="9" s="1"/>
  <c r="F150" i="8"/>
  <c r="G150" i="8" s="1"/>
  <c r="F150" i="10" l="1"/>
  <c r="G150" i="10" s="1"/>
  <c r="F150" i="9"/>
  <c r="G150" i="9" s="1"/>
  <c r="H150" i="8"/>
  <c r="E151" i="8" s="1"/>
  <c r="H150" i="10" l="1"/>
  <c r="E151" i="10" s="1"/>
  <c r="H150" i="9"/>
  <c r="E151" i="9" s="1"/>
  <c r="F151" i="8"/>
  <c r="F5" i="8" s="1"/>
  <c r="F151" i="10" l="1"/>
  <c r="G151" i="10" s="1"/>
  <c r="F151" i="9"/>
  <c r="G151" i="9" s="1"/>
  <c r="G151" i="8"/>
  <c r="H151" i="10" l="1"/>
  <c r="E152" i="10" s="1"/>
  <c r="H151" i="9"/>
  <c r="E152" i="9" s="1"/>
  <c r="H151" i="8"/>
  <c r="F3" i="8" s="1"/>
  <c r="G152" i="8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E7" i="8" l="1"/>
  <c r="F152" i="10"/>
  <c r="G152" i="10" s="1"/>
  <c r="F152" i="9"/>
  <c r="G152" i="9" s="1"/>
  <c r="H152" i="10" l="1"/>
  <c r="E153" i="10" s="1"/>
  <c r="H152" i="9"/>
  <c r="E153" i="9" s="1"/>
  <c r="F153" i="10" l="1"/>
  <c r="G153" i="10" s="1"/>
  <c r="F153" i="9"/>
  <c r="G153" i="9" s="1"/>
  <c r="H153" i="10" l="1"/>
  <c r="E154" i="10" s="1"/>
  <c r="H153" i="9"/>
  <c r="E154" i="9" s="1"/>
  <c r="F154" i="10" l="1"/>
  <c r="G154" i="10" s="1"/>
  <c r="F154" i="9"/>
  <c r="G154" i="9" s="1"/>
  <c r="H154" i="10" l="1"/>
  <c r="E155" i="10" s="1"/>
  <c r="H154" i="9"/>
  <c r="E155" i="9" s="1"/>
  <c r="F155" i="10" l="1"/>
  <c r="G155" i="10" s="1"/>
  <c r="F155" i="9"/>
  <c r="G155" i="9" s="1"/>
  <c r="H155" i="10" l="1"/>
  <c r="E156" i="10" s="1"/>
  <c r="H155" i="9"/>
  <c r="E156" i="9" s="1"/>
  <c r="F156" i="10" l="1"/>
  <c r="G156" i="10" s="1"/>
  <c r="F156" i="9"/>
  <c r="G156" i="9" s="1"/>
  <c r="H156" i="10" l="1"/>
  <c r="E157" i="10" s="1"/>
  <c r="H156" i="9"/>
  <c r="E157" i="9" s="1"/>
  <c r="F157" i="10" l="1"/>
  <c r="G157" i="10" s="1"/>
  <c r="F157" i="9"/>
  <c r="G157" i="9" s="1"/>
  <c r="H157" i="10" l="1"/>
  <c r="E158" i="10" s="1"/>
  <c r="H157" i="9"/>
  <c r="E158" i="9" s="1"/>
  <c r="F158" i="10" l="1"/>
  <c r="G158" i="10" s="1"/>
  <c r="F158" i="9"/>
  <c r="G158" i="9" s="1"/>
  <c r="H158" i="10" l="1"/>
  <c r="E159" i="10" s="1"/>
  <c r="H158" i="9"/>
  <c r="E159" i="9" s="1"/>
  <c r="F159" i="10" l="1"/>
  <c r="G159" i="10" s="1"/>
  <c r="F159" i="9"/>
  <c r="G159" i="9" s="1"/>
  <c r="H159" i="10" l="1"/>
  <c r="E160" i="10" s="1"/>
  <c r="H159" i="9"/>
  <c r="E160" i="9" s="1"/>
  <c r="F160" i="10" l="1"/>
  <c r="G160" i="10" s="1"/>
  <c r="F160" i="9"/>
  <c r="G160" i="9" s="1"/>
  <c r="H160" i="10" l="1"/>
  <c r="E161" i="10" s="1"/>
  <c r="H160" i="9"/>
  <c r="E161" i="9" s="1"/>
  <c r="F161" i="10" l="1"/>
  <c r="G161" i="10" s="1"/>
  <c r="F161" i="9"/>
  <c r="G161" i="9" s="1"/>
  <c r="H161" i="10" l="1"/>
  <c r="E162" i="10" s="1"/>
  <c r="H161" i="9"/>
  <c r="E162" i="9" s="1"/>
  <c r="F162" i="10" l="1"/>
  <c r="G162" i="10" s="1"/>
  <c r="F162" i="9"/>
  <c r="G162" i="9" s="1"/>
  <c r="H162" i="10" l="1"/>
  <c r="E163" i="10" s="1"/>
  <c r="H162" i="9"/>
  <c r="E163" i="9" s="1"/>
  <c r="F163" i="10" l="1"/>
  <c r="G163" i="10" s="1"/>
  <c r="F163" i="9"/>
  <c r="G163" i="9" s="1"/>
  <c r="H163" i="10" l="1"/>
  <c r="E164" i="10" s="1"/>
  <c r="H163" i="9"/>
  <c r="E164" i="9" s="1"/>
  <c r="F164" i="10" l="1"/>
  <c r="G164" i="10" s="1"/>
  <c r="F164" i="9"/>
  <c r="G164" i="9" s="1"/>
  <c r="H164" i="10" l="1"/>
  <c r="E165" i="10" s="1"/>
  <c r="H164" i="9"/>
  <c r="E165" i="9" s="1"/>
  <c r="F165" i="10" l="1"/>
  <c r="G165" i="10" s="1"/>
  <c r="F165" i="9"/>
  <c r="F5" i="9" s="1"/>
  <c r="H165" i="10" l="1"/>
  <c r="E166" i="10" s="1"/>
  <c r="G165" i="9"/>
  <c r="F166" i="10" l="1"/>
  <c r="G166" i="10" s="1"/>
  <c r="H165" i="9"/>
  <c r="F3" i="9" s="1"/>
  <c r="G166" i="9"/>
  <c r="G167" i="9" s="1"/>
  <c r="G168" i="9" s="1"/>
  <c r="G169" i="9" s="1"/>
  <c r="G170" i="9" s="1"/>
  <c r="G171" i="9" s="1"/>
  <c r="G172" i="9" s="1"/>
  <c r="G173" i="9" s="1"/>
  <c r="G174" i="9" s="1"/>
  <c r="G175" i="9" s="1"/>
  <c r="G176" i="9" s="1"/>
  <c r="G177" i="9" s="1"/>
  <c r="G178" i="9" s="1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G192" i="9" s="1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G203" i="9" s="1"/>
  <c r="G204" i="9" s="1"/>
  <c r="G205" i="9" s="1"/>
  <c r="G206" i="9" s="1"/>
  <c r="G207" i="9" s="1"/>
  <c r="G208" i="9" s="1"/>
  <c r="G209" i="9" s="1"/>
  <c r="G210" i="9" s="1"/>
  <c r="G211" i="9" s="1"/>
  <c r="E7" i="9" l="1"/>
  <c r="H166" i="10"/>
  <c r="E167" i="10" s="1"/>
  <c r="F167" i="10" l="1"/>
  <c r="G167" i="10" s="1"/>
  <c r="H167" i="10" l="1"/>
  <c r="E168" i="10" s="1"/>
  <c r="F168" i="10" l="1"/>
  <c r="G168" i="10" s="1"/>
  <c r="H168" i="10" l="1"/>
  <c r="E169" i="10" s="1"/>
  <c r="F169" i="10" l="1"/>
  <c r="G169" i="10" s="1"/>
  <c r="H169" i="10" l="1"/>
  <c r="E170" i="10" s="1"/>
  <c r="F170" i="10" l="1"/>
  <c r="G170" i="10" s="1"/>
  <c r="H170" i="10" l="1"/>
  <c r="E171" i="10" s="1"/>
  <c r="F171" i="10" l="1"/>
  <c r="G171" i="10" s="1"/>
  <c r="H171" i="10" l="1"/>
  <c r="E172" i="10" s="1"/>
  <c r="F172" i="10" l="1"/>
  <c r="G172" i="10" s="1"/>
  <c r="H172" i="10" l="1"/>
  <c r="E173" i="10" s="1"/>
  <c r="F173" i="10" l="1"/>
  <c r="G173" i="10" s="1"/>
  <c r="H173" i="10" l="1"/>
  <c r="E174" i="10" s="1"/>
  <c r="F174" i="10" l="1"/>
  <c r="G174" i="10" s="1"/>
  <c r="H174" i="10" l="1"/>
  <c r="E175" i="10" s="1"/>
  <c r="F175" i="10" l="1"/>
  <c r="G175" i="10" s="1"/>
  <c r="H175" i="10" l="1"/>
  <c r="E176" i="10" s="1"/>
  <c r="F176" i="10" l="1"/>
  <c r="G176" i="10" s="1"/>
  <c r="H176" i="10" l="1"/>
  <c r="E177" i="10" s="1"/>
  <c r="F177" i="10" l="1"/>
  <c r="G177" i="10" s="1"/>
  <c r="H177" i="10" l="1"/>
  <c r="E178" i="10" s="1"/>
  <c r="F178" i="10" l="1"/>
  <c r="G178" i="10" s="1"/>
  <c r="H178" i="10" l="1"/>
  <c r="E179" i="10" s="1"/>
  <c r="F179" i="10" l="1"/>
  <c r="F5" i="10" s="1"/>
  <c r="G179" i="10" l="1"/>
  <c r="H179" i="10" l="1"/>
  <c r="F3" i="10" s="1"/>
  <c r="G180" i="10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E7" i="10" l="1"/>
  <c r="G12" i="18" l="1"/>
  <c r="H12" i="18" l="1"/>
  <c r="E13" i="18" s="1"/>
  <c r="F13" i="18" s="1"/>
  <c r="G13" i="18" l="1"/>
  <c r="H13" i="18" s="1"/>
  <c r="E14" i="18" s="1"/>
  <c r="F14" i="18" s="1"/>
  <c r="G14" i="18" l="1"/>
  <c r="H14" i="18" s="1"/>
  <c r="E15" i="18" s="1"/>
  <c r="F15" i="18" l="1"/>
  <c r="G15" i="18" l="1"/>
  <c r="H15" i="18" s="1"/>
  <c r="E16" i="18" l="1"/>
  <c r="F16" i="18" l="1"/>
  <c r="G16" i="18" s="1"/>
  <c r="H16" i="18" l="1"/>
  <c r="E17" i="18" s="1"/>
  <c r="F17" i="18" l="1"/>
  <c r="G17" i="18" s="1"/>
  <c r="H17" i="18" l="1"/>
  <c r="E18" i="18" s="1"/>
  <c r="F18" i="18" l="1"/>
  <c r="G18" i="18" s="1"/>
  <c r="H18" i="18" l="1"/>
  <c r="E19" i="18" s="1"/>
  <c r="F19" i="18" l="1"/>
  <c r="G19" i="18" s="1"/>
  <c r="H19" i="18" l="1"/>
  <c r="E20" i="18" s="1"/>
  <c r="F20" i="18" l="1"/>
  <c r="G20" i="18" s="1"/>
  <c r="H20" i="18" l="1"/>
  <c r="E21" i="18" s="1"/>
  <c r="F21" i="18" l="1"/>
  <c r="G21" i="18" s="1"/>
  <c r="H21" i="18" l="1"/>
  <c r="E22" i="18" s="1"/>
  <c r="F22" i="18" l="1"/>
  <c r="G22" i="18" s="1"/>
  <c r="H22" i="18" l="1"/>
  <c r="E23" i="18" s="1"/>
  <c r="F23" i="18" l="1"/>
  <c r="G23" i="18" s="1"/>
  <c r="H23" i="18" l="1"/>
  <c r="E24" i="18" s="1"/>
  <c r="F24" i="18" l="1"/>
  <c r="G24" i="18" s="1"/>
  <c r="H24" i="18" l="1"/>
  <c r="E25" i="18" s="1"/>
  <c r="F25" i="18" l="1"/>
  <c r="G25" i="18" s="1"/>
  <c r="H25" i="18" l="1"/>
  <c r="E26" i="18" s="1"/>
  <c r="F26" i="18" l="1"/>
  <c r="G26" i="18" s="1"/>
  <c r="H26" i="18" l="1"/>
  <c r="E27" i="18" s="1"/>
  <c r="F27" i="18" l="1"/>
  <c r="G27" i="18" s="1"/>
  <c r="H27" i="18" l="1"/>
  <c r="E28" i="18" s="1"/>
  <c r="F28" i="18" l="1"/>
  <c r="G28" i="18" s="1"/>
  <c r="H28" i="18" l="1"/>
  <c r="E29" i="18" s="1"/>
  <c r="F29" i="18" l="1"/>
  <c r="G29" i="18" s="1"/>
  <c r="H29" i="18" l="1"/>
  <c r="E30" i="18" s="1"/>
  <c r="F30" i="18" l="1"/>
  <c r="G30" i="18" s="1"/>
  <c r="H30" i="18" l="1"/>
  <c r="E31" i="18" s="1"/>
  <c r="F31" i="18" l="1"/>
  <c r="G31" i="18" s="1"/>
  <c r="H31" i="18" l="1"/>
  <c r="E32" i="18" s="1"/>
  <c r="F32" i="18" l="1"/>
  <c r="G32" i="18" s="1"/>
  <c r="H32" i="18" l="1"/>
  <c r="E33" i="18" s="1"/>
  <c r="F33" i="18" l="1"/>
  <c r="G33" i="18" s="1"/>
  <c r="H33" i="18" l="1"/>
  <c r="E34" i="18" s="1"/>
  <c r="F34" i="18" l="1"/>
  <c r="G34" i="18" s="1"/>
  <c r="H34" i="18" l="1"/>
  <c r="E35" i="18" s="1"/>
  <c r="F35" i="18" l="1"/>
  <c r="G35" i="18" s="1"/>
  <c r="H35" i="18" l="1"/>
  <c r="E36" i="18" s="1"/>
  <c r="F36" i="18" l="1"/>
  <c r="G36" i="18" s="1"/>
  <c r="H36" i="18" l="1"/>
  <c r="E37" i="18" s="1"/>
  <c r="F37" i="18" l="1"/>
  <c r="G37" i="18" s="1"/>
  <c r="H37" i="18" l="1"/>
  <c r="E38" i="18" s="1"/>
  <c r="F38" i="18" l="1"/>
  <c r="G38" i="18" s="1"/>
  <c r="H38" i="18" l="1"/>
  <c r="E39" i="18" s="1"/>
  <c r="F39" i="18" l="1"/>
  <c r="G39" i="18" s="1"/>
  <c r="H39" i="18" l="1"/>
  <c r="E40" i="18" s="1"/>
  <c r="F40" i="18" l="1"/>
  <c r="G40" i="18" s="1"/>
  <c r="H40" i="18" l="1"/>
  <c r="E41" i="18" s="1"/>
  <c r="F41" i="18" l="1"/>
  <c r="G41" i="18" s="1"/>
  <c r="H41" i="18" l="1"/>
  <c r="E42" i="18" s="1"/>
  <c r="F42" i="18" l="1"/>
  <c r="G42" i="18" s="1"/>
  <c r="H42" i="18" l="1"/>
  <c r="E43" i="18" s="1"/>
  <c r="F43" i="18" l="1"/>
  <c r="G43" i="18" s="1"/>
  <c r="H43" i="18" l="1"/>
  <c r="E44" i="18" s="1"/>
  <c r="F44" i="18" l="1"/>
  <c r="G44" i="18" s="1"/>
  <c r="H44" i="18" l="1"/>
  <c r="E45" i="18" s="1"/>
  <c r="F45" i="18" l="1"/>
  <c r="G45" i="18" s="1"/>
  <c r="H45" i="18" l="1"/>
  <c r="E46" i="18" s="1"/>
  <c r="F46" i="18" l="1"/>
  <c r="G46" i="18" s="1"/>
  <c r="H46" i="18" l="1"/>
  <c r="E47" i="18" s="1"/>
  <c r="F47" i="18" l="1"/>
  <c r="G47" i="18" s="1"/>
  <c r="H47" i="18" l="1"/>
  <c r="E48" i="18" s="1"/>
  <c r="F48" i="18" l="1"/>
  <c r="G48" i="18" s="1"/>
  <c r="H48" i="18" l="1"/>
  <c r="E49" i="18" s="1"/>
  <c r="F49" i="18" l="1"/>
  <c r="G49" i="18" s="1"/>
  <c r="H49" i="18" l="1"/>
  <c r="E50" i="18" s="1"/>
  <c r="F50" i="18" l="1"/>
  <c r="G50" i="18" s="1"/>
  <c r="H50" i="18" l="1"/>
  <c r="E51" i="18" s="1"/>
  <c r="F51" i="18" l="1"/>
  <c r="G51" i="18" s="1"/>
  <c r="H51" i="18" l="1"/>
  <c r="E52" i="18" s="1"/>
  <c r="F52" i="18" l="1"/>
  <c r="G52" i="18" s="1"/>
  <c r="H52" i="18" l="1"/>
  <c r="E53" i="18" s="1"/>
  <c r="F53" i="18" l="1"/>
  <c r="G53" i="18" s="1"/>
  <c r="H53" i="18" l="1"/>
  <c r="E54" i="18" s="1"/>
  <c r="F54" i="18" l="1"/>
  <c r="G54" i="18" s="1"/>
  <c r="H54" i="18" l="1"/>
  <c r="E55" i="18" s="1"/>
  <c r="F55" i="18" l="1"/>
  <c r="G55" i="18" s="1"/>
  <c r="H55" i="18" l="1"/>
  <c r="E56" i="18" s="1"/>
  <c r="F56" i="18" l="1"/>
  <c r="G56" i="18" s="1"/>
  <c r="H56" i="18" l="1"/>
  <c r="E57" i="18" s="1"/>
  <c r="F57" i="18" l="1"/>
  <c r="G57" i="18" s="1"/>
  <c r="H57" i="18" l="1"/>
  <c r="E58" i="18" s="1"/>
  <c r="F58" i="18" l="1"/>
  <c r="G58" i="18" s="1"/>
  <c r="H58" i="18" l="1"/>
  <c r="E59" i="18" s="1"/>
  <c r="F59" i="18" l="1"/>
  <c r="G59" i="18" s="1"/>
  <c r="H59" i="18" l="1"/>
  <c r="E60" i="18" s="1"/>
  <c r="F60" i="18" l="1"/>
  <c r="G60" i="18" s="1"/>
  <c r="H60" i="18" l="1"/>
  <c r="E61" i="18" s="1"/>
  <c r="F61" i="18" l="1"/>
  <c r="G61" i="18" s="1"/>
  <c r="H61" i="18" l="1"/>
  <c r="E62" i="18" s="1"/>
  <c r="F62" i="18" l="1"/>
  <c r="G62" i="18" s="1"/>
  <c r="H62" i="18" l="1"/>
  <c r="E63" i="18" s="1"/>
  <c r="F63" i="18" l="1"/>
  <c r="G63" i="18" s="1"/>
  <c r="H63" i="18" l="1"/>
  <c r="E64" i="18" s="1"/>
  <c r="F64" i="18" l="1"/>
  <c r="G64" i="18" s="1"/>
  <c r="H64" i="18" l="1"/>
  <c r="E65" i="18" s="1"/>
  <c r="F65" i="18" l="1"/>
  <c r="G65" i="18" s="1"/>
  <c r="H65" i="18" l="1"/>
  <c r="E66" i="18" s="1"/>
  <c r="F66" i="18" l="1"/>
  <c r="G66" i="18" s="1"/>
  <c r="H66" i="18" l="1"/>
  <c r="E67" i="18" s="1"/>
  <c r="F67" i="18" l="1"/>
  <c r="G67" i="18" s="1"/>
  <c r="H67" i="18" l="1"/>
  <c r="E68" i="18" s="1"/>
  <c r="F68" i="18" l="1"/>
  <c r="G68" i="18" s="1"/>
  <c r="H68" i="18" l="1"/>
  <c r="E69" i="18" s="1"/>
  <c r="F69" i="18" l="1"/>
  <c r="G69" i="18" s="1"/>
  <c r="H69" i="18" l="1"/>
  <c r="E70" i="18" s="1"/>
  <c r="F70" i="18" l="1"/>
  <c r="G70" i="18" s="1"/>
  <c r="H70" i="18" l="1"/>
  <c r="E71" i="18" s="1"/>
  <c r="F71" i="18" l="1"/>
  <c r="G71" i="18" s="1"/>
  <c r="H71" i="18" l="1"/>
  <c r="E72" i="18" s="1"/>
  <c r="F72" i="18" l="1"/>
  <c r="G72" i="18" s="1"/>
  <c r="H72" i="18" l="1"/>
  <c r="E73" i="18" s="1"/>
  <c r="F73" i="18" l="1"/>
  <c r="G73" i="18" s="1"/>
  <c r="H73" i="18" l="1"/>
  <c r="E74" i="18" s="1"/>
  <c r="F74" i="18" l="1"/>
  <c r="G74" i="18" s="1"/>
  <c r="H74" i="18" l="1"/>
  <c r="E75" i="18" s="1"/>
  <c r="F75" i="18" l="1"/>
  <c r="G75" i="18" s="1"/>
  <c r="H75" i="18" l="1"/>
  <c r="E76" i="18" s="1"/>
  <c r="F76" i="18" l="1"/>
  <c r="G76" i="18" s="1"/>
  <c r="H76" i="18" l="1"/>
  <c r="E77" i="18" s="1"/>
  <c r="F77" i="18" l="1"/>
  <c r="G77" i="18" s="1"/>
  <c r="H77" i="18" l="1"/>
  <c r="E78" i="18" s="1"/>
  <c r="F78" i="18" l="1"/>
  <c r="G78" i="18" s="1"/>
  <c r="H78" i="18" l="1"/>
  <c r="E79" i="18" s="1"/>
  <c r="F79" i="18" l="1"/>
  <c r="G79" i="18" s="1"/>
  <c r="H79" i="18" l="1"/>
  <c r="E80" i="18" s="1"/>
  <c r="F80" i="18" l="1"/>
  <c r="G80" i="18" s="1"/>
  <c r="H80" i="18" l="1"/>
  <c r="E81" i="18" s="1"/>
  <c r="F81" i="18" l="1"/>
  <c r="G81" i="18" s="1"/>
  <c r="H81" i="18" l="1"/>
  <c r="E82" i="18"/>
  <c r="F82" i="18" l="1"/>
  <c r="G82" i="18" s="1"/>
  <c r="H82" i="18" l="1"/>
  <c r="E83" i="18" s="1"/>
  <c r="F83" i="18" l="1"/>
  <c r="G83" i="18" s="1"/>
  <c r="H83" i="18" l="1"/>
  <c r="E84" i="18" s="1"/>
  <c r="F84" i="18" l="1"/>
  <c r="G84" i="18" s="1"/>
  <c r="H84" i="18" l="1"/>
  <c r="E85" i="18" s="1"/>
  <c r="F85" i="18" l="1"/>
  <c r="G85" i="18" s="1"/>
  <c r="H85" i="18" l="1"/>
  <c r="E86" i="18" s="1"/>
  <c r="F86" i="18" l="1"/>
  <c r="G86" i="18" s="1"/>
  <c r="H86" i="18" l="1"/>
  <c r="E87" i="18" s="1"/>
  <c r="F87" i="18" l="1"/>
  <c r="G87" i="18" s="1"/>
  <c r="H87" i="18" l="1"/>
  <c r="E88" i="18" s="1"/>
  <c r="F88" i="18" l="1"/>
  <c r="G88" i="18" s="1"/>
  <c r="H88" i="18" l="1"/>
  <c r="E89" i="18" s="1"/>
  <c r="F89" i="18" l="1"/>
  <c r="G89" i="18" s="1"/>
  <c r="H89" i="18" l="1"/>
  <c r="E90" i="18" s="1"/>
  <c r="F90" i="18" l="1"/>
  <c r="G90" i="18" s="1"/>
  <c r="H90" i="18" l="1"/>
  <c r="E91" i="18" s="1"/>
  <c r="F91" i="18" l="1"/>
  <c r="G91" i="18" s="1"/>
  <c r="H91" i="18" l="1"/>
  <c r="E92" i="18" s="1"/>
  <c r="F92" i="18" l="1"/>
  <c r="G92" i="18" s="1"/>
  <c r="H92" i="18" l="1"/>
  <c r="E93" i="18" s="1"/>
  <c r="F93" i="18" l="1"/>
  <c r="G93" i="18" s="1"/>
  <c r="H93" i="18" l="1"/>
  <c r="E94" i="18" s="1"/>
  <c r="F94" i="18" l="1"/>
  <c r="G94" i="18" s="1"/>
  <c r="H94" i="18" l="1"/>
  <c r="E95" i="18" s="1"/>
  <c r="F95" i="18" l="1"/>
  <c r="G95" i="18" s="1"/>
  <c r="H95" i="18" l="1"/>
  <c r="E96" i="18" s="1"/>
  <c r="F96" i="18" l="1"/>
  <c r="G96" i="18" s="1"/>
  <c r="H96" i="18" l="1"/>
  <c r="E97" i="18" s="1"/>
  <c r="F97" i="18" l="1"/>
  <c r="G97" i="18" s="1"/>
  <c r="H97" i="18" l="1"/>
  <c r="E98" i="18" s="1"/>
  <c r="F98" i="18" l="1"/>
  <c r="G98" i="18" s="1"/>
  <c r="H98" i="18" l="1"/>
  <c r="E99" i="18" s="1"/>
  <c r="F99" i="18" l="1"/>
  <c r="G99" i="18" s="1"/>
  <c r="H99" i="18" l="1"/>
  <c r="E100" i="18" s="1"/>
  <c r="F100" i="18" l="1"/>
  <c r="G100" i="18" s="1"/>
  <c r="H100" i="18" l="1"/>
  <c r="E101" i="18" s="1"/>
  <c r="F101" i="18" l="1"/>
  <c r="G101" i="18" s="1"/>
  <c r="H101" i="18" l="1"/>
  <c r="E102" i="18" s="1"/>
  <c r="F102" i="18" l="1"/>
  <c r="G102" i="18" s="1"/>
  <c r="H102" i="18" l="1"/>
  <c r="E103" i="18" s="1"/>
  <c r="F103" i="18" l="1"/>
  <c r="G103" i="18" s="1"/>
  <c r="H103" i="18" l="1"/>
  <c r="E104" i="18" s="1"/>
  <c r="F104" i="18" l="1"/>
  <c r="G104" i="18" s="1"/>
  <c r="H104" i="18" l="1"/>
  <c r="E105" i="18" s="1"/>
  <c r="F105" i="18" l="1"/>
  <c r="G105" i="18" s="1"/>
  <c r="H105" i="18" l="1"/>
  <c r="E106" i="18" s="1"/>
  <c r="F106" i="18" l="1"/>
  <c r="G106" i="18" s="1"/>
  <c r="H106" i="18" l="1"/>
  <c r="E107" i="18" s="1"/>
  <c r="F107" i="18" l="1"/>
  <c r="G107" i="18" s="1"/>
  <c r="H107" i="18" l="1"/>
  <c r="E108" i="18" s="1"/>
  <c r="F108" i="18" l="1"/>
  <c r="G108" i="18" s="1"/>
  <c r="H108" i="18" l="1"/>
  <c r="E109" i="18" s="1"/>
  <c r="F109" i="18" l="1"/>
  <c r="G109" i="18" s="1"/>
  <c r="H109" i="18" l="1"/>
  <c r="E110" i="18"/>
  <c r="F110" i="18" l="1"/>
  <c r="G110" i="18" s="1"/>
  <c r="H110" i="18" l="1"/>
  <c r="E111" i="18" s="1"/>
  <c r="F111" i="18" l="1"/>
  <c r="G111" i="18" s="1"/>
  <c r="H111" i="18" l="1"/>
  <c r="E112" i="18" s="1"/>
  <c r="F112" i="18" l="1"/>
  <c r="G112" i="18" s="1"/>
  <c r="H112" i="18" l="1"/>
  <c r="E113" i="18" s="1"/>
  <c r="F113" i="18" l="1"/>
  <c r="G113" i="18" s="1"/>
  <c r="H113" i="18" l="1"/>
  <c r="E114" i="18" s="1"/>
  <c r="F114" i="18" l="1"/>
  <c r="G114" i="18" s="1"/>
  <c r="H114" i="18" l="1"/>
  <c r="E115" i="18" s="1"/>
  <c r="F115" i="18" l="1"/>
  <c r="G115" i="18" s="1"/>
  <c r="H115" i="18" l="1"/>
  <c r="E116" i="18" s="1"/>
  <c r="F116" i="18" l="1"/>
  <c r="G116" i="18" s="1"/>
  <c r="H116" i="18" l="1"/>
  <c r="E117" i="18" s="1"/>
  <c r="F117" i="18" l="1"/>
  <c r="G117" i="18" s="1"/>
  <c r="H117" i="18" l="1"/>
  <c r="E118" i="18"/>
  <c r="F118" i="18" l="1"/>
  <c r="G118" i="18" s="1"/>
  <c r="H118" i="18" l="1"/>
  <c r="E119" i="18" s="1"/>
  <c r="F119" i="18" l="1"/>
  <c r="G119" i="18" s="1"/>
  <c r="H119" i="18" l="1"/>
  <c r="E120" i="18" s="1"/>
  <c r="F120" i="18" l="1"/>
  <c r="G120" i="18" s="1"/>
  <c r="H120" i="18" l="1"/>
  <c r="E121" i="18" s="1"/>
  <c r="F121" i="18" l="1"/>
  <c r="G121" i="18" s="1"/>
  <c r="H121" i="18" l="1"/>
  <c r="E122" i="18" s="1"/>
  <c r="F122" i="18" l="1"/>
  <c r="G122" i="18" s="1"/>
  <c r="H122" i="18" l="1"/>
  <c r="E123" i="18" s="1"/>
  <c r="F123" i="18" l="1"/>
  <c r="G123" i="18" s="1"/>
  <c r="H123" i="18" l="1"/>
  <c r="E124" i="18" s="1"/>
  <c r="F124" i="18" l="1"/>
  <c r="G124" i="18" s="1"/>
  <c r="H124" i="18" l="1"/>
  <c r="E125" i="18"/>
  <c r="F125" i="18" l="1"/>
  <c r="G125" i="18" s="1"/>
  <c r="H125" i="18" l="1"/>
  <c r="E126" i="18" s="1"/>
  <c r="F126" i="18" l="1"/>
  <c r="G126" i="18" s="1"/>
  <c r="H126" i="18" l="1"/>
  <c r="E127" i="18" s="1"/>
  <c r="F127" i="18" l="1"/>
  <c r="G127" i="18" s="1"/>
  <c r="H127" i="18" l="1"/>
  <c r="E128" i="18" s="1"/>
  <c r="F128" i="18" l="1"/>
  <c r="G128" i="18" s="1"/>
  <c r="H128" i="18" l="1"/>
  <c r="E129" i="18"/>
  <c r="F129" i="18" l="1"/>
  <c r="G129" i="18" s="1"/>
  <c r="H129" i="18" l="1"/>
  <c r="E130" i="18" s="1"/>
  <c r="F130" i="18" l="1"/>
  <c r="G130" i="18" s="1"/>
  <c r="H130" i="18" l="1"/>
  <c r="E131" i="18" s="1"/>
  <c r="F131" i="18" l="1"/>
  <c r="G131" i="18" s="1"/>
  <c r="H131" i="18" l="1"/>
  <c r="E132" i="18" s="1"/>
  <c r="F132" i="18" l="1"/>
  <c r="G132" i="18" s="1"/>
  <c r="H132" i="18" l="1"/>
  <c r="E133" i="18" s="1"/>
  <c r="F133" i="18" l="1"/>
  <c r="G133" i="18" s="1"/>
  <c r="H133" i="18" l="1"/>
  <c r="E134" i="18" s="1"/>
  <c r="F134" i="18" l="1"/>
  <c r="G134" i="18" s="1"/>
  <c r="H134" i="18" l="1"/>
  <c r="E135" i="18" s="1"/>
  <c r="F135" i="18" l="1"/>
  <c r="G135" i="18" s="1"/>
  <c r="H135" i="18" l="1"/>
  <c r="E136" i="18" s="1"/>
  <c r="F136" i="18" l="1"/>
  <c r="G136" i="18" s="1"/>
  <c r="H136" i="18" l="1"/>
  <c r="E137" i="18" s="1"/>
  <c r="F137" i="18" l="1"/>
  <c r="G137" i="18" s="1"/>
  <c r="H137" i="18" l="1"/>
  <c r="E138" i="18" s="1"/>
  <c r="F138" i="18" l="1"/>
  <c r="G138" i="18" s="1"/>
  <c r="H138" i="18" l="1"/>
  <c r="E139" i="18" s="1"/>
  <c r="F139" i="18" l="1"/>
  <c r="G139" i="18" s="1"/>
  <c r="H139" i="18" l="1"/>
  <c r="E140" i="18" s="1"/>
  <c r="F140" i="18" l="1"/>
  <c r="G140" i="18" s="1"/>
  <c r="H140" i="18" l="1"/>
  <c r="E141" i="18" s="1"/>
  <c r="F141" i="18" l="1"/>
  <c r="G141" i="18" s="1"/>
  <c r="H141" i="18" l="1"/>
  <c r="E142" i="18" s="1"/>
  <c r="F142" i="18" l="1"/>
  <c r="G142" i="18" s="1"/>
  <c r="H142" i="18" l="1"/>
  <c r="E143" i="18" s="1"/>
  <c r="F143" i="18" l="1"/>
  <c r="G143" i="18" s="1"/>
  <c r="H143" i="18" l="1"/>
  <c r="E144" i="18" s="1"/>
  <c r="F144" i="18" l="1"/>
  <c r="G144" i="18" s="1"/>
  <c r="H144" i="18" l="1"/>
  <c r="E145" i="18" s="1"/>
  <c r="F145" i="18" l="1"/>
  <c r="G145" i="18" s="1"/>
  <c r="H145" i="18" l="1"/>
  <c r="E146" i="18" s="1"/>
  <c r="F146" i="18" l="1"/>
  <c r="G146" i="18" s="1"/>
  <c r="H146" i="18" l="1"/>
  <c r="E147" i="18" s="1"/>
  <c r="F147" i="18" l="1"/>
  <c r="G147" i="18" s="1"/>
  <c r="H147" i="18" l="1"/>
  <c r="E148" i="18" s="1"/>
  <c r="F148" i="18" l="1"/>
  <c r="G148" i="18" s="1"/>
  <c r="H148" i="18" l="1"/>
  <c r="E149" i="18" s="1"/>
  <c r="F149" i="18" l="1"/>
  <c r="G149" i="18" s="1"/>
  <c r="H149" i="18" l="1"/>
  <c r="E150" i="18" s="1"/>
  <c r="F150" i="18" l="1"/>
  <c r="G150" i="18" s="1"/>
  <c r="H150" i="18" l="1"/>
  <c r="E151" i="18" s="1"/>
  <c r="F151" i="18" l="1"/>
  <c r="G151" i="18" s="1"/>
  <c r="H151" i="18" l="1"/>
  <c r="E152" i="18" s="1"/>
  <c r="F152" i="18" l="1"/>
  <c r="G152" i="18" s="1"/>
  <c r="H152" i="18" l="1"/>
  <c r="E153" i="18" s="1"/>
  <c r="F153" i="18" l="1"/>
  <c r="G153" i="18" s="1"/>
  <c r="H153" i="18" l="1"/>
  <c r="E154" i="18" s="1"/>
  <c r="F154" i="18" l="1"/>
  <c r="G154" i="18" s="1"/>
  <c r="H154" i="18" l="1"/>
  <c r="E155" i="18" s="1"/>
  <c r="F155" i="18" l="1"/>
  <c r="G155" i="18" s="1"/>
  <c r="H155" i="18" l="1"/>
  <c r="E156" i="18" s="1"/>
  <c r="F156" i="18" l="1"/>
  <c r="G156" i="18" s="1"/>
  <c r="H156" i="18" l="1"/>
  <c r="E157" i="18" s="1"/>
  <c r="F157" i="18" l="1"/>
  <c r="G157" i="18" s="1"/>
  <c r="H157" i="18" l="1"/>
  <c r="E158" i="18" s="1"/>
  <c r="F158" i="18" l="1"/>
  <c r="G158" i="18" s="1"/>
  <c r="H158" i="18" l="1"/>
  <c r="E159" i="18" s="1"/>
  <c r="F159" i="18" l="1"/>
  <c r="G159" i="18" s="1"/>
  <c r="H159" i="18" l="1"/>
  <c r="E160" i="18" s="1"/>
  <c r="F160" i="18" l="1"/>
  <c r="G160" i="18" s="1"/>
  <c r="H160" i="18" l="1"/>
  <c r="E161" i="18" s="1"/>
  <c r="F161" i="18" l="1"/>
  <c r="G161" i="18" s="1"/>
  <c r="H161" i="18" l="1"/>
  <c r="E162" i="18" s="1"/>
  <c r="F162" i="18" l="1"/>
  <c r="G162" i="18" s="1"/>
  <c r="H162" i="18" l="1"/>
  <c r="E163" i="18" s="1"/>
  <c r="F163" i="18" l="1"/>
  <c r="G163" i="18" s="1"/>
  <c r="H163" i="18" l="1"/>
  <c r="E164" i="18" s="1"/>
  <c r="F164" i="18" l="1"/>
  <c r="F3" i="18" l="1"/>
  <c r="I2" i="18"/>
  <c r="G164" i="18"/>
  <c r="G165" i="18" l="1"/>
  <c r="G166" i="18" s="1"/>
  <c r="G167" i="18" s="1"/>
  <c r="G168" i="18" s="1"/>
  <c r="G169" i="18" s="1"/>
  <c r="G170" i="18" s="1"/>
  <c r="G171" i="18" s="1"/>
  <c r="G172" i="18" s="1"/>
  <c r="G173" i="18" s="1"/>
  <c r="G174" i="18" s="1"/>
  <c r="G175" i="18" s="1"/>
  <c r="G176" i="18" s="1"/>
  <c r="G177" i="18" s="1"/>
  <c r="G178" i="18" s="1"/>
  <c r="G179" i="18" s="1"/>
  <c r="G180" i="18" s="1"/>
  <c r="G181" i="18" s="1"/>
  <c r="G182" i="18" s="1"/>
  <c r="G183" i="18" s="1"/>
  <c r="G184" i="18" s="1"/>
  <c r="G185" i="18" s="1"/>
  <c r="G186" i="18" s="1"/>
  <c r="G187" i="18" s="1"/>
  <c r="G188" i="18" s="1"/>
  <c r="G189" i="18" s="1"/>
  <c r="G190" i="18" s="1"/>
  <c r="G191" i="18" s="1"/>
  <c r="G192" i="18" s="1"/>
  <c r="G193" i="18" s="1"/>
  <c r="G194" i="18" s="1"/>
  <c r="G195" i="18" s="1"/>
  <c r="G196" i="18" s="1"/>
  <c r="G197" i="18" s="1"/>
  <c r="G198" i="18" s="1"/>
  <c r="G199" i="18" s="1"/>
  <c r="G200" i="18" s="1"/>
  <c r="G201" i="18" s="1"/>
  <c r="G202" i="18" s="1"/>
  <c r="G203" i="18" s="1"/>
  <c r="G204" i="18" s="1"/>
  <c r="G205" i="18" s="1"/>
  <c r="G206" i="18" s="1"/>
  <c r="G207" i="18" s="1"/>
  <c r="G208" i="18" s="1"/>
  <c r="G209" i="18" s="1"/>
  <c r="G210" i="18" s="1"/>
  <c r="G211" i="18" s="1"/>
  <c r="E7" i="18" s="1"/>
  <c r="H164" i="18"/>
  <c r="F4" i="18" s="1"/>
  <c r="F5" i="18" l="1"/>
  <c r="C3" i="18"/>
  <c r="G12" i="11"/>
  <c r="H12" i="11" l="1"/>
  <c r="E13" i="11" l="1"/>
  <c r="F13" i="11" s="1"/>
  <c r="G13" i="11" l="1"/>
  <c r="H13" i="11" s="1"/>
  <c r="E14" i="11" l="1"/>
  <c r="F14" i="11" s="1"/>
  <c r="G14" i="11" l="1"/>
  <c r="H14" i="11" s="1"/>
  <c r="E15" i="11" l="1"/>
  <c r="F15" i="11" l="1"/>
  <c r="G15" i="11" l="1"/>
  <c r="H15" i="11" s="1"/>
  <c r="E16" i="11" s="1"/>
  <c r="F16" i="11" l="1"/>
  <c r="G16" i="11" s="1"/>
  <c r="H16" i="11" l="1"/>
  <c r="E17" i="11" s="1"/>
  <c r="F17" i="11" l="1"/>
  <c r="G17" i="11" s="1"/>
  <c r="H17" i="11" l="1"/>
  <c r="E18" i="11" s="1"/>
  <c r="F18" i="11" l="1"/>
  <c r="G18" i="11" s="1"/>
  <c r="H18" i="11" l="1"/>
  <c r="E19" i="11" s="1"/>
  <c r="F19" i="11" l="1"/>
  <c r="G19" i="11" s="1"/>
  <c r="H19" i="11" l="1"/>
  <c r="E20" i="11" s="1"/>
  <c r="F20" i="11" l="1"/>
  <c r="G20" i="11" s="1"/>
  <c r="H20" i="11" l="1"/>
  <c r="E21" i="11" s="1"/>
  <c r="F21" i="11" l="1"/>
  <c r="G21" i="11" s="1"/>
  <c r="H21" i="11" l="1"/>
  <c r="E22" i="11" s="1"/>
  <c r="F22" i="11" l="1"/>
  <c r="G22" i="11" s="1"/>
  <c r="H22" i="11" l="1"/>
  <c r="E23" i="11" s="1"/>
  <c r="F23" i="11" l="1"/>
  <c r="G23" i="11" s="1"/>
  <c r="H23" i="11" l="1"/>
  <c r="E24" i="11" s="1"/>
  <c r="F24" i="11" l="1"/>
  <c r="G24" i="11" s="1"/>
  <c r="H24" i="11" l="1"/>
  <c r="E25" i="11" s="1"/>
  <c r="F25" i="11" l="1"/>
  <c r="G25" i="11" s="1"/>
  <c r="H25" i="11" l="1"/>
  <c r="E26" i="11" s="1"/>
  <c r="F26" i="11" l="1"/>
  <c r="G26" i="11" s="1"/>
  <c r="H26" i="11" l="1"/>
  <c r="E27" i="11" s="1"/>
  <c r="F27" i="11" l="1"/>
  <c r="G27" i="11" s="1"/>
  <c r="H27" i="11" l="1"/>
  <c r="E28" i="11" s="1"/>
  <c r="F28" i="11" l="1"/>
  <c r="G28" i="11" s="1"/>
  <c r="H28" i="11" l="1"/>
  <c r="E29" i="11" s="1"/>
  <c r="F29" i="11" l="1"/>
  <c r="G29" i="11" s="1"/>
  <c r="H29" i="11" l="1"/>
  <c r="E30" i="11" s="1"/>
  <c r="F30" i="11" l="1"/>
  <c r="G30" i="11" s="1"/>
  <c r="H30" i="11" l="1"/>
  <c r="E31" i="11" s="1"/>
  <c r="F31" i="11" l="1"/>
  <c r="G31" i="11" s="1"/>
  <c r="H31" i="11" l="1"/>
  <c r="E32" i="11" s="1"/>
  <c r="F32" i="11" l="1"/>
  <c r="G32" i="11" s="1"/>
  <c r="H32" i="11" l="1"/>
  <c r="E33" i="11" s="1"/>
  <c r="F33" i="11" l="1"/>
  <c r="G33" i="11" s="1"/>
  <c r="H33" i="11" l="1"/>
  <c r="E34" i="11" s="1"/>
  <c r="F34" i="11" l="1"/>
  <c r="G34" i="11" s="1"/>
  <c r="H34" i="11" l="1"/>
  <c r="E35" i="11" s="1"/>
  <c r="F35" i="11" l="1"/>
  <c r="G35" i="11" s="1"/>
  <c r="H35" i="11" l="1"/>
  <c r="E36" i="11" s="1"/>
  <c r="F36" i="11" s="1"/>
  <c r="G36" i="11" l="1"/>
  <c r="H36" i="11" s="1"/>
  <c r="E37" i="11" s="1"/>
  <c r="F37" i="11" l="1"/>
  <c r="G37" i="11" s="1"/>
  <c r="H37" i="11" l="1"/>
  <c r="E38" i="11" l="1"/>
  <c r="F38" i="11" l="1"/>
  <c r="G38" i="11" s="1"/>
  <c r="H38" i="11" l="1"/>
  <c r="E39" i="11" s="1"/>
  <c r="F39" i="11" l="1"/>
  <c r="G39" i="11" s="1"/>
  <c r="H39" i="11" l="1"/>
  <c r="E40" i="11" s="1"/>
  <c r="F40" i="11" l="1"/>
  <c r="G40" i="11" s="1"/>
  <c r="H40" i="11" l="1"/>
  <c r="E41" i="11" s="1"/>
  <c r="F41" i="11" l="1"/>
  <c r="G41" i="11" s="1"/>
  <c r="H41" i="11" l="1"/>
  <c r="E42" i="11" s="1"/>
  <c r="F42" i="11" l="1"/>
  <c r="G42" i="11" s="1"/>
  <c r="H42" i="11" l="1"/>
  <c r="E43" i="11" s="1"/>
  <c r="F43" i="11" l="1"/>
  <c r="G43" i="11" s="1"/>
  <c r="H43" i="11" l="1"/>
  <c r="E44" i="11" s="1"/>
  <c r="F44" i="11" l="1"/>
  <c r="G44" i="11" s="1"/>
  <c r="H44" i="11" l="1"/>
  <c r="E45" i="11" s="1"/>
  <c r="F45" i="11" l="1"/>
  <c r="G45" i="11" s="1"/>
  <c r="H45" i="11" l="1"/>
  <c r="E46" i="11" s="1"/>
  <c r="F46" i="11" l="1"/>
  <c r="G46" i="11" s="1"/>
  <c r="H46" i="11" l="1"/>
  <c r="E47" i="11" s="1"/>
  <c r="F47" i="11" l="1"/>
  <c r="G47" i="11" s="1"/>
  <c r="H47" i="11" l="1"/>
  <c r="E48" i="11" s="1"/>
  <c r="F48" i="11" l="1"/>
  <c r="G48" i="11" s="1"/>
  <c r="H48" i="11" l="1"/>
  <c r="E49" i="11" s="1"/>
  <c r="F49" i="11" l="1"/>
  <c r="G49" i="11" s="1"/>
  <c r="H49" i="11" l="1"/>
  <c r="E50" i="11" s="1"/>
  <c r="F50" i="11" l="1"/>
  <c r="G50" i="11" s="1"/>
  <c r="H50" i="11" l="1"/>
  <c r="E51" i="11" s="1"/>
  <c r="F51" i="11" l="1"/>
  <c r="G51" i="11" s="1"/>
  <c r="H51" i="11" l="1"/>
  <c r="E52" i="11" s="1"/>
  <c r="F52" i="11" l="1"/>
  <c r="G52" i="11" s="1"/>
  <c r="H52" i="11" l="1"/>
  <c r="E53" i="11" s="1"/>
  <c r="F53" i="11" l="1"/>
  <c r="G53" i="11" s="1"/>
  <c r="H53" i="11" l="1"/>
  <c r="E54" i="11" s="1"/>
  <c r="F54" i="11" l="1"/>
  <c r="G54" i="11" s="1"/>
  <c r="H54" i="11" l="1"/>
  <c r="E55" i="11" s="1"/>
  <c r="F55" i="11" l="1"/>
  <c r="G55" i="11" s="1"/>
  <c r="H55" i="11" l="1"/>
  <c r="E56" i="11" s="1"/>
  <c r="F56" i="11" l="1"/>
  <c r="G56" i="11" s="1"/>
  <c r="H56" i="11" l="1"/>
  <c r="E57" i="11" s="1"/>
  <c r="F57" i="11" l="1"/>
  <c r="G57" i="11" s="1"/>
  <c r="H57" i="11" l="1"/>
  <c r="E58" i="11" s="1"/>
  <c r="F58" i="11" l="1"/>
  <c r="G58" i="11" s="1"/>
  <c r="H58" i="11" l="1"/>
  <c r="E59" i="11" s="1"/>
  <c r="F59" i="11" l="1"/>
  <c r="G59" i="11" s="1"/>
  <c r="H59" i="11" l="1"/>
  <c r="E60" i="11" s="1"/>
  <c r="F60" i="11" l="1"/>
  <c r="G60" i="11" s="1"/>
  <c r="H60" i="11" l="1"/>
  <c r="E61" i="11" s="1"/>
  <c r="F61" i="11" l="1"/>
  <c r="G61" i="11" s="1"/>
  <c r="H61" i="11" l="1"/>
  <c r="E62" i="11" s="1"/>
  <c r="F62" i="11" l="1"/>
  <c r="G62" i="11" s="1"/>
  <c r="H62" i="11" l="1"/>
  <c r="E63" i="11" s="1"/>
  <c r="F63" i="11" l="1"/>
  <c r="G63" i="11" s="1"/>
  <c r="H63" i="11" l="1"/>
  <c r="E64" i="11" s="1"/>
  <c r="F64" i="11" l="1"/>
  <c r="G64" i="11" s="1"/>
  <c r="H64" i="11" l="1"/>
  <c r="E65" i="11" s="1"/>
  <c r="F65" i="11" l="1"/>
  <c r="G65" i="11" s="1"/>
  <c r="H65" i="11" l="1"/>
  <c r="E66" i="11" s="1"/>
  <c r="F66" i="11" l="1"/>
  <c r="G66" i="11" s="1"/>
  <c r="H66" i="11" l="1"/>
  <c r="E67" i="11" s="1"/>
  <c r="F67" i="11" l="1"/>
  <c r="G67" i="11" s="1"/>
  <c r="H67" i="11" l="1"/>
  <c r="E68" i="11" s="1"/>
  <c r="F68" i="11" l="1"/>
  <c r="G68" i="11" s="1"/>
  <c r="H68" i="11" l="1"/>
  <c r="E69" i="11" s="1"/>
  <c r="F69" i="11" l="1"/>
  <c r="G69" i="11" s="1"/>
  <c r="H69" i="11" l="1"/>
  <c r="E70" i="11" s="1"/>
  <c r="F70" i="11" l="1"/>
  <c r="G70" i="11" s="1"/>
  <c r="H70" i="11" l="1"/>
  <c r="E71" i="11" s="1"/>
  <c r="F71" i="11" l="1"/>
  <c r="G71" i="11" s="1"/>
  <c r="H71" i="11" l="1"/>
  <c r="E72" i="11" s="1"/>
  <c r="F72" i="11" l="1"/>
  <c r="G72" i="11" s="1"/>
  <c r="H72" i="11" l="1"/>
  <c r="E73" i="11" s="1"/>
  <c r="F73" i="11" l="1"/>
  <c r="F5" i="11" s="1"/>
  <c r="G73" i="11" l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I2" i="11"/>
  <c r="C3" i="11" s="1"/>
  <c r="H73" i="11" l="1"/>
  <c r="F3" i="11" s="1"/>
  <c r="E7" i="11"/>
</calcChain>
</file>

<file path=xl/sharedStrings.xml><?xml version="1.0" encoding="utf-8"?>
<sst xmlns="http://schemas.openxmlformats.org/spreadsheetml/2006/main" count="395" uniqueCount="50">
  <si>
    <t>Loan Amount:</t>
  </si>
  <si>
    <t>Loan Origination Date:</t>
  </si>
  <si>
    <t>Days b/w Payment Periods:</t>
  </si>
  <si>
    <t>Total Interest:</t>
  </si>
  <si>
    <t>Number of Payments:</t>
  </si>
  <si>
    <t>Total Subscription $</t>
  </si>
  <si>
    <t>APR :</t>
  </si>
  <si>
    <t>Total Paid:</t>
  </si>
  <si>
    <t>Subscription $</t>
  </si>
  <si>
    <t>Overall Loan Term:</t>
  </si>
  <si>
    <t>Min payment per period:</t>
  </si>
  <si>
    <t>Date</t>
  </si>
  <si>
    <t>Day Count</t>
  </si>
  <si>
    <t>Day of Week</t>
  </si>
  <si>
    <t>Daily Interest</t>
  </si>
  <si>
    <t>Payment</t>
  </si>
  <si>
    <t>Num Payments:</t>
  </si>
  <si>
    <t>Approx Repayment period</t>
  </si>
  <si>
    <t>Plan:</t>
  </si>
  <si>
    <t>Weekly 250</t>
  </si>
  <si>
    <t>Weekly 500</t>
  </si>
  <si>
    <t>Weekly 750</t>
  </si>
  <si>
    <t>Weekly 1000</t>
  </si>
  <si>
    <t>Weekly 1250</t>
  </si>
  <si>
    <t>Bi-Weekly 250</t>
  </si>
  <si>
    <t>Bi-Weekly 500</t>
  </si>
  <si>
    <t>Bi-Weekly 750</t>
  </si>
  <si>
    <t>Bi-Weekly 1000</t>
  </si>
  <si>
    <t>Bi-Weekly 1250</t>
  </si>
  <si>
    <t>Monthly 250</t>
  </si>
  <si>
    <t>Monthly 500</t>
  </si>
  <si>
    <t>Monthly 750</t>
  </si>
  <si>
    <t>Monthly 1000</t>
  </si>
  <si>
    <t>Monthly 1250</t>
  </si>
  <si>
    <t>Return to Home</t>
  </si>
  <si>
    <t>Inputs</t>
  </si>
  <si>
    <t>Calculated</t>
  </si>
  <si>
    <t>Key Min Payment Per Period</t>
  </si>
  <si>
    <t>Colour legends at top:</t>
  </si>
  <si>
    <t>Colour legends within Schedule:</t>
  </si>
  <si>
    <t>Final Payment Day</t>
  </si>
  <si>
    <t>Irrelevant Days for Schedule</t>
  </si>
  <si>
    <t>Daily Opening Balance</t>
  </si>
  <si>
    <t>Daily Closing Balance</t>
  </si>
  <si>
    <t>Instructions:</t>
  </si>
  <si>
    <t>Hit the Reset button when you change an input and the message in cell "E7" says "Reset" and is Red</t>
  </si>
  <si>
    <t>This will calculate the even payments required over the period</t>
  </si>
  <si>
    <t>Once properly completed the cell should say "No Reset Required" and is Green</t>
  </si>
  <si>
    <t>Key Assumptions/Notes:</t>
  </si>
  <si>
    <t>For the monthly calculation, assumed the payment must be made on the same date of the next month (i.e. Loan originated July 19, first payment is August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</si>
</sst>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.00_-;\-&quot;$&quot;* #,##0.00_-;_-&quot;$&quot;* &quot;-&quot;??_-;_-@_-"/>
    <numFmt numFmtId="165" formatCode="&quot;$&quot;#,##0"/>
    <numFmt numFmtId="166" formatCode="&quot;$&quot;#,##0.00"/>
    <numFmt numFmtId="167" formatCode="&quot;$&quot;#,##0.00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166" fontId="0" fillId="0" borderId="0" xfId="0" applyNumberFormat="1"/>
    <xf numFmtId="164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0" fillId="3" borderId="0" xfId="0" applyFill="1"/>
    <xf numFmtId="0" fontId="0" fillId="2" borderId="0" xfId="0" applyFill="1"/>
    <xf numFmtId="166" fontId="2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2" fillId="2" borderId="0" xfId="1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0" fillId="5" borderId="0" xfId="0" applyFill="1"/>
    <xf numFmtId="0" fontId="0" fillId="4" borderId="0" xfId="0" applyFill="1"/>
    <xf numFmtId="0" fontId="2" fillId="5" borderId="0" xfId="0" applyFont="1" applyFill="1"/>
    <xf numFmtId="0" fontId="4" fillId="5" borderId="0" xfId="2" applyFill="1"/>
    <xf numFmtId="0" fontId="0" fillId="6" borderId="0" xfId="0" applyFill="1"/>
    <xf numFmtId="0" fontId="0" fillId="0" borderId="0" xfId="0" quotePrefix="1"/>
    <xf numFmtId="0" fontId="5" fillId="0" borderId="1" xfId="2" applyFont="1" applyBorder="1" applyAlignment="1">
      <alignment horizontal="center" vertical="center"/>
    </xf>
    <xf numFmtId="0" fontId="5" fillId="0" borderId="2" xfId="2" applyFont="1" applyBorder="1" applyAlignment="1">
      <alignment horizontal="center" vertical="center"/>
    </xf>
    <xf numFmtId="0" fontId="5" fillId="0" borderId="5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0" xfId="0" applyFont="1"/>
    <xf numFmtId="0" fontId="2" fillId="7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90"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FF66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5</xdr:row>
          <xdr:rowOff>25400</xdr:rowOff>
        </xdr:from>
        <xdr:to>
          <xdr:col>8</xdr:col>
          <xdr:colOff>1562100</xdr:colOff>
          <xdr:row>7</xdr:row>
          <xdr:rowOff>165100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5</xdr:row>
          <xdr:rowOff>76200</xdr:rowOff>
        </xdr:from>
        <xdr:to>
          <xdr:col>8</xdr:col>
          <xdr:colOff>1562100</xdr:colOff>
          <xdr:row>8</xdr:row>
          <xdr:rowOff>12700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6</xdr:row>
          <xdr:rowOff>25400</xdr:rowOff>
        </xdr:from>
        <xdr:to>
          <xdr:col>8</xdr:col>
          <xdr:colOff>1511300</xdr:colOff>
          <xdr:row>8</xdr:row>
          <xdr:rowOff>165100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5</xdr:row>
          <xdr:rowOff>25400</xdr:rowOff>
        </xdr:from>
        <xdr:to>
          <xdr:col>8</xdr:col>
          <xdr:colOff>1562100</xdr:colOff>
          <xdr:row>7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5</xdr:row>
          <xdr:rowOff>76200</xdr:rowOff>
        </xdr:from>
        <xdr:to>
          <xdr:col>8</xdr:col>
          <xdr:colOff>1562100</xdr:colOff>
          <xdr:row>8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6</xdr:row>
          <xdr:rowOff>25400</xdr:rowOff>
        </xdr:from>
        <xdr:to>
          <xdr:col>8</xdr:col>
          <xdr:colOff>1511300</xdr:colOff>
          <xdr:row>8</xdr:row>
          <xdr:rowOff>165100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5</xdr:row>
          <xdr:rowOff>50800</xdr:rowOff>
        </xdr:from>
        <xdr:to>
          <xdr:col>8</xdr:col>
          <xdr:colOff>1524000</xdr:colOff>
          <xdr:row>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5</xdr:row>
          <xdr:rowOff>50800</xdr:rowOff>
        </xdr:from>
        <xdr:to>
          <xdr:col>8</xdr:col>
          <xdr:colOff>1549400</xdr:colOff>
          <xdr:row>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5</xdr:row>
          <xdr:rowOff>76200</xdr:rowOff>
        </xdr:from>
        <xdr:to>
          <xdr:col>8</xdr:col>
          <xdr:colOff>1549400</xdr:colOff>
          <xdr:row>8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292100</xdr:colOff>
          <xdr:row>5</xdr:row>
          <xdr:rowOff>38100</xdr:rowOff>
        </xdr:from>
        <xdr:to>
          <xdr:col>8</xdr:col>
          <xdr:colOff>1638300</xdr:colOff>
          <xdr:row>7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5</xdr:row>
          <xdr:rowOff>76200</xdr:rowOff>
        </xdr:from>
        <xdr:to>
          <xdr:col>8</xdr:col>
          <xdr:colOff>1384300</xdr:colOff>
          <xdr:row>8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8</xdr:col>
          <xdr:colOff>1422400</xdr:colOff>
          <xdr:row>8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127000</xdr:colOff>
          <xdr:row>5</xdr:row>
          <xdr:rowOff>38100</xdr:rowOff>
        </xdr:from>
        <xdr:to>
          <xdr:col>8</xdr:col>
          <xdr:colOff>1473200</xdr:colOff>
          <xdr:row>7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5</xdr:row>
          <xdr:rowOff>63500</xdr:rowOff>
        </xdr:from>
        <xdr:to>
          <xdr:col>8</xdr:col>
          <xdr:colOff>1562100</xdr:colOff>
          <xdr:row>8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6</xdr:row>
          <xdr:rowOff>38100</xdr:rowOff>
        </xdr:from>
        <xdr:to>
          <xdr:col>8</xdr:col>
          <xdr:colOff>1536700</xdr:colOff>
          <xdr:row>8</xdr:row>
          <xdr:rowOff>177800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127000</xdr:colOff>
          <xdr:row>6</xdr:row>
          <xdr:rowOff>38100</xdr:rowOff>
        </xdr:from>
        <xdr:to>
          <xdr:col>8</xdr:col>
          <xdr:colOff>1485900</xdr:colOff>
          <xdr:row>8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38100</xdr:rowOff>
        </xdr:from>
        <xdr:to>
          <xdr:col>8</xdr:col>
          <xdr:colOff>1549400</xdr:colOff>
          <xdr:row>8</xdr:row>
          <xdr:rowOff>177800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6</xdr:row>
          <xdr:rowOff>38100</xdr:rowOff>
        </xdr:from>
        <xdr:to>
          <xdr:col>8</xdr:col>
          <xdr:colOff>1549400</xdr:colOff>
          <xdr:row>8</xdr:row>
          <xdr:rowOff>177800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Min Payment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DD152-9FA9-439F-91F8-131E5980318D}">
  <sheetPr codeName="Sheet1"/>
  <dimension ref="B3:E19"/>
  <sheetViews>
    <sheetView workbookViewId="0">
      <selection activeCell="B14" sqref="B14"/>
    </sheetView>
  </sheetViews>
  <sheetFormatPr baseColWidth="10" defaultColWidth="8.6640625" defaultRowHeight="15" x14ac:dyDescent="0.2"/>
  <cols>
    <col min="1" max="1" width="8.6640625" style="17"/>
    <col min="2" max="2" width="13.6640625" style="17" bestFit="1" customWidth="1"/>
    <col min="3" max="4" width="8.6640625" style="17"/>
    <col min="5" max="5" width="27.6640625" style="17" bestFit="1" customWidth="1"/>
    <col min="6" max="16384" width="8.6640625" style="17"/>
  </cols>
  <sheetData>
    <row r="3" spans="2:5" x14ac:dyDescent="0.2">
      <c r="B3" s="19" t="s">
        <v>18</v>
      </c>
      <c r="E3" s="19" t="s">
        <v>38</v>
      </c>
    </row>
    <row r="4" spans="2:5" x14ac:dyDescent="0.2">
      <c r="B4" s="20" t="s">
        <v>19</v>
      </c>
      <c r="E4" s="7" t="s">
        <v>35</v>
      </c>
    </row>
    <row r="5" spans="2:5" x14ac:dyDescent="0.2">
      <c r="B5" s="20" t="s">
        <v>20</v>
      </c>
      <c r="E5" s="6" t="s">
        <v>36</v>
      </c>
    </row>
    <row r="6" spans="2:5" x14ac:dyDescent="0.2">
      <c r="B6" s="20" t="s">
        <v>21</v>
      </c>
      <c r="E6" s="18" t="s">
        <v>37</v>
      </c>
    </row>
    <row r="7" spans="2:5" x14ac:dyDescent="0.2">
      <c r="B7" s="20" t="s">
        <v>22</v>
      </c>
    </row>
    <row r="8" spans="2:5" x14ac:dyDescent="0.2">
      <c r="B8" s="20" t="s">
        <v>23</v>
      </c>
      <c r="E8" s="19" t="s">
        <v>39</v>
      </c>
    </row>
    <row r="9" spans="2:5" x14ac:dyDescent="0.2">
      <c r="B9" s="20" t="s">
        <v>24</v>
      </c>
      <c r="E9" s="18" t="s">
        <v>40</v>
      </c>
    </row>
    <row r="10" spans="2:5" x14ac:dyDescent="0.2">
      <c r="B10" s="20" t="s">
        <v>25</v>
      </c>
      <c r="E10" s="21" t="s">
        <v>41</v>
      </c>
    </row>
    <row r="11" spans="2:5" x14ac:dyDescent="0.2">
      <c r="B11" s="20" t="s">
        <v>26</v>
      </c>
    </row>
    <row r="12" spans="2:5" x14ac:dyDescent="0.2">
      <c r="B12" s="20" t="s">
        <v>27</v>
      </c>
    </row>
    <row r="13" spans="2:5" x14ac:dyDescent="0.2">
      <c r="B13" s="20" t="s">
        <v>28</v>
      </c>
      <c r="E13" s="19" t="s">
        <v>44</v>
      </c>
    </row>
    <row r="14" spans="2:5" x14ac:dyDescent="0.2">
      <c r="B14" s="20" t="s">
        <v>29</v>
      </c>
      <c r="E14" s="17" t="s">
        <v>45</v>
      </c>
    </row>
    <row r="15" spans="2:5" x14ac:dyDescent="0.2">
      <c r="B15" s="20" t="s">
        <v>30</v>
      </c>
      <c r="E15" s="17" t="s">
        <v>46</v>
      </c>
    </row>
    <row r="16" spans="2:5" x14ac:dyDescent="0.2">
      <c r="B16" s="20" t="s">
        <v>31</v>
      </c>
      <c r="E16" s="17" t="s">
        <v>47</v>
      </c>
    </row>
    <row r="17" spans="2:5" x14ac:dyDescent="0.2">
      <c r="B17" s="20" t="s">
        <v>32</v>
      </c>
    </row>
    <row r="18" spans="2:5" x14ac:dyDescent="0.2">
      <c r="B18" s="20" t="s">
        <v>33</v>
      </c>
      <c r="E18" s="19" t="s">
        <v>48</v>
      </c>
    </row>
    <row r="19" spans="2:5" x14ac:dyDescent="0.2">
      <c r="E19" s="17" t="s">
        <v>49</v>
      </c>
    </row>
  </sheetData>
  <hyperlinks>
    <hyperlink ref="B4" location="'Weekly 250'!A1" display="Weekly 250" xr:uid="{1E33DA93-A47B-43A9-820E-922E80FCCF23}"/>
    <hyperlink ref="B5" location="'Weekly 500'!A1" display="Weekly 500" xr:uid="{A67FC43C-F705-4EC2-9137-C7E96AA769A8}"/>
    <hyperlink ref="B6" location="'Weekly 750'!A1" display="Weekly 750" xr:uid="{860E63D4-4C49-43EE-A56D-85486F5C9BD3}"/>
    <hyperlink ref="B7" location="'Weekly 1000'!A1" display="Weekly 1000" xr:uid="{2CD95946-BEDA-483A-B4C4-BB01B3ED0232}"/>
    <hyperlink ref="B8" location="'Weekly 1250'!A1" display="Weekly 1250" xr:uid="{71CDB321-24DC-422C-97D8-07B600F89319}"/>
    <hyperlink ref="B9" location="'BiWeekly 250'!A1" display="Bi-Weekly 250" xr:uid="{3E12ED77-8157-41AE-BAB9-10A26FA5C96A}"/>
    <hyperlink ref="B10" location="'BiWeekly 500'!A1" display="Bi-Weekly 500" xr:uid="{A18C421C-1647-4C20-9D6B-59E58C1865A5}"/>
    <hyperlink ref="B11" location="'BiWeekly 750'!A1" display="Bi-Weekly 750" xr:uid="{29C8FE4D-9B37-47AF-AE97-81B97870C8F9}"/>
    <hyperlink ref="B12" location="'BiWeekly 1000'!A1" display="Bi-Weekly 1000" xr:uid="{8C32CE8D-237A-47D0-9203-646A60D61704}"/>
    <hyperlink ref="B13" location="'BiWeekly 1250'!A1" display="Bi-Weekly 1250" xr:uid="{63402D38-A1A5-49AA-A7F6-40942D7D3CEB}"/>
    <hyperlink ref="B14" location="'Monthly 250'!A1" display="Monthly 250" xr:uid="{9365A5DA-A20A-480F-97D3-D8705BF489BB}"/>
    <hyperlink ref="B15" location="'Monthly 500'!A1" display="Monthly 500" xr:uid="{09116923-F2BD-46DD-849F-3A8491E0143C}"/>
    <hyperlink ref="B16" location="'Monthly 750'!A1" display="Monthly 750" xr:uid="{FD82C34F-7D25-491E-9AF6-4698A4433173}"/>
    <hyperlink ref="B17" location="'Monthly 1000'!A1" display="Monthly 1000" xr:uid="{501EFBAB-C414-4C0B-B2D5-31DDF8D188F1}"/>
    <hyperlink ref="B18" location="'Monthly 1250'!A1" display="Monthly 1250" xr:uid="{DF05A769-2786-4448-BE5B-CB40890C9B7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8EAC4-ECE6-4413-B259-DFF4468C7EE7}">
  <sheetPr codeName="Sheet21"/>
  <dimension ref="B1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3" customWidth="1"/>
    <col min="9" max="9" width="25" bestFit="1" customWidth="1"/>
  </cols>
  <sheetData>
    <row r="1" spans="2:9" ht="16" thickBot="1" x14ac:dyDescent="0.25"/>
    <row r="2" spans="2:9" x14ac:dyDescent="0.2">
      <c r="B2" s="1" t="s">
        <v>0</v>
      </c>
      <c r="C2" s="13">
        <v>250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9" x14ac:dyDescent="0.2">
      <c r="B3" s="1" t="s">
        <v>2</v>
      </c>
      <c r="C3" s="11">
        <v>7</v>
      </c>
      <c r="E3" s="1" t="s">
        <v>3</v>
      </c>
      <c r="F3" s="15">
        <f>SUM(H11:H211)</f>
        <v>3.2030336312455314</v>
      </c>
      <c r="H3" s="25"/>
      <c r="I3" s="26"/>
    </row>
    <row r="4" spans="2:9" ht="16" thickBot="1" x14ac:dyDescent="0.25">
      <c r="B4" s="1" t="s">
        <v>4</v>
      </c>
      <c r="C4" s="9">
        <f>C7/C3</f>
        <v>6</v>
      </c>
      <c r="E4" s="1" t="s">
        <v>5</v>
      </c>
      <c r="F4" s="15">
        <f>SUM(I11:I211)</f>
        <v>0</v>
      </c>
      <c r="H4" s="27"/>
      <c r="I4" s="28"/>
    </row>
    <row r="5" spans="2:9" x14ac:dyDescent="0.2">
      <c r="B5" s="1" t="s">
        <v>6</v>
      </c>
      <c r="C5" s="12">
        <v>0.19</v>
      </c>
      <c r="E5" s="1" t="s">
        <v>7</v>
      </c>
      <c r="F5" s="15">
        <f>SUM(F12:F211)</f>
        <v>253.20303363124566</v>
      </c>
    </row>
    <row r="6" spans="2:9" ht="16" thickBot="1" x14ac:dyDescent="0.25">
      <c r="B6" s="1" t="s">
        <v>8</v>
      </c>
      <c r="C6" s="13">
        <v>20</v>
      </c>
    </row>
    <row r="7" spans="2:9" ht="15" customHeight="1" x14ac:dyDescent="0.2">
      <c r="B7" s="1" t="s">
        <v>9</v>
      </c>
      <c r="C7" s="11">
        <v>42</v>
      </c>
      <c r="E7" s="29" t="str">
        <f>IF(ROUND(G211,2)&lt;&gt;0,"RESET","No RESET Required")</f>
        <v>No RESET Required</v>
      </c>
      <c r="F7" s="30"/>
    </row>
    <row r="8" spans="2:9" ht="15" customHeight="1" thickBot="1" x14ac:dyDescent="0.25">
      <c r="B8" s="1" t="s">
        <v>10</v>
      </c>
      <c r="C8" s="8">
        <v>42.20050560520761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>I11+$C$2</f>
        <v>250</v>
      </c>
      <c r="H11" s="2">
        <f>IF(C11&gt;$C$7,0,(G11)*$C$5/365)</f>
        <v>0.13013698630136986</v>
      </c>
      <c r="I11" s="2"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>IF(C12&gt;$C$7,0,G11+H11+I11)</f>
        <v>250.13013698630138</v>
      </c>
      <c r="F12" s="2">
        <f>IF(C12&gt;$C$7,0,IF(ROUND(E12,0)&gt;0,IF(C12=0,0,IF(MOD(C12,$C$3)&gt;0,0,$C$8)),0))</f>
        <v>0</v>
      </c>
      <c r="G12" s="2">
        <f>IF(C12&gt;$C$7,G11,E12-F12)</f>
        <v>250.13013698630138</v>
      </c>
      <c r="H12" s="2">
        <f t="shared" ref="H12:H75" si="1">IF(C12&gt;$C$7,0,(G12)*$C$5/365)</f>
        <v>0.13020472884218429</v>
      </c>
      <c r="I12" s="2">
        <v>0</v>
      </c>
    </row>
    <row r="13" spans="2:9" x14ac:dyDescent="0.2">
      <c r="B13" s="4">
        <f t="shared" ref="B13:C28" ca="1" si="2">B12+1</f>
        <v>44050</v>
      </c>
      <c r="C13">
        <f t="shared" si="2"/>
        <v>2</v>
      </c>
      <c r="D13">
        <f t="shared" ca="1" si="0"/>
        <v>6</v>
      </c>
      <c r="E13" s="2">
        <f t="shared" ref="E13:E76" si="3">IF(C13&gt;$C$7,0,G12+H12+I12)</f>
        <v>250.26034171514357</v>
      </c>
      <c r="F13" s="2">
        <f t="shared" ref="F13:F76" si="4">IF(C13&gt;$C$7,0,IF(ROUND(E13,0)&gt;0,IF(C13=0,0,IF(MOD(C13,$C$3)&gt;0,0,$C$8)),0))</f>
        <v>0</v>
      </c>
      <c r="G13" s="2">
        <f t="shared" ref="G13:G76" si="5">IF(C13&gt;$C$7,G12,E13-F13)</f>
        <v>250.26034171514357</v>
      </c>
      <c r="H13" s="2">
        <f t="shared" si="1"/>
        <v>0.13027250664623913</v>
      </c>
      <c r="I13" s="2">
        <v>0</v>
      </c>
    </row>
    <row r="14" spans="2:9" x14ac:dyDescent="0.2">
      <c r="B14" s="4">
        <f t="shared" ca="1" si="2"/>
        <v>44051</v>
      </c>
      <c r="C14">
        <f t="shared" si="2"/>
        <v>3</v>
      </c>
      <c r="D14">
        <f t="shared" ca="1" si="0"/>
        <v>7</v>
      </c>
      <c r="E14" s="2">
        <f t="shared" si="3"/>
        <v>250.3906142217898</v>
      </c>
      <c r="F14" s="2">
        <f t="shared" si="4"/>
        <v>0</v>
      </c>
      <c r="G14" s="2">
        <f t="shared" si="5"/>
        <v>250.3906142217898</v>
      </c>
      <c r="H14" s="2">
        <f t="shared" si="1"/>
        <v>0.13034031973189059</v>
      </c>
      <c r="I14" s="2">
        <v>0</v>
      </c>
    </row>
    <row r="15" spans="2:9" x14ac:dyDescent="0.2">
      <c r="B15" s="4">
        <f t="shared" ca="1" si="2"/>
        <v>44052</v>
      </c>
      <c r="C15">
        <f t="shared" si="2"/>
        <v>4</v>
      </c>
      <c r="D15">
        <f t="shared" ca="1" si="0"/>
        <v>1</v>
      </c>
      <c r="E15" s="2">
        <f t="shared" si="3"/>
        <v>250.52095454152169</v>
      </c>
      <c r="F15" s="2">
        <f t="shared" si="4"/>
        <v>0</v>
      </c>
      <c r="G15" s="2">
        <f t="shared" si="5"/>
        <v>250.52095454152169</v>
      </c>
      <c r="H15" s="2">
        <f t="shared" si="1"/>
        <v>0.13040816811750444</v>
      </c>
      <c r="I15" s="2">
        <v>0</v>
      </c>
    </row>
    <row r="16" spans="2:9" x14ac:dyDescent="0.2">
      <c r="B16" s="4">
        <f t="shared" ca="1" si="2"/>
        <v>44053</v>
      </c>
      <c r="C16">
        <f t="shared" si="2"/>
        <v>5</v>
      </c>
      <c r="D16">
        <f t="shared" ca="1" si="0"/>
        <v>2</v>
      </c>
      <c r="E16" s="2">
        <f t="shared" si="3"/>
        <v>250.65136270963919</v>
      </c>
      <c r="F16" s="2">
        <f t="shared" si="4"/>
        <v>0</v>
      </c>
      <c r="G16" s="2">
        <f t="shared" si="5"/>
        <v>250.65136270963919</v>
      </c>
      <c r="H16" s="2">
        <f t="shared" si="1"/>
        <v>0.13047605182145602</v>
      </c>
      <c r="I16" s="2">
        <v>0</v>
      </c>
    </row>
    <row r="17" spans="2:9" x14ac:dyDescent="0.2">
      <c r="B17" s="4">
        <f t="shared" ca="1" si="2"/>
        <v>44054</v>
      </c>
      <c r="C17">
        <f t="shared" si="2"/>
        <v>6</v>
      </c>
      <c r="D17">
        <f t="shared" ca="1" si="0"/>
        <v>3</v>
      </c>
      <c r="E17" s="2">
        <f t="shared" si="3"/>
        <v>250.78183876146065</v>
      </c>
      <c r="F17" s="2">
        <f t="shared" si="4"/>
        <v>0</v>
      </c>
      <c r="G17" s="2">
        <f t="shared" si="5"/>
        <v>250.78183876146065</v>
      </c>
      <c r="H17" s="2">
        <f t="shared" si="1"/>
        <v>0.13054397086213018</v>
      </c>
      <c r="I17" s="2">
        <v>0</v>
      </c>
    </row>
    <row r="18" spans="2:9" x14ac:dyDescent="0.2">
      <c r="B18" s="4">
        <f t="shared" ca="1" si="2"/>
        <v>44055</v>
      </c>
      <c r="C18">
        <f t="shared" si="2"/>
        <v>7</v>
      </c>
      <c r="D18">
        <f t="shared" ca="1" si="0"/>
        <v>4</v>
      </c>
      <c r="E18" s="2">
        <f t="shared" si="3"/>
        <v>250.91238273232278</v>
      </c>
      <c r="F18" s="2">
        <f t="shared" si="4"/>
        <v>42.20050560520761</v>
      </c>
      <c r="G18" s="2">
        <f t="shared" si="5"/>
        <v>208.71187712711517</v>
      </c>
      <c r="H18" s="2">
        <f t="shared" si="1"/>
        <v>0.10864453877849831</v>
      </c>
      <c r="I18" s="2">
        <v>0</v>
      </c>
    </row>
    <row r="19" spans="2:9" x14ac:dyDescent="0.2">
      <c r="B19" s="4">
        <f t="shared" ca="1" si="2"/>
        <v>44056</v>
      </c>
      <c r="C19">
        <f t="shared" si="2"/>
        <v>8</v>
      </c>
      <c r="D19">
        <f t="shared" ca="1" si="0"/>
        <v>5</v>
      </c>
      <c r="E19" s="2">
        <f t="shared" si="3"/>
        <v>208.82052166589366</v>
      </c>
      <c r="F19" s="2">
        <f t="shared" si="4"/>
        <v>0</v>
      </c>
      <c r="G19" s="2">
        <f t="shared" si="5"/>
        <v>208.82052166589366</v>
      </c>
      <c r="H19" s="2">
        <f t="shared" si="1"/>
        <v>0.10870109346991724</v>
      </c>
      <c r="I19" s="2">
        <v>0</v>
      </c>
    </row>
    <row r="20" spans="2:9" x14ac:dyDescent="0.2">
      <c r="B20" s="4">
        <f t="shared" ca="1" si="2"/>
        <v>44057</v>
      </c>
      <c r="C20">
        <f t="shared" si="2"/>
        <v>9</v>
      </c>
      <c r="D20">
        <f t="shared" ca="1" si="0"/>
        <v>6</v>
      </c>
      <c r="E20" s="2">
        <f t="shared" si="3"/>
        <v>208.92922275936357</v>
      </c>
      <c r="F20" s="2">
        <f t="shared" si="4"/>
        <v>0</v>
      </c>
      <c r="G20" s="2">
        <f t="shared" si="5"/>
        <v>208.92922275936357</v>
      </c>
      <c r="H20" s="2">
        <f t="shared" si="1"/>
        <v>0.10875767760076459</v>
      </c>
      <c r="I20" s="2">
        <v>0</v>
      </c>
    </row>
    <row r="21" spans="2:9" x14ac:dyDescent="0.2">
      <c r="B21" s="4">
        <f t="shared" ca="1" si="2"/>
        <v>44058</v>
      </c>
      <c r="C21">
        <f t="shared" si="2"/>
        <v>10</v>
      </c>
      <c r="D21">
        <f t="shared" ca="1" si="0"/>
        <v>7</v>
      </c>
      <c r="E21" s="2">
        <f t="shared" si="3"/>
        <v>209.03798043696435</v>
      </c>
      <c r="F21" s="2">
        <f t="shared" si="4"/>
        <v>0</v>
      </c>
      <c r="G21" s="2">
        <f t="shared" si="5"/>
        <v>209.03798043696435</v>
      </c>
      <c r="H21" s="2">
        <f t="shared" si="1"/>
        <v>0.108814291186365</v>
      </c>
      <c r="I21" s="2">
        <v>0</v>
      </c>
    </row>
    <row r="22" spans="2:9" x14ac:dyDescent="0.2">
      <c r="B22" s="4">
        <f t="shared" ca="1" si="2"/>
        <v>44059</v>
      </c>
      <c r="C22">
        <f t="shared" si="2"/>
        <v>11</v>
      </c>
      <c r="D22">
        <f t="shared" ca="1" si="0"/>
        <v>1</v>
      </c>
      <c r="E22" s="2">
        <f t="shared" si="3"/>
        <v>209.14679472815072</v>
      </c>
      <c r="F22" s="2">
        <f t="shared" si="4"/>
        <v>0</v>
      </c>
      <c r="G22" s="2">
        <f t="shared" si="5"/>
        <v>209.14679472815072</v>
      </c>
      <c r="H22" s="2">
        <f t="shared" si="1"/>
        <v>0.10887093424205106</v>
      </c>
      <c r="I22" s="2">
        <v>0</v>
      </c>
    </row>
    <row r="23" spans="2:9" x14ac:dyDescent="0.2">
      <c r="B23" s="4">
        <f t="shared" ca="1" si="2"/>
        <v>44060</v>
      </c>
      <c r="C23">
        <f t="shared" si="2"/>
        <v>12</v>
      </c>
      <c r="D23">
        <f t="shared" ca="1" si="0"/>
        <v>2</v>
      </c>
      <c r="E23" s="2">
        <f t="shared" si="3"/>
        <v>209.25566566239277</v>
      </c>
      <c r="F23" s="2">
        <f t="shared" si="4"/>
        <v>0</v>
      </c>
      <c r="G23" s="2">
        <f t="shared" si="5"/>
        <v>209.25566566239277</v>
      </c>
      <c r="H23" s="2">
        <f t="shared" si="1"/>
        <v>0.10892760678316335</v>
      </c>
      <c r="I23" s="2">
        <v>0</v>
      </c>
    </row>
    <row r="24" spans="2:9" x14ac:dyDescent="0.2">
      <c r="B24" s="4">
        <f t="shared" ca="1" si="2"/>
        <v>44061</v>
      </c>
      <c r="C24">
        <f t="shared" si="2"/>
        <v>13</v>
      </c>
      <c r="D24">
        <f t="shared" ca="1" si="0"/>
        <v>3</v>
      </c>
      <c r="E24" s="2">
        <f t="shared" si="3"/>
        <v>209.36459326917594</v>
      </c>
      <c r="F24" s="2">
        <f t="shared" si="4"/>
        <v>0</v>
      </c>
      <c r="G24" s="2">
        <f t="shared" si="5"/>
        <v>209.36459326917594</v>
      </c>
      <c r="H24" s="2">
        <f t="shared" si="1"/>
        <v>0.10898430882505049</v>
      </c>
      <c r="I24" s="2">
        <v>0</v>
      </c>
    </row>
    <row r="25" spans="2:9" x14ac:dyDescent="0.2">
      <c r="B25" s="4">
        <f t="shared" ca="1" si="2"/>
        <v>44062</v>
      </c>
      <c r="C25">
        <f t="shared" si="2"/>
        <v>14</v>
      </c>
      <c r="D25">
        <f t="shared" ca="1" si="0"/>
        <v>4</v>
      </c>
      <c r="E25" s="2">
        <f t="shared" si="3"/>
        <v>209.473577578001</v>
      </c>
      <c r="F25" s="2">
        <f t="shared" si="4"/>
        <v>42.20050560520761</v>
      </c>
      <c r="G25" s="2">
        <f t="shared" si="5"/>
        <v>167.27307197279339</v>
      </c>
      <c r="H25" s="2">
        <f t="shared" si="1"/>
        <v>8.7073653903645881E-2</v>
      </c>
      <c r="I25" s="2">
        <v>0</v>
      </c>
    </row>
    <row r="26" spans="2:9" x14ac:dyDescent="0.2">
      <c r="B26" s="4">
        <f t="shared" ca="1" si="2"/>
        <v>44063</v>
      </c>
      <c r="C26">
        <f t="shared" si="2"/>
        <v>15</v>
      </c>
      <c r="D26">
        <f t="shared" ca="1" si="0"/>
        <v>5</v>
      </c>
      <c r="E26" s="2">
        <f t="shared" si="3"/>
        <v>167.36014562669703</v>
      </c>
      <c r="F26" s="2">
        <f t="shared" si="4"/>
        <v>0</v>
      </c>
      <c r="G26" s="2">
        <f t="shared" si="5"/>
        <v>167.36014562669703</v>
      </c>
      <c r="H26" s="2">
        <f t="shared" si="1"/>
        <v>8.7118979915266945E-2</v>
      </c>
      <c r="I26" s="2">
        <v>0</v>
      </c>
    </row>
    <row r="27" spans="2:9" x14ac:dyDescent="0.2">
      <c r="B27" s="4">
        <f t="shared" ca="1" si="2"/>
        <v>44064</v>
      </c>
      <c r="C27">
        <f t="shared" si="2"/>
        <v>16</v>
      </c>
      <c r="D27">
        <f t="shared" ca="1" si="0"/>
        <v>6</v>
      </c>
      <c r="E27" s="2">
        <f t="shared" si="3"/>
        <v>167.44726460661229</v>
      </c>
      <c r="F27" s="2">
        <f t="shared" si="4"/>
        <v>0</v>
      </c>
      <c r="G27" s="2">
        <f t="shared" si="5"/>
        <v>167.44726460661229</v>
      </c>
      <c r="H27" s="2">
        <f t="shared" si="1"/>
        <v>8.7164329521250236E-2</v>
      </c>
      <c r="I27" s="2">
        <v>0</v>
      </c>
    </row>
    <row r="28" spans="2:9" x14ac:dyDescent="0.2">
      <c r="B28" s="4">
        <f t="shared" ca="1" si="2"/>
        <v>44065</v>
      </c>
      <c r="C28">
        <f t="shared" si="2"/>
        <v>17</v>
      </c>
      <c r="D28">
        <f t="shared" ca="1" si="0"/>
        <v>7</v>
      </c>
      <c r="E28" s="2">
        <f t="shared" si="3"/>
        <v>167.53442893613354</v>
      </c>
      <c r="F28" s="2">
        <f t="shared" si="4"/>
        <v>0</v>
      </c>
      <c r="G28" s="2">
        <f t="shared" si="5"/>
        <v>167.53442893613354</v>
      </c>
      <c r="H28" s="2">
        <f t="shared" si="1"/>
        <v>8.7209702733877736E-2</v>
      </c>
      <c r="I28" s="2">
        <v>0</v>
      </c>
    </row>
    <row r="29" spans="2:9" x14ac:dyDescent="0.2">
      <c r="B29" s="4">
        <f t="shared" ref="B29:C44" ca="1" si="6">B28+1</f>
        <v>44066</v>
      </c>
      <c r="C29">
        <f t="shared" si="6"/>
        <v>18</v>
      </c>
      <c r="D29">
        <f t="shared" ca="1" si="0"/>
        <v>1</v>
      </c>
      <c r="E29" s="2">
        <f t="shared" si="3"/>
        <v>167.62163863886741</v>
      </c>
      <c r="F29" s="2">
        <f t="shared" si="4"/>
        <v>0</v>
      </c>
      <c r="G29" s="2">
        <f t="shared" si="5"/>
        <v>167.62163863886741</v>
      </c>
      <c r="H29" s="2">
        <f t="shared" si="1"/>
        <v>8.7255099565437824E-2</v>
      </c>
      <c r="I29" s="2">
        <v>0</v>
      </c>
    </row>
    <row r="30" spans="2:9" x14ac:dyDescent="0.2">
      <c r="B30" s="4">
        <f t="shared" ca="1" si="6"/>
        <v>44067</v>
      </c>
      <c r="C30">
        <f t="shared" si="6"/>
        <v>19</v>
      </c>
      <c r="D30">
        <f t="shared" ca="1" si="0"/>
        <v>2</v>
      </c>
      <c r="E30" s="2">
        <f t="shared" si="3"/>
        <v>167.70889373843283</v>
      </c>
      <c r="F30" s="2">
        <f t="shared" si="4"/>
        <v>0</v>
      </c>
      <c r="G30" s="2">
        <f t="shared" si="5"/>
        <v>167.70889373843283</v>
      </c>
      <c r="H30" s="2">
        <f t="shared" si="1"/>
        <v>8.7300520028225304E-2</v>
      </c>
      <c r="I30" s="2">
        <v>0</v>
      </c>
    </row>
    <row r="31" spans="2:9" x14ac:dyDescent="0.2">
      <c r="B31" s="4">
        <f t="shared" ca="1" si="6"/>
        <v>44068</v>
      </c>
      <c r="C31">
        <f t="shared" si="6"/>
        <v>20</v>
      </c>
      <c r="D31">
        <f t="shared" ca="1" si="0"/>
        <v>3</v>
      </c>
      <c r="E31" s="2">
        <f t="shared" si="3"/>
        <v>167.79619425846107</v>
      </c>
      <c r="F31" s="2">
        <f t="shared" si="4"/>
        <v>0</v>
      </c>
      <c r="G31" s="2">
        <f t="shared" si="5"/>
        <v>167.79619425846107</v>
      </c>
      <c r="H31" s="2">
        <f t="shared" si="1"/>
        <v>8.734596413454139E-2</v>
      </c>
      <c r="I31" s="2">
        <v>0</v>
      </c>
    </row>
    <row r="32" spans="2:9" x14ac:dyDescent="0.2">
      <c r="B32" s="4">
        <f t="shared" ca="1" si="6"/>
        <v>44069</v>
      </c>
      <c r="C32">
        <f t="shared" si="6"/>
        <v>21</v>
      </c>
      <c r="D32">
        <f t="shared" ca="1" si="0"/>
        <v>4</v>
      </c>
      <c r="E32" s="2">
        <f t="shared" si="3"/>
        <v>167.8835402225956</v>
      </c>
      <c r="F32" s="2">
        <f t="shared" si="4"/>
        <v>42.20050560520761</v>
      </c>
      <c r="G32" s="2">
        <f t="shared" si="5"/>
        <v>125.68303461738799</v>
      </c>
      <c r="H32" s="2">
        <f t="shared" si="1"/>
        <v>6.5424045417270468E-2</v>
      </c>
      <c r="I32" s="2">
        <v>0</v>
      </c>
    </row>
    <row r="33" spans="2:9" x14ac:dyDescent="0.2">
      <c r="B33" s="4">
        <f t="shared" ca="1" si="6"/>
        <v>44070</v>
      </c>
      <c r="C33">
        <f t="shared" si="6"/>
        <v>22</v>
      </c>
      <c r="D33">
        <f t="shared" ca="1" si="0"/>
        <v>5</v>
      </c>
      <c r="E33" s="2">
        <f t="shared" si="3"/>
        <v>125.74845866280526</v>
      </c>
      <c r="F33" s="2">
        <f t="shared" si="4"/>
        <v>0</v>
      </c>
      <c r="G33" s="2">
        <f t="shared" si="5"/>
        <v>125.74845866280526</v>
      </c>
      <c r="H33" s="2">
        <f t="shared" si="1"/>
        <v>6.545810176967945E-2</v>
      </c>
      <c r="I33" s="2">
        <v>0</v>
      </c>
    </row>
    <row r="34" spans="2:9" x14ac:dyDescent="0.2">
      <c r="B34" s="4">
        <f t="shared" ca="1" si="6"/>
        <v>44071</v>
      </c>
      <c r="C34">
        <f t="shared" si="6"/>
        <v>23</v>
      </c>
      <c r="D34">
        <f t="shared" ca="1" si="0"/>
        <v>6</v>
      </c>
      <c r="E34" s="2">
        <f t="shared" si="3"/>
        <v>125.81391676457494</v>
      </c>
      <c r="F34" s="2">
        <f t="shared" si="4"/>
        <v>0</v>
      </c>
      <c r="G34" s="2">
        <f t="shared" si="5"/>
        <v>125.81391676457494</v>
      </c>
      <c r="H34" s="2">
        <f t="shared" si="1"/>
        <v>6.5492175850052708E-2</v>
      </c>
      <c r="I34" s="2">
        <v>0</v>
      </c>
    </row>
    <row r="35" spans="2:9" x14ac:dyDescent="0.2">
      <c r="B35" s="4">
        <f t="shared" ca="1" si="6"/>
        <v>44072</v>
      </c>
      <c r="C35">
        <f t="shared" si="6"/>
        <v>24</v>
      </c>
      <c r="D35">
        <f t="shared" ca="1" si="0"/>
        <v>7</v>
      </c>
      <c r="E35" s="2">
        <f t="shared" si="3"/>
        <v>125.87940894042499</v>
      </c>
      <c r="F35" s="2">
        <f t="shared" si="4"/>
        <v>0</v>
      </c>
      <c r="G35" s="2">
        <f t="shared" si="5"/>
        <v>125.87940894042499</v>
      </c>
      <c r="H35" s="2">
        <f t="shared" si="1"/>
        <v>6.5526267667618487E-2</v>
      </c>
      <c r="I35" s="2">
        <v>0</v>
      </c>
    </row>
    <row r="36" spans="2:9" x14ac:dyDescent="0.2">
      <c r="B36" s="4">
        <f t="shared" ca="1" si="6"/>
        <v>44073</v>
      </c>
      <c r="C36">
        <f t="shared" si="6"/>
        <v>25</v>
      </c>
      <c r="D36">
        <f t="shared" ca="1" si="0"/>
        <v>1</v>
      </c>
      <c r="E36" s="2">
        <f t="shared" si="3"/>
        <v>125.94493520809262</v>
      </c>
      <c r="F36" s="2">
        <f t="shared" si="4"/>
        <v>0</v>
      </c>
      <c r="G36" s="2">
        <f t="shared" si="5"/>
        <v>125.94493520809262</v>
      </c>
      <c r="H36" s="2">
        <f t="shared" si="1"/>
        <v>6.5560377231609859E-2</v>
      </c>
      <c r="I36" s="2">
        <v>0</v>
      </c>
    </row>
    <row r="37" spans="2:9" x14ac:dyDescent="0.2">
      <c r="B37" s="4">
        <f t="shared" ca="1" si="6"/>
        <v>44074</v>
      </c>
      <c r="C37">
        <f t="shared" si="6"/>
        <v>26</v>
      </c>
      <c r="D37">
        <f t="shared" ca="1" si="0"/>
        <v>2</v>
      </c>
      <c r="E37" s="2">
        <f t="shared" si="3"/>
        <v>126.01049558532422</v>
      </c>
      <c r="F37" s="2">
        <f t="shared" si="4"/>
        <v>0</v>
      </c>
      <c r="G37" s="2">
        <f t="shared" si="5"/>
        <v>126.01049558532422</v>
      </c>
      <c r="H37" s="2">
        <f t="shared" si="1"/>
        <v>6.5594504551264671E-2</v>
      </c>
      <c r="I37" s="2">
        <v>0</v>
      </c>
    </row>
    <row r="38" spans="2:9" x14ac:dyDescent="0.2">
      <c r="B38" s="4">
        <f t="shared" ca="1" si="6"/>
        <v>44075</v>
      </c>
      <c r="C38">
        <f t="shared" si="6"/>
        <v>27</v>
      </c>
      <c r="D38">
        <f t="shared" ca="1" si="0"/>
        <v>3</v>
      </c>
      <c r="E38" s="2">
        <f t="shared" si="3"/>
        <v>126.07609008987549</v>
      </c>
      <c r="F38" s="2">
        <f t="shared" si="4"/>
        <v>0</v>
      </c>
      <c r="G38" s="2">
        <f t="shared" si="5"/>
        <v>126.07609008987549</v>
      </c>
      <c r="H38" s="2">
        <f t="shared" si="1"/>
        <v>6.5628649635825598E-2</v>
      </c>
      <c r="I38" s="2">
        <v>0</v>
      </c>
    </row>
    <row r="39" spans="2:9" x14ac:dyDescent="0.2">
      <c r="B39" s="4">
        <f t="shared" ca="1" si="6"/>
        <v>44076</v>
      </c>
      <c r="C39">
        <f t="shared" si="6"/>
        <v>28</v>
      </c>
      <c r="D39">
        <f t="shared" ca="1" si="0"/>
        <v>4</v>
      </c>
      <c r="E39" s="2">
        <f t="shared" si="3"/>
        <v>126.14171873951132</v>
      </c>
      <c r="F39" s="2">
        <f t="shared" si="4"/>
        <v>42.20050560520761</v>
      </c>
      <c r="G39" s="2">
        <f t="shared" si="5"/>
        <v>83.941213134303709</v>
      </c>
      <c r="H39" s="2">
        <f t="shared" si="1"/>
        <v>4.3695426015117E-2</v>
      </c>
      <c r="I39" s="2">
        <v>0</v>
      </c>
    </row>
    <row r="40" spans="2:9" x14ac:dyDescent="0.2">
      <c r="B40" s="4">
        <f t="shared" ca="1" si="6"/>
        <v>44077</v>
      </c>
      <c r="C40">
        <f t="shared" si="6"/>
        <v>29</v>
      </c>
      <c r="D40">
        <f t="shared" ca="1" si="0"/>
        <v>5</v>
      </c>
      <c r="E40" s="2">
        <f t="shared" si="3"/>
        <v>83.984908560318829</v>
      </c>
      <c r="F40" s="2">
        <f t="shared" si="4"/>
        <v>0</v>
      </c>
      <c r="G40" s="2">
        <f t="shared" si="5"/>
        <v>83.984908560318829</v>
      </c>
      <c r="H40" s="2">
        <f t="shared" si="1"/>
        <v>4.3718171579344045E-2</v>
      </c>
      <c r="I40" s="2">
        <v>0</v>
      </c>
    </row>
    <row r="41" spans="2:9" x14ac:dyDescent="0.2">
      <c r="B41" s="4">
        <f t="shared" ca="1" si="6"/>
        <v>44078</v>
      </c>
      <c r="C41">
        <f t="shared" si="6"/>
        <v>30</v>
      </c>
      <c r="D41">
        <f t="shared" ca="1" si="0"/>
        <v>6</v>
      </c>
      <c r="E41" s="2">
        <f t="shared" si="3"/>
        <v>84.028626731898171</v>
      </c>
      <c r="F41" s="2">
        <f t="shared" si="4"/>
        <v>0</v>
      </c>
      <c r="G41" s="2">
        <f t="shared" si="5"/>
        <v>84.028626731898171</v>
      </c>
      <c r="H41" s="2">
        <f t="shared" si="1"/>
        <v>4.374092898372782E-2</v>
      </c>
      <c r="I41" s="2">
        <v>0</v>
      </c>
    </row>
    <row r="42" spans="2:9" x14ac:dyDescent="0.2">
      <c r="B42" s="4">
        <f t="shared" ca="1" si="6"/>
        <v>44079</v>
      </c>
      <c r="C42">
        <f t="shared" si="6"/>
        <v>31</v>
      </c>
      <c r="D42">
        <f t="shared" ca="1" si="0"/>
        <v>7</v>
      </c>
      <c r="E42" s="2">
        <f t="shared" si="3"/>
        <v>84.072367660881895</v>
      </c>
      <c r="F42" s="2">
        <f t="shared" si="4"/>
        <v>0</v>
      </c>
      <c r="G42" s="2">
        <f t="shared" si="5"/>
        <v>84.072367660881895</v>
      </c>
      <c r="H42" s="2">
        <f t="shared" si="1"/>
        <v>4.3763698234431672E-2</v>
      </c>
      <c r="I42" s="2">
        <v>0</v>
      </c>
    </row>
    <row r="43" spans="2:9" x14ac:dyDescent="0.2">
      <c r="B43" s="4">
        <f t="shared" ca="1" si="6"/>
        <v>44080</v>
      </c>
      <c r="C43">
        <f t="shared" si="6"/>
        <v>32</v>
      </c>
      <c r="D43">
        <f t="shared" ca="1" si="0"/>
        <v>1</v>
      </c>
      <c r="E43" s="2">
        <f t="shared" si="3"/>
        <v>84.116131359116324</v>
      </c>
      <c r="F43" s="2">
        <f t="shared" si="4"/>
        <v>0</v>
      </c>
      <c r="G43" s="2">
        <f t="shared" si="5"/>
        <v>84.116131359116324</v>
      </c>
      <c r="H43" s="2">
        <f t="shared" si="1"/>
        <v>4.3786479337622197E-2</v>
      </c>
      <c r="I43" s="2">
        <v>0</v>
      </c>
    </row>
    <row r="44" spans="2:9" x14ac:dyDescent="0.2">
      <c r="B44" s="4">
        <f t="shared" ca="1" si="6"/>
        <v>44081</v>
      </c>
      <c r="C44">
        <f t="shared" si="6"/>
        <v>33</v>
      </c>
      <c r="D44">
        <f t="shared" ca="1" si="0"/>
        <v>2</v>
      </c>
      <c r="E44" s="2">
        <f t="shared" si="3"/>
        <v>84.15991783845395</v>
      </c>
      <c r="F44" s="2">
        <f t="shared" si="4"/>
        <v>0</v>
      </c>
      <c r="G44" s="2">
        <f t="shared" si="5"/>
        <v>84.15991783845395</v>
      </c>
      <c r="H44" s="2">
        <f t="shared" si="1"/>
        <v>4.3809272299469175E-2</v>
      </c>
      <c r="I44" s="2">
        <v>0</v>
      </c>
    </row>
    <row r="45" spans="2:9" x14ac:dyDescent="0.2">
      <c r="B45" s="4">
        <f t="shared" ref="B45:C60" ca="1" si="7">B44+1</f>
        <v>44082</v>
      </c>
      <c r="C45">
        <f t="shared" si="7"/>
        <v>34</v>
      </c>
      <c r="D45">
        <f t="shared" ca="1" si="0"/>
        <v>3</v>
      </c>
      <c r="E45" s="2">
        <f t="shared" si="3"/>
        <v>84.20372711075342</v>
      </c>
      <c r="F45" s="2">
        <f t="shared" si="4"/>
        <v>0</v>
      </c>
      <c r="G45" s="2">
        <f t="shared" si="5"/>
        <v>84.20372711075342</v>
      </c>
      <c r="H45" s="2">
        <f t="shared" si="1"/>
        <v>4.3832077126145619E-2</v>
      </c>
      <c r="I45" s="2">
        <v>0</v>
      </c>
    </row>
    <row r="46" spans="2:9" x14ac:dyDescent="0.2">
      <c r="B46" s="4">
        <f t="shared" ca="1" si="7"/>
        <v>44083</v>
      </c>
      <c r="C46">
        <f t="shared" si="7"/>
        <v>35</v>
      </c>
      <c r="D46">
        <f t="shared" ca="1" si="0"/>
        <v>4</v>
      </c>
      <c r="E46" s="2">
        <f t="shared" si="3"/>
        <v>84.24755918787956</v>
      </c>
      <c r="F46" s="2">
        <f t="shared" si="4"/>
        <v>42.20050560520761</v>
      </c>
      <c r="G46" s="2">
        <f t="shared" si="5"/>
        <v>42.04705358267195</v>
      </c>
      <c r="H46" s="2">
        <f t="shared" si="1"/>
        <v>2.1887507344404578E-2</v>
      </c>
      <c r="I46" s="2">
        <v>0</v>
      </c>
    </row>
    <row r="47" spans="2:9" x14ac:dyDescent="0.2">
      <c r="B47" s="4">
        <f t="shared" ca="1" si="7"/>
        <v>44084</v>
      </c>
      <c r="C47">
        <f t="shared" si="7"/>
        <v>36</v>
      </c>
      <c r="D47">
        <f t="shared" ca="1" si="0"/>
        <v>5</v>
      </c>
      <c r="E47" s="2">
        <f t="shared" si="3"/>
        <v>42.068941090016352</v>
      </c>
      <c r="F47" s="2">
        <f t="shared" si="4"/>
        <v>0</v>
      </c>
      <c r="G47" s="2">
        <f t="shared" si="5"/>
        <v>42.068941090016352</v>
      </c>
      <c r="H47" s="2">
        <f t="shared" si="1"/>
        <v>2.1898900841378376E-2</v>
      </c>
      <c r="I47" s="2">
        <v>0</v>
      </c>
    </row>
    <row r="48" spans="2:9" x14ac:dyDescent="0.2">
      <c r="B48" s="4">
        <f t="shared" ca="1" si="7"/>
        <v>44085</v>
      </c>
      <c r="C48">
        <f t="shared" si="7"/>
        <v>37</v>
      </c>
      <c r="D48">
        <f t="shared" ca="1" si="0"/>
        <v>6</v>
      </c>
      <c r="E48" s="2">
        <f t="shared" si="3"/>
        <v>42.090839990857731</v>
      </c>
      <c r="F48" s="2">
        <f t="shared" si="4"/>
        <v>0</v>
      </c>
      <c r="G48" s="2">
        <f t="shared" si="5"/>
        <v>42.090839990857731</v>
      </c>
      <c r="H48" s="2">
        <f t="shared" si="1"/>
        <v>2.1910300269213614E-2</v>
      </c>
      <c r="I48" s="2">
        <v>0</v>
      </c>
    </row>
    <row r="49" spans="2:9" x14ac:dyDescent="0.2">
      <c r="B49" s="4">
        <f t="shared" ca="1" si="7"/>
        <v>44086</v>
      </c>
      <c r="C49">
        <f t="shared" si="7"/>
        <v>38</v>
      </c>
      <c r="D49">
        <f t="shared" ca="1" si="0"/>
        <v>7</v>
      </c>
      <c r="E49" s="2">
        <f t="shared" si="3"/>
        <v>42.112750291126943</v>
      </c>
      <c r="F49" s="2">
        <f t="shared" si="4"/>
        <v>0</v>
      </c>
      <c r="G49" s="2">
        <f t="shared" si="5"/>
        <v>42.112750291126943</v>
      </c>
      <c r="H49" s="2">
        <f t="shared" si="1"/>
        <v>2.1921705630997587E-2</v>
      </c>
      <c r="I49" s="2">
        <v>0</v>
      </c>
    </row>
    <row r="50" spans="2:9" x14ac:dyDescent="0.2">
      <c r="B50" s="4">
        <f t="shared" ca="1" si="7"/>
        <v>44087</v>
      </c>
      <c r="C50">
        <f t="shared" si="7"/>
        <v>39</v>
      </c>
      <c r="D50">
        <f t="shared" ca="1" si="0"/>
        <v>1</v>
      </c>
      <c r="E50" s="2">
        <f t="shared" si="3"/>
        <v>42.134671996757938</v>
      </c>
      <c r="F50" s="2">
        <f t="shared" si="4"/>
        <v>0</v>
      </c>
      <c r="G50" s="2">
        <f t="shared" si="5"/>
        <v>42.134671996757938</v>
      </c>
      <c r="H50" s="2">
        <f t="shared" si="1"/>
        <v>2.1933116929819203E-2</v>
      </c>
      <c r="I50" s="2">
        <v>0</v>
      </c>
    </row>
    <row r="51" spans="2:9" x14ac:dyDescent="0.2">
      <c r="B51" s="4">
        <f t="shared" ca="1" si="7"/>
        <v>44088</v>
      </c>
      <c r="C51">
        <f t="shared" si="7"/>
        <v>40</v>
      </c>
      <c r="D51">
        <f t="shared" ca="1" si="0"/>
        <v>2</v>
      </c>
      <c r="E51" s="2">
        <f t="shared" si="3"/>
        <v>42.156605113687753</v>
      </c>
      <c r="F51" s="2">
        <f t="shared" si="4"/>
        <v>0</v>
      </c>
      <c r="G51" s="2">
        <f t="shared" si="5"/>
        <v>42.156605113687753</v>
      </c>
      <c r="H51" s="2">
        <f t="shared" si="1"/>
        <v>2.1944534168768966E-2</v>
      </c>
      <c r="I51" s="2">
        <v>0</v>
      </c>
    </row>
    <row r="52" spans="2:9" x14ac:dyDescent="0.2">
      <c r="B52" s="4">
        <f t="shared" ca="1" si="7"/>
        <v>44089</v>
      </c>
      <c r="C52">
        <f t="shared" si="7"/>
        <v>41</v>
      </c>
      <c r="D52">
        <f t="shared" ca="1" si="0"/>
        <v>3</v>
      </c>
      <c r="E52" s="2">
        <f t="shared" si="3"/>
        <v>42.178549647856521</v>
      </c>
      <c r="F52" s="2">
        <f t="shared" si="4"/>
        <v>0</v>
      </c>
      <c r="G52" s="2">
        <f t="shared" si="5"/>
        <v>42.178549647856521</v>
      </c>
      <c r="H52" s="2">
        <f t="shared" si="1"/>
        <v>2.1955957350939012E-2</v>
      </c>
      <c r="I52" s="2">
        <v>0</v>
      </c>
    </row>
    <row r="53" spans="2:9" x14ac:dyDescent="0.2">
      <c r="B53" s="4">
        <f t="shared" ca="1" si="7"/>
        <v>44090</v>
      </c>
      <c r="C53">
        <f t="shared" si="7"/>
        <v>42</v>
      </c>
      <c r="D53">
        <f t="shared" ca="1" si="0"/>
        <v>4</v>
      </c>
      <c r="E53" s="2">
        <f t="shared" si="3"/>
        <v>42.200505605207461</v>
      </c>
      <c r="F53" s="2">
        <f t="shared" si="4"/>
        <v>42.20050560520761</v>
      </c>
      <c r="G53" s="2">
        <f t="shared" si="5"/>
        <v>-1.4921397450962104E-13</v>
      </c>
      <c r="H53" s="2">
        <f t="shared" si="1"/>
        <v>-7.767302782692602E-17</v>
      </c>
      <c r="I53" s="2">
        <v>0</v>
      </c>
    </row>
    <row r="54" spans="2:9" x14ac:dyDescent="0.2">
      <c r="B54" s="4">
        <f t="shared" ca="1" si="7"/>
        <v>44091</v>
      </c>
      <c r="C54">
        <f t="shared" si="7"/>
        <v>43</v>
      </c>
      <c r="D54">
        <f t="shared" ca="1" si="0"/>
        <v>5</v>
      </c>
      <c r="E54" s="2">
        <f t="shared" si="3"/>
        <v>0</v>
      </c>
      <c r="F54" s="2">
        <f t="shared" si="4"/>
        <v>0</v>
      </c>
      <c r="G54" s="2">
        <f t="shared" si="5"/>
        <v>-1.4921397450962104E-13</v>
      </c>
      <c r="H54" s="2">
        <f t="shared" si="1"/>
        <v>0</v>
      </c>
      <c r="I54" s="2">
        <v>0</v>
      </c>
    </row>
    <row r="55" spans="2:9" x14ac:dyDescent="0.2">
      <c r="B55" s="4">
        <f t="shared" ca="1" si="7"/>
        <v>44092</v>
      </c>
      <c r="C55">
        <f t="shared" si="7"/>
        <v>44</v>
      </c>
      <c r="D55">
        <f t="shared" ca="1" si="0"/>
        <v>6</v>
      </c>
      <c r="E55" s="2">
        <f t="shared" si="3"/>
        <v>0</v>
      </c>
      <c r="F55" s="2">
        <f t="shared" si="4"/>
        <v>0</v>
      </c>
      <c r="G55" s="2">
        <f t="shared" si="5"/>
        <v>-1.4921397450962104E-13</v>
      </c>
      <c r="H55" s="2">
        <f t="shared" si="1"/>
        <v>0</v>
      </c>
      <c r="I55" s="2">
        <v>0</v>
      </c>
    </row>
    <row r="56" spans="2:9" x14ac:dyDescent="0.2">
      <c r="B56" s="4">
        <f t="shared" ca="1" si="7"/>
        <v>44093</v>
      </c>
      <c r="C56">
        <f t="shared" si="7"/>
        <v>45</v>
      </c>
      <c r="D56">
        <f t="shared" ca="1" si="0"/>
        <v>7</v>
      </c>
      <c r="E56" s="2">
        <f t="shared" si="3"/>
        <v>0</v>
      </c>
      <c r="F56" s="2">
        <f t="shared" si="4"/>
        <v>0</v>
      </c>
      <c r="G56" s="2">
        <f t="shared" si="5"/>
        <v>-1.4921397450962104E-13</v>
      </c>
      <c r="H56" s="2">
        <f t="shared" si="1"/>
        <v>0</v>
      </c>
      <c r="I56" s="2">
        <v>0</v>
      </c>
    </row>
    <row r="57" spans="2:9" x14ac:dyDescent="0.2">
      <c r="B57" s="4">
        <f t="shared" ca="1" si="7"/>
        <v>44094</v>
      </c>
      <c r="C57">
        <f t="shared" si="7"/>
        <v>46</v>
      </c>
      <c r="D57">
        <f t="shared" ca="1" si="0"/>
        <v>1</v>
      </c>
      <c r="E57" s="2">
        <f t="shared" si="3"/>
        <v>0</v>
      </c>
      <c r="F57" s="2">
        <f t="shared" si="4"/>
        <v>0</v>
      </c>
      <c r="G57" s="2">
        <f t="shared" si="5"/>
        <v>-1.4921397450962104E-13</v>
      </c>
      <c r="H57" s="2">
        <f t="shared" si="1"/>
        <v>0</v>
      </c>
      <c r="I57" s="2">
        <v>0</v>
      </c>
    </row>
    <row r="58" spans="2:9" x14ac:dyDescent="0.2">
      <c r="B58" s="4">
        <f t="shared" ca="1" si="7"/>
        <v>44095</v>
      </c>
      <c r="C58">
        <f t="shared" si="7"/>
        <v>47</v>
      </c>
      <c r="D58">
        <f t="shared" ca="1" si="0"/>
        <v>2</v>
      </c>
      <c r="E58" s="2">
        <f t="shared" si="3"/>
        <v>0</v>
      </c>
      <c r="F58" s="2">
        <f t="shared" si="4"/>
        <v>0</v>
      </c>
      <c r="G58" s="2">
        <f t="shared" si="5"/>
        <v>-1.4921397450962104E-13</v>
      </c>
      <c r="H58" s="2">
        <f t="shared" si="1"/>
        <v>0</v>
      </c>
      <c r="I58" s="2">
        <v>0</v>
      </c>
    </row>
    <row r="59" spans="2:9" x14ac:dyDescent="0.2">
      <c r="B59" s="4">
        <f t="shared" ca="1" si="7"/>
        <v>44096</v>
      </c>
      <c r="C59">
        <f t="shared" si="7"/>
        <v>48</v>
      </c>
      <c r="D59">
        <f t="shared" ca="1" si="0"/>
        <v>3</v>
      </c>
      <c r="E59" s="2">
        <f t="shared" si="3"/>
        <v>0</v>
      </c>
      <c r="F59" s="2">
        <f t="shared" si="4"/>
        <v>0</v>
      </c>
      <c r="G59" s="2">
        <f t="shared" si="5"/>
        <v>-1.4921397450962104E-13</v>
      </c>
      <c r="H59" s="2">
        <f t="shared" si="1"/>
        <v>0</v>
      </c>
      <c r="I59" s="2">
        <v>0</v>
      </c>
    </row>
    <row r="60" spans="2:9" x14ac:dyDescent="0.2">
      <c r="B60" s="4">
        <f t="shared" ca="1" si="7"/>
        <v>44097</v>
      </c>
      <c r="C60">
        <f t="shared" si="7"/>
        <v>49</v>
      </c>
      <c r="D60">
        <f t="shared" ca="1" si="0"/>
        <v>4</v>
      </c>
      <c r="E60" s="2">
        <f t="shared" si="3"/>
        <v>0</v>
      </c>
      <c r="F60" s="2">
        <f t="shared" si="4"/>
        <v>0</v>
      </c>
      <c r="G60" s="2">
        <f t="shared" si="5"/>
        <v>-1.4921397450962104E-13</v>
      </c>
      <c r="H60" s="2">
        <f t="shared" si="1"/>
        <v>0</v>
      </c>
      <c r="I60" s="2">
        <v>0</v>
      </c>
    </row>
    <row r="61" spans="2:9" x14ac:dyDescent="0.2">
      <c r="B61" s="4">
        <f t="shared" ref="B61:C76" ca="1" si="8">B60+1</f>
        <v>44098</v>
      </c>
      <c r="C61">
        <f t="shared" si="8"/>
        <v>50</v>
      </c>
      <c r="D61">
        <f t="shared" ca="1" si="0"/>
        <v>5</v>
      </c>
      <c r="E61" s="2">
        <f t="shared" si="3"/>
        <v>0</v>
      </c>
      <c r="F61" s="2">
        <f t="shared" si="4"/>
        <v>0</v>
      </c>
      <c r="G61" s="2">
        <f t="shared" si="5"/>
        <v>-1.4921397450962104E-13</v>
      </c>
      <c r="H61" s="2">
        <f t="shared" si="1"/>
        <v>0</v>
      </c>
      <c r="I61" s="2">
        <v>0</v>
      </c>
    </row>
    <row r="62" spans="2:9" x14ac:dyDescent="0.2">
      <c r="B62" s="4">
        <f t="shared" ca="1" si="8"/>
        <v>44099</v>
      </c>
      <c r="C62">
        <f t="shared" si="8"/>
        <v>51</v>
      </c>
      <c r="D62">
        <f t="shared" ca="1" si="0"/>
        <v>6</v>
      </c>
      <c r="E62" s="2">
        <f t="shared" si="3"/>
        <v>0</v>
      </c>
      <c r="F62" s="2">
        <f t="shared" si="4"/>
        <v>0</v>
      </c>
      <c r="G62" s="2">
        <f t="shared" si="5"/>
        <v>-1.4921397450962104E-13</v>
      </c>
      <c r="H62" s="2">
        <f t="shared" si="1"/>
        <v>0</v>
      </c>
      <c r="I62" s="2">
        <v>0</v>
      </c>
    </row>
    <row r="63" spans="2:9" x14ac:dyDescent="0.2">
      <c r="B63" s="4">
        <f t="shared" ca="1" si="8"/>
        <v>44100</v>
      </c>
      <c r="C63">
        <f t="shared" si="8"/>
        <v>52</v>
      </c>
      <c r="D63">
        <f t="shared" ca="1" si="0"/>
        <v>7</v>
      </c>
      <c r="E63" s="2">
        <f t="shared" si="3"/>
        <v>0</v>
      </c>
      <c r="F63" s="2">
        <f t="shared" si="4"/>
        <v>0</v>
      </c>
      <c r="G63" s="2">
        <f t="shared" si="5"/>
        <v>-1.4921397450962104E-13</v>
      </c>
      <c r="H63" s="2">
        <f t="shared" si="1"/>
        <v>0</v>
      </c>
      <c r="I63" s="2">
        <v>0</v>
      </c>
    </row>
    <row r="64" spans="2:9" x14ac:dyDescent="0.2">
      <c r="B64" s="4">
        <f t="shared" ca="1" si="8"/>
        <v>44101</v>
      </c>
      <c r="C64">
        <f t="shared" si="8"/>
        <v>53</v>
      </c>
      <c r="D64">
        <f t="shared" ca="1" si="0"/>
        <v>1</v>
      </c>
      <c r="E64" s="2">
        <f t="shared" si="3"/>
        <v>0</v>
      </c>
      <c r="F64" s="2">
        <f t="shared" si="4"/>
        <v>0</v>
      </c>
      <c r="G64" s="2">
        <f t="shared" si="5"/>
        <v>-1.4921397450962104E-13</v>
      </c>
      <c r="H64" s="2">
        <f t="shared" si="1"/>
        <v>0</v>
      </c>
      <c r="I64" s="2">
        <v>0</v>
      </c>
    </row>
    <row r="65" spans="2:9" x14ac:dyDescent="0.2">
      <c r="B65" s="4">
        <f t="shared" ca="1" si="8"/>
        <v>44102</v>
      </c>
      <c r="C65">
        <f t="shared" si="8"/>
        <v>54</v>
      </c>
      <c r="D65">
        <f t="shared" ca="1" si="0"/>
        <v>2</v>
      </c>
      <c r="E65" s="2">
        <f t="shared" si="3"/>
        <v>0</v>
      </c>
      <c r="F65" s="2">
        <f t="shared" si="4"/>
        <v>0</v>
      </c>
      <c r="G65" s="2">
        <f t="shared" si="5"/>
        <v>-1.4921397450962104E-13</v>
      </c>
      <c r="H65" s="2">
        <f t="shared" si="1"/>
        <v>0</v>
      </c>
      <c r="I65" s="2">
        <v>0</v>
      </c>
    </row>
    <row r="66" spans="2:9" x14ac:dyDescent="0.2">
      <c r="B66" s="4">
        <f t="shared" ca="1" si="8"/>
        <v>44103</v>
      </c>
      <c r="C66">
        <f t="shared" si="8"/>
        <v>55</v>
      </c>
      <c r="D66">
        <f t="shared" ca="1" si="0"/>
        <v>3</v>
      </c>
      <c r="E66" s="2">
        <f t="shared" si="3"/>
        <v>0</v>
      </c>
      <c r="F66" s="2">
        <f t="shared" si="4"/>
        <v>0</v>
      </c>
      <c r="G66" s="2">
        <f t="shared" si="5"/>
        <v>-1.4921397450962104E-13</v>
      </c>
      <c r="H66" s="2">
        <f t="shared" si="1"/>
        <v>0</v>
      </c>
      <c r="I66" s="2">
        <v>0</v>
      </c>
    </row>
    <row r="67" spans="2:9" x14ac:dyDescent="0.2">
      <c r="B67" s="4">
        <f t="shared" ca="1" si="8"/>
        <v>44104</v>
      </c>
      <c r="C67">
        <f t="shared" si="8"/>
        <v>56</v>
      </c>
      <c r="D67">
        <f t="shared" ca="1" si="0"/>
        <v>4</v>
      </c>
      <c r="E67" s="2">
        <f t="shared" si="3"/>
        <v>0</v>
      </c>
      <c r="F67" s="2">
        <f t="shared" si="4"/>
        <v>0</v>
      </c>
      <c r="G67" s="2">
        <f t="shared" si="5"/>
        <v>-1.4921397450962104E-13</v>
      </c>
      <c r="H67" s="2">
        <f t="shared" si="1"/>
        <v>0</v>
      </c>
      <c r="I67" s="2">
        <v>0</v>
      </c>
    </row>
    <row r="68" spans="2:9" x14ac:dyDescent="0.2">
      <c r="B68" s="4">
        <f t="shared" ca="1" si="8"/>
        <v>44105</v>
      </c>
      <c r="C68">
        <f t="shared" si="8"/>
        <v>57</v>
      </c>
      <c r="D68">
        <f t="shared" ca="1" si="0"/>
        <v>5</v>
      </c>
      <c r="E68" s="2">
        <f t="shared" si="3"/>
        <v>0</v>
      </c>
      <c r="F68" s="2">
        <f t="shared" si="4"/>
        <v>0</v>
      </c>
      <c r="G68" s="2">
        <f t="shared" si="5"/>
        <v>-1.4921397450962104E-13</v>
      </c>
      <c r="H68" s="2">
        <f t="shared" si="1"/>
        <v>0</v>
      </c>
      <c r="I68" s="2">
        <v>0</v>
      </c>
    </row>
    <row r="69" spans="2:9" x14ac:dyDescent="0.2">
      <c r="B69" s="4">
        <f t="shared" ca="1" si="8"/>
        <v>44106</v>
      </c>
      <c r="C69">
        <f t="shared" si="8"/>
        <v>58</v>
      </c>
      <c r="D69">
        <f t="shared" ca="1" si="0"/>
        <v>6</v>
      </c>
      <c r="E69" s="2">
        <f t="shared" si="3"/>
        <v>0</v>
      </c>
      <c r="F69" s="2">
        <f t="shared" si="4"/>
        <v>0</v>
      </c>
      <c r="G69" s="2">
        <f t="shared" si="5"/>
        <v>-1.4921397450962104E-13</v>
      </c>
      <c r="H69" s="2">
        <f t="shared" si="1"/>
        <v>0</v>
      </c>
      <c r="I69" s="2">
        <v>0</v>
      </c>
    </row>
    <row r="70" spans="2:9" x14ac:dyDescent="0.2">
      <c r="B70" s="4">
        <f t="shared" ca="1" si="8"/>
        <v>44107</v>
      </c>
      <c r="C70">
        <f t="shared" si="8"/>
        <v>59</v>
      </c>
      <c r="D70">
        <f t="shared" ca="1" si="0"/>
        <v>7</v>
      </c>
      <c r="E70" s="2">
        <f t="shared" si="3"/>
        <v>0</v>
      </c>
      <c r="F70" s="2">
        <f t="shared" si="4"/>
        <v>0</v>
      </c>
      <c r="G70" s="2">
        <f t="shared" si="5"/>
        <v>-1.4921397450962104E-13</v>
      </c>
      <c r="H70" s="2">
        <f t="shared" si="1"/>
        <v>0</v>
      </c>
      <c r="I70" s="2">
        <v>0</v>
      </c>
    </row>
    <row r="71" spans="2:9" x14ac:dyDescent="0.2">
      <c r="B71" s="4">
        <f t="shared" ca="1" si="8"/>
        <v>44108</v>
      </c>
      <c r="C71">
        <f t="shared" si="8"/>
        <v>60</v>
      </c>
      <c r="D71">
        <f t="shared" ca="1" si="0"/>
        <v>1</v>
      </c>
      <c r="E71" s="2">
        <f t="shared" si="3"/>
        <v>0</v>
      </c>
      <c r="F71" s="2">
        <f t="shared" si="4"/>
        <v>0</v>
      </c>
      <c r="G71" s="2">
        <f t="shared" si="5"/>
        <v>-1.4921397450962104E-13</v>
      </c>
      <c r="H71" s="2">
        <f t="shared" si="1"/>
        <v>0</v>
      </c>
      <c r="I71" s="2">
        <v>0</v>
      </c>
    </row>
    <row r="72" spans="2:9" x14ac:dyDescent="0.2">
      <c r="B72" s="4">
        <f t="shared" ca="1" si="8"/>
        <v>44109</v>
      </c>
      <c r="C72">
        <f t="shared" si="8"/>
        <v>61</v>
      </c>
      <c r="D72">
        <f t="shared" ca="1" si="0"/>
        <v>2</v>
      </c>
      <c r="E72" s="2">
        <f t="shared" si="3"/>
        <v>0</v>
      </c>
      <c r="F72" s="2">
        <f t="shared" si="4"/>
        <v>0</v>
      </c>
      <c r="G72" s="2">
        <f t="shared" si="5"/>
        <v>-1.4921397450962104E-13</v>
      </c>
      <c r="H72" s="2">
        <f t="shared" si="1"/>
        <v>0</v>
      </c>
      <c r="I72" s="2">
        <v>0</v>
      </c>
    </row>
    <row r="73" spans="2:9" x14ac:dyDescent="0.2">
      <c r="B73" s="4">
        <f t="shared" ca="1" si="8"/>
        <v>44110</v>
      </c>
      <c r="C73">
        <f t="shared" si="8"/>
        <v>62</v>
      </c>
      <c r="D73">
        <f t="shared" ca="1" si="0"/>
        <v>3</v>
      </c>
      <c r="E73" s="2">
        <f t="shared" si="3"/>
        <v>0</v>
      </c>
      <c r="F73" s="2">
        <f t="shared" si="4"/>
        <v>0</v>
      </c>
      <c r="G73" s="2">
        <f t="shared" si="5"/>
        <v>-1.4921397450962104E-13</v>
      </c>
      <c r="H73" s="2">
        <f t="shared" si="1"/>
        <v>0</v>
      </c>
      <c r="I73" s="2">
        <v>0</v>
      </c>
    </row>
    <row r="74" spans="2:9" x14ac:dyDescent="0.2">
      <c r="B74" s="4">
        <f t="shared" ca="1" si="8"/>
        <v>44111</v>
      </c>
      <c r="C74">
        <f t="shared" si="8"/>
        <v>63</v>
      </c>
      <c r="D74">
        <f t="shared" ca="1" si="0"/>
        <v>4</v>
      </c>
      <c r="E74" s="2">
        <f t="shared" si="3"/>
        <v>0</v>
      </c>
      <c r="F74" s="2">
        <f t="shared" si="4"/>
        <v>0</v>
      </c>
      <c r="G74" s="2">
        <f t="shared" si="5"/>
        <v>-1.4921397450962104E-13</v>
      </c>
      <c r="H74" s="2">
        <f t="shared" si="1"/>
        <v>0</v>
      </c>
      <c r="I74" s="2">
        <v>0</v>
      </c>
    </row>
    <row r="75" spans="2:9" x14ac:dyDescent="0.2">
      <c r="B75" s="4">
        <f t="shared" ca="1" si="8"/>
        <v>44112</v>
      </c>
      <c r="C75">
        <f t="shared" si="8"/>
        <v>64</v>
      </c>
      <c r="D75">
        <f t="shared" ca="1" si="0"/>
        <v>5</v>
      </c>
      <c r="E75" s="2">
        <f t="shared" si="3"/>
        <v>0</v>
      </c>
      <c r="F75" s="2">
        <f t="shared" si="4"/>
        <v>0</v>
      </c>
      <c r="G75" s="2">
        <f t="shared" si="5"/>
        <v>-1.4921397450962104E-13</v>
      </c>
      <c r="H75" s="2">
        <f t="shared" si="1"/>
        <v>0</v>
      </c>
      <c r="I75" s="2">
        <v>0</v>
      </c>
    </row>
    <row r="76" spans="2:9" x14ac:dyDescent="0.2">
      <c r="B76" s="4">
        <f t="shared" ca="1" si="8"/>
        <v>44113</v>
      </c>
      <c r="C76">
        <f t="shared" si="8"/>
        <v>65</v>
      </c>
      <c r="D76">
        <f t="shared" ref="D76:D139" ca="1" si="9">WEEKDAY(B76,1)</f>
        <v>6</v>
      </c>
      <c r="E76" s="2">
        <f t="shared" si="3"/>
        <v>0</v>
      </c>
      <c r="F76" s="2">
        <f t="shared" si="4"/>
        <v>0</v>
      </c>
      <c r="G76" s="2">
        <f t="shared" si="5"/>
        <v>-1.4921397450962104E-13</v>
      </c>
      <c r="H76" s="2">
        <f t="shared" ref="H76:H139" si="10">IF(C76&gt;$C$7,0,(G76)*$C$5/365)</f>
        <v>0</v>
      </c>
      <c r="I76" s="2">
        <v>0</v>
      </c>
    </row>
    <row r="77" spans="2:9" x14ac:dyDescent="0.2">
      <c r="B77" s="4">
        <f t="shared" ref="B77:C92" ca="1" si="11">B76+1</f>
        <v>44114</v>
      </c>
      <c r="C77">
        <f t="shared" si="11"/>
        <v>66</v>
      </c>
      <c r="D77">
        <f t="shared" ca="1" si="9"/>
        <v>7</v>
      </c>
      <c r="E77" s="2">
        <f t="shared" ref="E77:E140" si="12">IF(C77&gt;$C$7,0,G76+H76+I76)</f>
        <v>0</v>
      </c>
      <c r="F77" s="2">
        <f t="shared" ref="F77:F140" si="13">IF(C77&gt;$C$7,0,IF(ROUND(E77,0)&gt;0,IF(C77=0,0,IF(MOD(C77,$C$3)&gt;0,0,$C$8)),0))</f>
        <v>0</v>
      </c>
      <c r="G77" s="2">
        <f t="shared" ref="G77:G140" si="14">IF(C77&gt;$C$7,G76,E77-F77)</f>
        <v>-1.4921397450962104E-13</v>
      </c>
      <c r="H77" s="2">
        <f t="shared" si="10"/>
        <v>0</v>
      </c>
      <c r="I77" s="2">
        <v>0</v>
      </c>
    </row>
    <row r="78" spans="2:9" x14ac:dyDescent="0.2">
      <c r="B78" s="4">
        <f t="shared" ca="1" si="11"/>
        <v>44115</v>
      </c>
      <c r="C78">
        <f t="shared" si="11"/>
        <v>67</v>
      </c>
      <c r="D78">
        <f t="shared" ca="1" si="9"/>
        <v>1</v>
      </c>
      <c r="E78" s="2">
        <f t="shared" si="12"/>
        <v>0</v>
      </c>
      <c r="F78" s="2">
        <f t="shared" si="13"/>
        <v>0</v>
      </c>
      <c r="G78" s="2">
        <f t="shared" si="14"/>
        <v>-1.4921397450962104E-13</v>
      </c>
      <c r="H78" s="2">
        <f t="shared" si="10"/>
        <v>0</v>
      </c>
      <c r="I78" s="2">
        <v>0</v>
      </c>
    </row>
    <row r="79" spans="2:9" x14ac:dyDescent="0.2">
      <c r="B79" s="4">
        <f t="shared" ca="1" si="11"/>
        <v>44116</v>
      </c>
      <c r="C79">
        <f t="shared" si="11"/>
        <v>68</v>
      </c>
      <c r="D79">
        <f t="shared" ca="1" si="9"/>
        <v>2</v>
      </c>
      <c r="E79" s="2">
        <f t="shared" si="12"/>
        <v>0</v>
      </c>
      <c r="F79" s="2">
        <f t="shared" si="13"/>
        <v>0</v>
      </c>
      <c r="G79" s="2">
        <f t="shared" si="14"/>
        <v>-1.4921397450962104E-13</v>
      </c>
      <c r="H79" s="2">
        <f t="shared" si="10"/>
        <v>0</v>
      </c>
      <c r="I79" s="2">
        <v>0</v>
      </c>
    </row>
    <row r="80" spans="2:9" x14ac:dyDescent="0.2">
      <c r="B80" s="4">
        <f t="shared" ca="1" si="11"/>
        <v>44117</v>
      </c>
      <c r="C80">
        <f t="shared" si="11"/>
        <v>69</v>
      </c>
      <c r="D80">
        <f t="shared" ca="1" si="9"/>
        <v>3</v>
      </c>
      <c r="E80" s="2">
        <f t="shared" si="12"/>
        <v>0</v>
      </c>
      <c r="F80" s="2">
        <f t="shared" si="13"/>
        <v>0</v>
      </c>
      <c r="G80" s="2">
        <f t="shared" si="14"/>
        <v>-1.4921397450962104E-13</v>
      </c>
      <c r="H80" s="2">
        <f t="shared" si="10"/>
        <v>0</v>
      </c>
      <c r="I80" s="2">
        <v>0</v>
      </c>
    </row>
    <row r="81" spans="2:9" x14ac:dyDescent="0.2">
      <c r="B81" s="4">
        <f t="shared" ca="1" si="11"/>
        <v>44118</v>
      </c>
      <c r="C81">
        <f t="shared" si="11"/>
        <v>70</v>
      </c>
      <c r="D81">
        <f t="shared" ca="1" si="9"/>
        <v>4</v>
      </c>
      <c r="E81" s="2">
        <f t="shared" si="12"/>
        <v>0</v>
      </c>
      <c r="F81" s="2">
        <f t="shared" si="13"/>
        <v>0</v>
      </c>
      <c r="G81" s="2">
        <f t="shared" si="14"/>
        <v>-1.4921397450962104E-13</v>
      </c>
      <c r="H81" s="2">
        <f t="shared" si="10"/>
        <v>0</v>
      </c>
      <c r="I81" s="2">
        <v>0</v>
      </c>
    </row>
    <row r="82" spans="2:9" x14ac:dyDescent="0.2">
      <c r="B82" s="4">
        <f t="shared" ca="1" si="11"/>
        <v>44119</v>
      </c>
      <c r="C82">
        <f t="shared" si="11"/>
        <v>71</v>
      </c>
      <c r="D82">
        <f t="shared" ca="1" si="9"/>
        <v>5</v>
      </c>
      <c r="E82" s="2">
        <f t="shared" si="12"/>
        <v>0</v>
      </c>
      <c r="F82" s="2">
        <f t="shared" si="13"/>
        <v>0</v>
      </c>
      <c r="G82" s="2">
        <f t="shared" si="14"/>
        <v>-1.4921397450962104E-13</v>
      </c>
      <c r="H82" s="2">
        <f t="shared" si="10"/>
        <v>0</v>
      </c>
      <c r="I82" s="2">
        <v>0</v>
      </c>
    </row>
    <row r="83" spans="2:9" x14ac:dyDescent="0.2">
      <c r="B83" s="4">
        <f t="shared" ca="1" si="11"/>
        <v>44120</v>
      </c>
      <c r="C83">
        <f t="shared" si="11"/>
        <v>72</v>
      </c>
      <c r="D83">
        <f t="shared" ca="1" si="9"/>
        <v>6</v>
      </c>
      <c r="E83" s="2">
        <f t="shared" si="12"/>
        <v>0</v>
      </c>
      <c r="F83" s="2">
        <f t="shared" si="13"/>
        <v>0</v>
      </c>
      <c r="G83" s="2">
        <f t="shared" si="14"/>
        <v>-1.4921397450962104E-13</v>
      </c>
      <c r="H83" s="2">
        <f t="shared" si="10"/>
        <v>0</v>
      </c>
      <c r="I83" s="2">
        <v>0</v>
      </c>
    </row>
    <row r="84" spans="2:9" x14ac:dyDescent="0.2">
      <c r="B84" s="4">
        <f t="shared" ca="1" si="11"/>
        <v>44121</v>
      </c>
      <c r="C84">
        <f t="shared" si="11"/>
        <v>73</v>
      </c>
      <c r="D84">
        <f t="shared" ca="1" si="9"/>
        <v>7</v>
      </c>
      <c r="E84" s="2">
        <f t="shared" si="12"/>
        <v>0</v>
      </c>
      <c r="F84" s="2">
        <f t="shared" si="13"/>
        <v>0</v>
      </c>
      <c r="G84" s="2">
        <f t="shared" si="14"/>
        <v>-1.4921397450962104E-13</v>
      </c>
      <c r="H84" s="2">
        <f t="shared" si="10"/>
        <v>0</v>
      </c>
      <c r="I84" s="2">
        <v>0</v>
      </c>
    </row>
    <row r="85" spans="2:9" x14ac:dyDescent="0.2">
      <c r="B85" s="4">
        <f t="shared" ca="1" si="11"/>
        <v>44122</v>
      </c>
      <c r="C85">
        <f t="shared" si="11"/>
        <v>74</v>
      </c>
      <c r="D85">
        <f t="shared" ca="1" si="9"/>
        <v>1</v>
      </c>
      <c r="E85" s="2">
        <f t="shared" si="12"/>
        <v>0</v>
      </c>
      <c r="F85" s="2">
        <f t="shared" si="13"/>
        <v>0</v>
      </c>
      <c r="G85" s="2">
        <f t="shared" si="14"/>
        <v>-1.4921397450962104E-13</v>
      </c>
      <c r="H85" s="2">
        <f t="shared" si="10"/>
        <v>0</v>
      </c>
      <c r="I85" s="2">
        <v>0</v>
      </c>
    </row>
    <row r="86" spans="2:9" x14ac:dyDescent="0.2">
      <c r="B86" s="4">
        <f t="shared" ca="1" si="11"/>
        <v>44123</v>
      </c>
      <c r="C86">
        <f t="shared" si="11"/>
        <v>75</v>
      </c>
      <c r="D86">
        <f t="shared" ca="1" si="9"/>
        <v>2</v>
      </c>
      <c r="E86" s="2">
        <f t="shared" si="12"/>
        <v>0</v>
      </c>
      <c r="F86" s="2">
        <f t="shared" si="13"/>
        <v>0</v>
      </c>
      <c r="G86" s="2">
        <f t="shared" si="14"/>
        <v>-1.4921397450962104E-13</v>
      </c>
      <c r="H86" s="2">
        <f t="shared" si="10"/>
        <v>0</v>
      </c>
      <c r="I86" s="2">
        <v>0</v>
      </c>
    </row>
    <row r="87" spans="2:9" x14ac:dyDescent="0.2">
      <c r="B87" s="4">
        <f t="shared" ca="1" si="11"/>
        <v>44124</v>
      </c>
      <c r="C87">
        <f t="shared" si="11"/>
        <v>76</v>
      </c>
      <c r="D87">
        <f t="shared" ca="1" si="9"/>
        <v>3</v>
      </c>
      <c r="E87" s="2">
        <f t="shared" si="12"/>
        <v>0</v>
      </c>
      <c r="F87" s="2">
        <f t="shared" si="13"/>
        <v>0</v>
      </c>
      <c r="G87" s="2">
        <f t="shared" si="14"/>
        <v>-1.4921397450962104E-13</v>
      </c>
      <c r="H87" s="2">
        <f t="shared" si="10"/>
        <v>0</v>
      </c>
      <c r="I87" s="2">
        <v>0</v>
      </c>
    </row>
    <row r="88" spans="2:9" x14ac:dyDescent="0.2">
      <c r="B88" s="4">
        <f t="shared" ca="1" si="11"/>
        <v>44125</v>
      </c>
      <c r="C88">
        <f t="shared" si="11"/>
        <v>77</v>
      </c>
      <c r="D88">
        <f t="shared" ca="1" si="9"/>
        <v>4</v>
      </c>
      <c r="E88" s="2">
        <f t="shared" si="12"/>
        <v>0</v>
      </c>
      <c r="F88" s="2">
        <f t="shared" si="13"/>
        <v>0</v>
      </c>
      <c r="G88" s="2">
        <f t="shared" si="14"/>
        <v>-1.4921397450962104E-13</v>
      </c>
      <c r="H88" s="2">
        <f t="shared" si="10"/>
        <v>0</v>
      </c>
      <c r="I88" s="2">
        <v>0</v>
      </c>
    </row>
    <row r="89" spans="2:9" x14ac:dyDescent="0.2">
      <c r="B89" s="4">
        <f t="shared" ca="1" si="11"/>
        <v>44126</v>
      </c>
      <c r="C89">
        <f t="shared" si="11"/>
        <v>78</v>
      </c>
      <c r="D89">
        <f t="shared" ca="1" si="9"/>
        <v>5</v>
      </c>
      <c r="E89" s="2">
        <f t="shared" si="12"/>
        <v>0</v>
      </c>
      <c r="F89" s="2">
        <f t="shared" si="13"/>
        <v>0</v>
      </c>
      <c r="G89" s="2">
        <f t="shared" si="14"/>
        <v>-1.4921397450962104E-13</v>
      </c>
      <c r="H89" s="2">
        <f t="shared" si="10"/>
        <v>0</v>
      </c>
      <c r="I89" s="2">
        <v>0</v>
      </c>
    </row>
    <row r="90" spans="2:9" x14ac:dyDescent="0.2">
      <c r="B90" s="4">
        <f t="shared" ca="1" si="11"/>
        <v>44127</v>
      </c>
      <c r="C90">
        <f t="shared" si="11"/>
        <v>79</v>
      </c>
      <c r="D90">
        <f t="shared" ca="1" si="9"/>
        <v>6</v>
      </c>
      <c r="E90" s="2">
        <f t="shared" si="12"/>
        <v>0</v>
      </c>
      <c r="F90" s="2">
        <f t="shared" si="13"/>
        <v>0</v>
      </c>
      <c r="G90" s="2">
        <f t="shared" si="14"/>
        <v>-1.4921397450962104E-13</v>
      </c>
      <c r="H90" s="2">
        <f t="shared" si="10"/>
        <v>0</v>
      </c>
      <c r="I90" s="2">
        <v>0</v>
      </c>
    </row>
    <row r="91" spans="2:9" x14ac:dyDescent="0.2">
      <c r="B91" s="4">
        <f t="shared" ca="1" si="11"/>
        <v>44128</v>
      </c>
      <c r="C91">
        <f t="shared" si="11"/>
        <v>80</v>
      </c>
      <c r="D91">
        <f t="shared" ca="1" si="9"/>
        <v>7</v>
      </c>
      <c r="E91" s="2">
        <f t="shared" si="12"/>
        <v>0</v>
      </c>
      <c r="F91" s="2">
        <f t="shared" si="13"/>
        <v>0</v>
      </c>
      <c r="G91" s="2">
        <f t="shared" si="14"/>
        <v>-1.4921397450962104E-13</v>
      </c>
      <c r="H91" s="2">
        <f t="shared" si="10"/>
        <v>0</v>
      </c>
      <c r="I91" s="2">
        <v>0</v>
      </c>
    </row>
    <row r="92" spans="2:9" x14ac:dyDescent="0.2">
      <c r="B92" s="4">
        <f t="shared" ca="1" si="11"/>
        <v>44129</v>
      </c>
      <c r="C92">
        <f t="shared" si="11"/>
        <v>81</v>
      </c>
      <c r="D92">
        <f t="shared" ca="1" si="9"/>
        <v>1</v>
      </c>
      <c r="E92" s="2">
        <f t="shared" si="12"/>
        <v>0</v>
      </c>
      <c r="F92" s="2">
        <f t="shared" si="13"/>
        <v>0</v>
      </c>
      <c r="G92" s="2">
        <f t="shared" si="14"/>
        <v>-1.4921397450962104E-13</v>
      </c>
      <c r="H92" s="2">
        <f t="shared" si="10"/>
        <v>0</v>
      </c>
      <c r="I92" s="2">
        <v>0</v>
      </c>
    </row>
    <row r="93" spans="2:9" x14ac:dyDescent="0.2">
      <c r="B93" s="4">
        <f t="shared" ref="B93:C108" ca="1" si="15">B92+1</f>
        <v>44130</v>
      </c>
      <c r="C93">
        <f t="shared" si="15"/>
        <v>82</v>
      </c>
      <c r="D93">
        <f t="shared" ca="1" si="9"/>
        <v>2</v>
      </c>
      <c r="E93" s="2">
        <f t="shared" si="12"/>
        <v>0</v>
      </c>
      <c r="F93" s="2">
        <f t="shared" si="13"/>
        <v>0</v>
      </c>
      <c r="G93" s="2">
        <f t="shared" si="14"/>
        <v>-1.4921397450962104E-13</v>
      </c>
      <c r="H93" s="2">
        <f t="shared" si="10"/>
        <v>0</v>
      </c>
      <c r="I93" s="2">
        <v>0</v>
      </c>
    </row>
    <row r="94" spans="2:9" x14ac:dyDescent="0.2">
      <c r="B94" s="4">
        <f t="shared" ca="1" si="15"/>
        <v>44131</v>
      </c>
      <c r="C94">
        <f t="shared" si="15"/>
        <v>83</v>
      </c>
      <c r="D94">
        <f t="shared" ca="1" si="9"/>
        <v>3</v>
      </c>
      <c r="E94" s="2">
        <f t="shared" si="12"/>
        <v>0</v>
      </c>
      <c r="F94" s="2">
        <f t="shared" si="13"/>
        <v>0</v>
      </c>
      <c r="G94" s="2">
        <f t="shared" si="14"/>
        <v>-1.4921397450962104E-13</v>
      </c>
      <c r="H94" s="2">
        <f t="shared" si="10"/>
        <v>0</v>
      </c>
      <c r="I94" s="2">
        <v>0</v>
      </c>
    </row>
    <row r="95" spans="2:9" x14ac:dyDescent="0.2">
      <c r="B95" s="4">
        <f t="shared" ca="1" si="15"/>
        <v>44132</v>
      </c>
      <c r="C95">
        <f t="shared" si="15"/>
        <v>84</v>
      </c>
      <c r="D95">
        <f t="shared" ca="1" si="9"/>
        <v>4</v>
      </c>
      <c r="E95" s="2">
        <f t="shared" si="12"/>
        <v>0</v>
      </c>
      <c r="F95" s="2">
        <f t="shared" si="13"/>
        <v>0</v>
      </c>
      <c r="G95" s="2">
        <f t="shared" si="14"/>
        <v>-1.4921397450962104E-13</v>
      </c>
      <c r="H95" s="2">
        <f t="shared" si="10"/>
        <v>0</v>
      </c>
      <c r="I95" s="2">
        <v>0</v>
      </c>
    </row>
    <row r="96" spans="2:9" x14ac:dyDescent="0.2">
      <c r="B96" s="4">
        <f t="shared" ca="1" si="15"/>
        <v>44133</v>
      </c>
      <c r="C96">
        <f t="shared" si="15"/>
        <v>85</v>
      </c>
      <c r="D96">
        <f t="shared" ca="1" si="9"/>
        <v>5</v>
      </c>
      <c r="E96" s="2">
        <f t="shared" si="12"/>
        <v>0</v>
      </c>
      <c r="F96" s="2">
        <f t="shared" si="13"/>
        <v>0</v>
      </c>
      <c r="G96" s="2">
        <f t="shared" si="14"/>
        <v>-1.4921397450962104E-13</v>
      </c>
      <c r="H96" s="2">
        <f t="shared" si="10"/>
        <v>0</v>
      </c>
      <c r="I96" s="2">
        <v>0</v>
      </c>
    </row>
    <row r="97" spans="2:9" x14ac:dyDescent="0.2">
      <c r="B97" s="4">
        <f t="shared" ca="1" si="15"/>
        <v>44134</v>
      </c>
      <c r="C97">
        <f t="shared" si="15"/>
        <v>86</v>
      </c>
      <c r="D97">
        <f t="shared" ca="1" si="9"/>
        <v>6</v>
      </c>
      <c r="E97" s="2">
        <f t="shared" si="12"/>
        <v>0</v>
      </c>
      <c r="F97" s="2">
        <f t="shared" si="13"/>
        <v>0</v>
      </c>
      <c r="G97" s="2">
        <f t="shared" si="14"/>
        <v>-1.4921397450962104E-13</v>
      </c>
      <c r="H97" s="2">
        <f t="shared" si="10"/>
        <v>0</v>
      </c>
      <c r="I97" s="2">
        <v>0</v>
      </c>
    </row>
    <row r="98" spans="2:9" x14ac:dyDescent="0.2">
      <c r="B98" s="4">
        <f t="shared" ca="1" si="15"/>
        <v>44135</v>
      </c>
      <c r="C98">
        <f t="shared" si="15"/>
        <v>87</v>
      </c>
      <c r="D98">
        <f t="shared" ca="1" si="9"/>
        <v>7</v>
      </c>
      <c r="E98" s="2">
        <f t="shared" si="12"/>
        <v>0</v>
      </c>
      <c r="F98" s="2">
        <f t="shared" si="13"/>
        <v>0</v>
      </c>
      <c r="G98" s="2">
        <f t="shared" si="14"/>
        <v>-1.4921397450962104E-13</v>
      </c>
      <c r="H98" s="2">
        <f t="shared" si="10"/>
        <v>0</v>
      </c>
      <c r="I98" s="2">
        <v>0</v>
      </c>
    </row>
    <row r="99" spans="2:9" x14ac:dyDescent="0.2">
      <c r="B99" s="4">
        <f t="shared" ca="1" si="15"/>
        <v>44136</v>
      </c>
      <c r="C99">
        <f t="shared" si="15"/>
        <v>88</v>
      </c>
      <c r="D99">
        <f t="shared" ca="1" si="9"/>
        <v>1</v>
      </c>
      <c r="E99" s="2">
        <f t="shared" si="12"/>
        <v>0</v>
      </c>
      <c r="F99" s="2">
        <f t="shared" si="13"/>
        <v>0</v>
      </c>
      <c r="G99" s="2">
        <f t="shared" si="14"/>
        <v>-1.4921397450962104E-13</v>
      </c>
      <c r="H99" s="2">
        <f t="shared" si="10"/>
        <v>0</v>
      </c>
      <c r="I99" s="2">
        <v>0</v>
      </c>
    </row>
    <row r="100" spans="2:9" x14ac:dyDescent="0.2">
      <c r="B100" s="4">
        <f t="shared" ca="1" si="15"/>
        <v>44137</v>
      </c>
      <c r="C100">
        <f t="shared" si="15"/>
        <v>89</v>
      </c>
      <c r="D100">
        <f t="shared" ca="1" si="9"/>
        <v>2</v>
      </c>
      <c r="E100" s="2">
        <f t="shared" si="12"/>
        <v>0</v>
      </c>
      <c r="F100" s="2">
        <f t="shared" si="13"/>
        <v>0</v>
      </c>
      <c r="G100" s="2">
        <f t="shared" si="14"/>
        <v>-1.4921397450962104E-13</v>
      </c>
      <c r="H100" s="2">
        <f t="shared" si="10"/>
        <v>0</v>
      </c>
      <c r="I100" s="2">
        <v>0</v>
      </c>
    </row>
    <row r="101" spans="2:9" x14ac:dyDescent="0.2">
      <c r="B101" s="4">
        <f t="shared" ca="1" si="15"/>
        <v>44138</v>
      </c>
      <c r="C101">
        <f t="shared" si="15"/>
        <v>90</v>
      </c>
      <c r="D101">
        <f t="shared" ca="1" si="9"/>
        <v>3</v>
      </c>
      <c r="E101" s="2">
        <f t="shared" si="12"/>
        <v>0</v>
      </c>
      <c r="F101" s="2">
        <f t="shared" si="13"/>
        <v>0</v>
      </c>
      <c r="G101" s="2">
        <f t="shared" si="14"/>
        <v>-1.4921397450962104E-13</v>
      </c>
      <c r="H101" s="2">
        <f t="shared" si="10"/>
        <v>0</v>
      </c>
      <c r="I101" s="2">
        <v>0</v>
      </c>
    </row>
    <row r="102" spans="2:9" x14ac:dyDescent="0.2">
      <c r="B102" s="4">
        <f t="shared" ca="1" si="15"/>
        <v>44139</v>
      </c>
      <c r="C102">
        <f t="shared" si="15"/>
        <v>91</v>
      </c>
      <c r="D102">
        <f t="shared" ca="1" si="9"/>
        <v>4</v>
      </c>
      <c r="E102" s="2">
        <f t="shared" si="12"/>
        <v>0</v>
      </c>
      <c r="F102" s="2">
        <f t="shared" si="13"/>
        <v>0</v>
      </c>
      <c r="G102" s="2">
        <f t="shared" si="14"/>
        <v>-1.4921397450962104E-13</v>
      </c>
      <c r="H102" s="2">
        <f t="shared" si="10"/>
        <v>0</v>
      </c>
      <c r="I102" s="2">
        <v>0</v>
      </c>
    </row>
    <row r="103" spans="2:9" x14ac:dyDescent="0.2">
      <c r="B103" s="4">
        <f t="shared" ca="1" si="15"/>
        <v>44140</v>
      </c>
      <c r="C103">
        <f t="shared" si="15"/>
        <v>92</v>
      </c>
      <c r="D103">
        <f t="shared" ca="1" si="9"/>
        <v>5</v>
      </c>
      <c r="E103" s="2">
        <f t="shared" si="12"/>
        <v>0</v>
      </c>
      <c r="F103" s="2">
        <f t="shared" si="13"/>
        <v>0</v>
      </c>
      <c r="G103" s="2">
        <f t="shared" si="14"/>
        <v>-1.4921397450962104E-13</v>
      </c>
      <c r="H103" s="2">
        <f t="shared" si="10"/>
        <v>0</v>
      </c>
      <c r="I103" s="2">
        <v>0</v>
      </c>
    </row>
    <row r="104" spans="2:9" x14ac:dyDescent="0.2">
      <c r="B104" s="4">
        <f t="shared" ca="1" si="15"/>
        <v>44141</v>
      </c>
      <c r="C104">
        <f t="shared" si="15"/>
        <v>93</v>
      </c>
      <c r="D104">
        <f t="shared" ca="1" si="9"/>
        <v>6</v>
      </c>
      <c r="E104" s="2">
        <f t="shared" si="12"/>
        <v>0</v>
      </c>
      <c r="F104" s="2">
        <f t="shared" si="13"/>
        <v>0</v>
      </c>
      <c r="G104" s="2">
        <f t="shared" si="14"/>
        <v>-1.4921397450962104E-13</v>
      </c>
      <c r="H104" s="2">
        <f t="shared" si="10"/>
        <v>0</v>
      </c>
      <c r="I104" s="2">
        <v>0</v>
      </c>
    </row>
    <row r="105" spans="2:9" x14ac:dyDescent="0.2">
      <c r="B105" s="4">
        <f t="shared" ca="1" si="15"/>
        <v>44142</v>
      </c>
      <c r="C105">
        <f t="shared" si="15"/>
        <v>94</v>
      </c>
      <c r="D105">
        <f t="shared" ca="1" si="9"/>
        <v>7</v>
      </c>
      <c r="E105" s="2">
        <f t="shared" si="12"/>
        <v>0</v>
      </c>
      <c r="F105" s="2">
        <f t="shared" si="13"/>
        <v>0</v>
      </c>
      <c r="G105" s="2">
        <f t="shared" si="14"/>
        <v>-1.4921397450962104E-13</v>
      </c>
      <c r="H105" s="2">
        <f t="shared" si="10"/>
        <v>0</v>
      </c>
      <c r="I105" s="2">
        <v>0</v>
      </c>
    </row>
    <row r="106" spans="2:9" x14ac:dyDescent="0.2">
      <c r="B106" s="4">
        <f t="shared" ca="1" si="15"/>
        <v>44143</v>
      </c>
      <c r="C106">
        <f t="shared" si="15"/>
        <v>95</v>
      </c>
      <c r="D106">
        <f t="shared" ca="1" si="9"/>
        <v>1</v>
      </c>
      <c r="E106" s="2">
        <f t="shared" si="12"/>
        <v>0</v>
      </c>
      <c r="F106" s="2">
        <f t="shared" si="13"/>
        <v>0</v>
      </c>
      <c r="G106" s="2">
        <f t="shared" si="14"/>
        <v>-1.4921397450962104E-13</v>
      </c>
      <c r="H106" s="2">
        <f t="shared" si="10"/>
        <v>0</v>
      </c>
      <c r="I106" s="2">
        <v>0</v>
      </c>
    </row>
    <row r="107" spans="2:9" x14ac:dyDescent="0.2">
      <c r="B107" s="4">
        <f t="shared" ca="1" si="15"/>
        <v>44144</v>
      </c>
      <c r="C107">
        <f t="shared" si="15"/>
        <v>96</v>
      </c>
      <c r="D107">
        <f t="shared" ca="1" si="9"/>
        <v>2</v>
      </c>
      <c r="E107" s="2">
        <f t="shared" si="12"/>
        <v>0</v>
      </c>
      <c r="F107" s="2">
        <f t="shared" si="13"/>
        <v>0</v>
      </c>
      <c r="G107" s="2">
        <f t="shared" si="14"/>
        <v>-1.4921397450962104E-13</v>
      </c>
      <c r="H107" s="2">
        <f t="shared" si="10"/>
        <v>0</v>
      </c>
      <c r="I107" s="2">
        <v>0</v>
      </c>
    </row>
    <row r="108" spans="2:9" x14ac:dyDescent="0.2">
      <c r="B108" s="4">
        <f t="shared" ca="1" si="15"/>
        <v>44145</v>
      </c>
      <c r="C108">
        <f t="shared" si="15"/>
        <v>97</v>
      </c>
      <c r="D108">
        <f t="shared" ca="1" si="9"/>
        <v>3</v>
      </c>
      <c r="E108" s="2">
        <f t="shared" si="12"/>
        <v>0</v>
      </c>
      <c r="F108" s="2">
        <f t="shared" si="13"/>
        <v>0</v>
      </c>
      <c r="G108" s="2">
        <f t="shared" si="14"/>
        <v>-1.4921397450962104E-13</v>
      </c>
      <c r="H108" s="2">
        <f t="shared" si="10"/>
        <v>0</v>
      </c>
      <c r="I108" s="2">
        <v>0</v>
      </c>
    </row>
    <row r="109" spans="2:9" x14ac:dyDescent="0.2">
      <c r="B109" s="4">
        <f t="shared" ref="B109:C124" ca="1" si="16">B108+1</f>
        <v>44146</v>
      </c>
      <c r="C109">
        <f t="shared" si="16"/>
        <v>98</v>
      </c>
      <c r="D109">
        <f t="shared" ca="1" si="9"/>
        <v>4</v>
      </c>
      <c r="E109" s="2">
        <f t="shared" si="12"/>
        <v>0</v>
      </c>
      <c r="F109" s="2">
        <f t="shared" si="13"/>
        <v>0</v>
      </c>
      <c r="G109" s="2">
        <f t="shared" si="14"/>
        <v>-1.4921397450962104E-13</v>
      </c>
      <c r="H109" s="2">
        <f t="shared" si="10"/>
        <v>0</v>
      </c>
      <c r="I109" s="2">
        <v>0</v>
      </c>
    </row>
    <row r="110" spans="2:9" x14ac:dyDescent="0.2">
      <c r="B110" s="4">
        <f t="shared" ca="1" si="16"/>
        <v>44147</v>
      </c>
      <c r="C110">
        <f t="shared" si="16"/>
        <v>99</v>
      </c>
      <c r="D110">
        <f t="shared" ca="1" si="9"/>
        <v>5</v>
      </c>
      <c r="E110" s="2">
        <f t="shared" si="12"/>
        <v>0</v>
      </c>
      <c r="F110" s="2">
        <f t="shared" si="13"/>
        <v>0</v>
      </c>
      <c r="G110" s="2">
        <f t="shared" si="14"/>
        <v>-1.4921397450962104E-13</v>
      </c>
      <c r="H110" s="2">
        <f t="shared" si="10"/>
        <v>0</v>
      </c>
      <c r="I110" s="2">
        <v>0</v>
      </c>
    </row>
    <row r="111" spans="2:9" x14ac:dyDescent="0.2">
      <c r="B111" s="4">
        <f t="shared" ca="1" si="16"/>
        <v>44148</v>
      </c>
      <c r="C111">
        <f t="shared" si="16"/>
        <v>100</v>
      </c>
      <c r="D111">
        <f t="shared" ca="1" si="9"/>
        <v>6</v>
      </c>
      <c r="E111" s="2">
        <f t="shared" si="12"/>
        <v>0</v>
      </c>
      <c r="F111" s="2">
        <f t="shared" si="13"/>
        <v>0</v>
      </c>
      <c r="G111" s="2">
        <f t="shared" si="14"/>
        <v>-1.4921397450962104E-13</v>
      </c>
      <c r="H111" s="2">
        <f t="shared" si="10"/>
        <v>0</v>
      </c>
      <c r="I111" s="2">
        <v>0</v>
      </c>
    </row>
    <row r="112" spans="2:9" x14ac:dyDescent="0.2">
      <c r="B112" s="4">
        <f t="shared" ca="1" si="16"/>
        <v>44149</v>
      </c>
      <c r="C112">
        <f t="shared" si="16"/>
        <v>101</v>
      </c>
      <c r="D112">
        <f t="shared" ca="1" si="9"/>
        <v>7</v>
      </c>
      <c r="E112" s="2">
        <f t="shared" si="12"/>
        <v>0</v>
      </c>
      <c r="F112" s="2">
        <f t="shared" si="13"/>
        <v>0</v>
      </c>
      <c r="G112" s="2">
        <f t="shared" si="14"/>
        <v>-1.4921397450962104E-13</v>
      </c>
      <c r="H112" s="2">
        <f t="shared" si="10"/>
        <v>0</v>
      </c>
      <c r="I112" s="2">
        <v>0</v>
      </c>
    </row>
    <row r="113" spans="2:9" x14ac:dyDescent="0.2">
      <c r="B113" s="4">
        <f t="shared" ca="1" si="16"/>
        <v>44150</v>
      </c>
      <c r="C113">
        <f t="shared" si="16"/>
        <v>102</v>
      </c>
      <c r="D113">
        <f t="shared" ca="1" si="9"/>
        <v>1</v>
      </c>
      <c r="E113" s="2">
        <f t="shared" si="12"/>
        <v>0</v>
      </c>
      <c r="F113" s="2">
        <f t="shared" si="13"/>
        <v>0</v>
      </c>
      <c r="G113" s="2">
        <f t="shared" si="14"/>
        <v>-1.4921397450962104E-13</v>
      </c>
      <c r="H113" s="2">
        <f t="shared" si="10"/>
        <v>0</v>
      </c>
      <c r="I113" s="2">
        <v>0</v>
      </c>
    </row>
    <row r="114" spans="2:9" x14ac:dyDescent="0.2">
      <c r="B114" s="4">
        <f t="shared" ca="1" si="16"/>
        <v>44151</v>
      </c>
      <c r="C114">
        <f t="shared" si="16"/>
        <v>103</v>
      </c>
      <c r="D114">
        <f t="shared" ca="1" si="9"/>
        <v>2</v>
      </c>
      <c r="E114" s="2">
        <f t="shared" si="12"/>
        <v>0</v>
      </c>
      <c r="F114" s="2">
        <f t="shared" si="13"/>
        <v>0</v>
      </c>
      <c r="G114" s="2">
        <f t="shared" si="14"/>
        <v>-1.4921397450962104E-13</v>
      </c>
      <c r="H114" s="2">
        <f t="shared" si="10"/>
        <v>0</v>
      </c>
      <c r="I114" s="2">
        <v>0</v>
      </c>
    </row>
    <row r="115" spans="2:9" x14ac:dyDescent="0.2">
      <c r="B115" s="4">
        <f t="shared" ca="1" si="16"/>
        <v>44152</v>
      </c>
      <c r="C115">
        <f t="shared" si="16"/>
        <v>104</v>
      </c>
      <c r="D115">
        <f t="shared" ca="1" si="9"/>
        <v>3</v>
      </c>
      <c r="E115" s="2">
        <f t="shared" si="12"/>
        <v>0</v>
      </c>
      <c r="F115" s="2">
        <f t="shared" si="13"/>
        <v>0</v>
      </c>
      <c r="G115" s="2">
        <f t="shared" si="14"/>
        <v>-1.4921397450962104E-13</v>
      </c>
      <c r="H115" s="2">
        <f t="shared" si="10"/>
        <v>0</v>
      </c>
      <c r="I115" s="2">
        <v>0</v>
      </c>
    </row>
    <row r="116" spans="2:9" x14ac:dyDescent="0.2">
      <c r="B116" s="4">
        <f t="shared" ca="1" si="16"/>
        <v>44153</v>
      </c>
      <c r="C116">
        <f t="shared" si="16"/>
        <v>105</v>
      </c>
      <c r="D116">
        <f t="shared" ca="1" si="9"/>
        <v>4</v>
      </c>
      <c r="E116" s="2">
        <f t="shared" si="12"/>
        <v>0</v>
      </c>
      <c r="F116" s="2">
        <f t="shared" si="13"/>
        <v>0</v>
      </c>
      <c r="G116" s="2">
        <f t="shared" si="14"/>
        <v>-1.4921397450962104E-13</v>
      </c>
      <c r="H116" s="2">
        <f t="shared" si="10"/>
        <v>0</v>
      </c>
      <c r="I116" s="2">
        <v>0</v>
      </c>
    </row>
    <row r="117" spans="2:9" x14ac:dyDescent="0.2">
      <c r="B117" s="4">
        <f t="shared" ca="1" si="16"/>
        <v>44154</v>
      </c>
      <c r="C117">
        <f t="shared" si="16"/>
        <v>106</v>
      </c>
      <c r="D117">
        <f t="shared" ca="1" si="9"/>
        <v>5</v>
      </c>
      <c r="E117" s="2">
        <f t="shared" si="12"/>
        <v>0</v>
      </c>
      <c r="F117" s="2">
        <f t="shared" si="13"/>
        <v>0</v>
      </c>
      <c r="G117" s="2">
        <f t="shared" si="14"/>
        <v>-1.4921397450962104E-13</v>
      </c>
      <c r="H117" s="2">
        <f t="shared" si="10"/>
        <v>0</v>
      </c>
      <c r="I117" s="2">
        <v>0</v>
      </c>
    </row>
    <row r="118" spans="2:9" x14ac:dyDescent="0.2">
      <c r="B118" s="4">
        <f t="shared" ca="1" si="16"/>
        <v>44155</v>
      </c>
      <c r="C118">
        <f t="shared" si="16"/>
        <v>107</v>
      </c>
      <c r="D118">
        <f t="shared" ca="1" si="9"/>
        <v>6</v>
      </c>
      <c r="E118" s="2">
        <f t="shared" si="12"/>
        <v>0</v>
      </c>
      <c r="F118" s="2">
        <f t="shared" si="13"/>
        <v>0</v>
      </c>
      <c r="G118" s="2">
        <f t="shared" si="14"/>
        <v>-1.4921397450962104E-13</v>
      </c>
      <c r="H118" s="2">
        <f t="shared" si="10"/>
        <v>0</v>
      </c>
      <c r="I118" s="2">
        <v>0</v>
      </c>
    </row>
    <row r="119" spans="2:9" x14ac:dyDescent="0.2">
      <c r="B119" s="4">
        <f t="shared" ca="1" si="16"/>
        <v>44156</v>
      </c>
      <c r="C119">
        <f t="shared" si="16"/>
        <v>108</v>
      </c>
      <c r="D119">
        <f t="shared" ca="1" si="9"/>
        <v>7</v>
      </c>
      <c r="E119" s="2">
        <f t="shared" si="12"/>
        <v>0</v>
      </c>
      <c r="F119" s="2">
        <f t="shared" si="13"/>
        <v>0</v>
      </c>
      <c r="G119" s="2">
        <f t="shared" si="14"/>
        <v>-1.4921397450962104E-13</v>
      </c>
      <c r="H119" s="2">
        <f t="shared" si="10"/>
        <v>0</v>
      </c>
      <c r="I119" s="2">
        <v>0</v>
      </c>
    </row>
    <row r="120" spans="2:9" x14ac:dyDescent="0.2">
      <c r="B120" s="4">
        <f t="shared" ca="1" si="16"/>
        <v>44157</v>
      </c>
      <c r="C120">
        <f t="shared" si="16"/>
        <v>109</v>
      </c>
      <c r="D120">
        <f t="shared" ca="1" si="9"/>
        <v>1</v>
      </c>
      <c r="E120" s="2">
        <f t="shared" si="12"/>
        <v>0</v>
      </c>
      <c r="F120" s="2">
        <f t="shared" si="13"/>
        <v>0</v>
      </c>
      <c r="G120" s="2">
        <f t="shared" si="14"/>
        <v>-1.4921397450962104E-13</v>
      </c>
      <c r="H120" s="2">
        <f t="shared" si="10"/>
        <v>0</v>
      </c>
      <c r="I120" s="2">
        <v>0</v>
      </c>
    </row>
    <row r="121" spans="2:9" x14ac:dyDescent="0.2">
      <c r="B121" s="4">
        <f t="shared" ca="1" si="16"/>
        <v>44158</v>
      </c>
      <c r="C121">
        <f t="shared" si="16"/>
        <v>110</v>
      </c>
      <c r="D121">
        <f t="shared" ca="1" si="9"/>
        <v>2</v>
      </c>
      <c r="E121" s="2">
        <f t="shared" si="12"/>
        <v>0</v>
      </c>
      <c r="F121" s="2">
        <f t="shared" si="13"/>
        <v>0</v>
      </c>
      <c r="G121" s="2">
        <f t="shared" si="14"/>
        <v>-1.4921397450962104E-13</v>
      </c>
      <c r="H121" s="2">
        <f t="shared" si="10"/>
        <v>0</v>
      </c>
      <c r="I121" s="2">
        <v>0</v>
      </c>
    </row>
    <row r="122" spans="2:9" x14ac:dyDescent="0.2">
      <c r="B122" s="4">
        <f t="shared" ca="1" si="16"/>
        <v>44159</v>
      </c>
      <c r="C122">
        <f t="shared" si="16"/>
        <v>111</v>
      </c>
      <c r="D122">
        <f t="shared" ca="1" si="9"/>
        <v>3</v>
      </c>
      <c r="E122" s="2">
        <f t="shared" si="12"/>
        <v>0</v>
      </c>
      <c r="F122" s="2">
        <f t="shared" si="13"/>
        <v>0</v>
      </c>
      <c r="G122" s="2">
        <f t="shared" si="14"/>
        <v>-1.4921397450962104E-13</v>
      </c>
      <c r="H122" s="2">
        <f t="shared" si="10"/>
        <v>0</v>
      </c>
      <c r="I122" s="2">
        <v>0</v>
      </c>
    </row>
    <row r="123" spans="2:9" x14ac:dyDescent="0.2">
      <c r="B123" s="4">
        <f t="shared" ca="1" si="16"/>
        <v>44160</v>
      </c>
      <c r="C123">
        <f t="shared" si="16"/>
        <v>112</v>
      </c>
      <c r="D123">
        <f t="shared" ca="1" si="9"/>
        <v>4</v>
      </c>
      <c r="E123" s="2">
        <f t="shared" si="12"/>
        <v>0</v>
      </c>
      <c r="F123" s="2">
        <f t="shared" si="13"/>
        <v>0</v>
      </c>
      <c r="G123" s="2">
        <f t="shared" si="14"/>
        <v>-1.4921397450962104E-13</v>
      </c>
      <c r="H123" s="2">
        <f t="shared" si="10"/>
        <v>0</v>
      </c>
      <c r="I123" s="2">
        <v>0</v>
      </c>
    </row>
    <row r="124" spans="2:9" x14ac:dyDescent="0.2">
      <c r="B124" s="4">
        <f t="shared" ca="1" si="16"/>
        <v>44161</v>
      </c>
      <c r="C124">
        <f t="shared" si="16"/>
        <v>113</v>
      </c>
      <c r="D124">
        <f t="shared" ca="1" si="9"/>
        <v>5</v>
      </c>
      <c r="E124" s="2">
        <f t="shared" si="12"/>
        <v>0</v>
      </c>
      <c r="F124" s="2">
        <f t="shared" si="13"/>
        <v>0</v>
      </c>
      <c r="G124" s="2">
        <f t="shared" si="14"/>
        <v>-1.4921397450962104E-13</v>
      </c>
      <c r="H124" s="2">
        <f t="shared" si="10"/>
        <v>0</v>
      </c>
      <c r="I124" s="2">
        <v>0</v>
      </c>
    </row>
    <row r="125" spans="2:9" x14ac:dyDescent="0.2">
      <c r="B125" s="4">
        <f t="shared" ref="B125:C140" ca="1" si="17">B124+1</f>
        <v>44162</v>
      </c>
      <c r="C125">
        <f t="shared" si="17"/>
        <v>114</v>
      </c>
      <c r="D125">
        <f t="shared" ca="1" si="9"/>
        <v>6</v>
      </c>
      <c r="E125" s="2">
        <f t="shared" si="12"/>
        <v>0</v>
      </c>
      <c r="F125" s="2">
        <f t="shared" si="13"/>
        <v>0</v>
      </c>
      <c r="G125" s="2">
        <f t="shared" si="14"/>
        <v>-1.4921397450962104E-13</v>
      </c>
      <c r="H125" s="2">
        <f t="shared" si="10"/>
        <v>0</v>
      </c>
      <c r="I125" s="2">
        <v>0</v>
      </c>
    </row>
    <row r="126" spans="2:9" x14ac:dyDescent="0.2">
      <c r="B126" s="4">
        <f t="shared" ca="1" si="17"/>
        <v>44163</v>
      </c>
      <c r="C126">
        <f t="shared" si="17"/>
        <v>115</v>
      </c>
      <c r="D126">
        <f t="shared" ca="1" si="9"/>
        <v>7</v>
      </c>
      <c r="E126" s="2">
        <f t="shared" si="12"/>
        <v>0</v>
      </c>
      <c r="F126" s="2">
        <f t="shared" si="13"/>
        <v>0</v>
      </c>
      <c r="G126" s="2">
        <f t="shared" si="14"/>
        <v>-1.4921397450962104E-13</v>
      </c>
      <c r="H126" s="2">
        <f t="shared" si="10"/>
        <v>0</v>
      </c>
      <c r="I126" s="2">
        <v>0</v>
      </c>
    </row>
    <row r="127" spans="2:9" x14ac:dyDescent="0.2">
      <c r="B127" s="4">
        <f t="shared" ca="1" si="17"/>
        <v>44164</v>
      </c>
      <c r="C127">
        <f t="shared" si="17"/>
        <v>116</v>
      </c>
      <c r="D127">
        <f t="shared" ca="1" si="9"/>
        <v>1</v>
      </c>
      <c r="E127" s="2">
        <f t="shared" si="12"/>
        <v>0</v>
      </c>
      <c r="F127" s="2">
        <f t="shared" si="13"/>
        <v>0</v>
      </c>
      <c r="G127" s="2">
        <f t="shared" si="14"/>
        <v>-1.4921397450962104E-13</v>
      </c>
      <c r="H127" s="2">
        <f t="shared" si="10"/>
        <v>0</v>
      </c>
      <c r="I127" s="2">
        <v>0</v>
      </c>
    </row>
    <row r="128" spans="2:9" x14ac:dyDescent="0.2">
      <c r="B128" s="4">
        <f t="shared" ca="1" si="17"/>
        <v>44165</v>
      </c>
      <c r="C128">
        <f t="shared" si="17"/>
        <v>117</v>
      </c>
      <c r="D128">
        <f t="shared" ca="1" si="9"/>
        <v>2</v>
      </c>
      <c r="E128" s="2">
        <f t="shared" si="12"/>
        <v>0</v>
      </c>
      <c r="F128" s="2">
        <f t="shared" si="13"/>
        <v>0</v>
      </c>
      <c r="G128" s="2">
        <f t="shared" si="14"/>
        <v>-1.4921397450962104E-13</v>
      </c>
      <c r="H128" s="2">
        <f t="shared" si="10"/>
        <v>0</v>
      </c>
      <c r="I128" s="2">
        <v>0</v>
      </c>
    </row>
    <row r="129" spans="2:9" x14ac:dyDescent="0.2">
      <c r="B129" s="4">
        <f t="shared" ca="1" si="17"/>
        <v>44166</v>
      </c>
      <c r="C129">
        <f t="shared" si="17"/>
        <v>118</v>
      </c>
      <c r="D129">
        <f t="shared" ca="1" si="9"/>
        <v>3</v>
      </c>
      <c r="E129" s="2">
        <f t="shared" si="12"/>
        <v>0</v>
      </c>
      <c r="F129" s="2">
        <f t="shared" si="13"/>
        <v>0</v>
      </c>
      <c r="G129" s="2">
        <f t="shared" si="14"/>
        <v>-1.4921397450962104E-13</v>
      </c>
      <c r="H129" s="2">
        <f t="shared" si="10"/>
        <v>0</v>
      </c>
      <c r="I129" s="2">
        <v>0</v>
      </c>
    </row>
    <row r="130" spans="2:9" x14ac:dyDescent="0.2">
      <c r="B130" s="4">
        <f t="shared" ca="1" si="17"/>
        <v>44167</v>
      </c>
      <c r="C130">
        <f t="shared" si="17"/>
        <v>119</v>
      </c>
      <c r="D130">
        <f t="shared" ca="1" si="9"/>
        <v>4</v>
      </c>
      <c r="E130" s="2">
        <f t="shared" si="12"/>
        <v>0</v>
      </c>
      <c r="F130" s="2">
        <f t="shared" si="13"/>
        <v>0</v>
      </c>
      <c r="G130" s="2">
        <f t="shared" si="14"/>
        <v>-1.4921397450962104E-13</v>
      </c>
      <c r="H130" s="2">
        <f t="shared" si="10"/>
        <v>0</v>
      </c>
      <c r="I130" s="2">
        <v>0</v>
      </c>
    </row>
    <row r="131" spans="2:9" x14ac:dyDescent="0.2">
      <c r="B131" s="4">
        <f t="shared" ca="1" si="17"/>
        <v>44168</v>
      </c>
      <c r="C131">
        <f t="shared" si="17"/>
        <v>120</v>
      </c>
      <c r="D131">
        <f t="shared" ca="1" si="9"/>
        <v>5</v>
      </c>
      <c r="E131" s="2">
        <f t="shared" si="12"/>
        <v>0</v>
      </c>
      <c r="F131" s="2">
        <f t="shared" si="13"/>
        <v>0</v>
      </c>
      <c r="G131" s="2">
        <f t="shared" si="14"/>
        <v>-1.4921397450962104E-13</v>
      </c>
      <c r="H131" s="2">
        <f t="shared" si="10"/>
        <v>0</v>
      </c>
      <c r="I131" s="2">
        <v>0</v>
      </c>
    </row>
    <row r="132" spans="2:9" x14ac:dyDescent="0.2">
      <c r="B132" s="4">
        <f t="shared" ca="1" si="17"/>
        <v>44169</v>
      </c>
      <c r="C132">
        <f t="shared" si="17"/>
        <v>121</v>
      </c>
      <c r="D132">
        <f t="shared" ca="1" si="9"/>
        <v>6</v>
      </c>
      <c r="E132" s="2">
        <f t="shared" si="12"/>
        <v>0</v>
      </c>
      <c r="F132" s="2">
        <f t="shared" si="13"/>
        <v>0</v>
      </c>
      <c r="G132" s="2">
        <f t="shared" si="14"/>
        <v>-1.4921397450962104E-13</v>
      </c>
      <c r="H132" s="2">
        <f t="shared" si="10"/>
        <v>0</v>
      </c>
      <c r="I132" s="2">
        <v>0</v>
      </c>
    </row>
    <row r="133" spans="2:9" x14ac:dyDescent="0.2">
      <c r="B133" s="4">
        <f t="shared" ca="1" si="17"/>
        <v>44170</v>
      </c>
      <c r="C133">
        <f t="shared" si="17"/>
        <v>122</v>
      </c>
      <c r="D133">
        <f t="shared" ca="1" si="9"/>
        <v>7</v>
      </c>
      <c r="E133" s="2">
        <f t="shared" si="12"/>
        <v>0</v>
      </c>
      <c r="F133" s="2">
        <f t="shared" si="13"/>
        <v>0</v>
      </c>
      <c r="G133" s="2">
        <f t="shared" si="14"/>
        <v>-1.4921397450962104E-13</v>
      </c>
      <c r="H133" s="2">
        <f t="shared" si="10"/>
        <v>0</v>
      </c>
      <c r="I133" s="2">
        <v>0</v>
      </c>
    </row>
    <row r="134" spans="2:9" x14ac:dyDescent="0.2">
      <c r="B134" s="4">
        <f t="shared" ca="1" si="17"/>
        <v>44171</v>
      </c>
      <c r="C134">
        <f t="shared" si="17"/>
        <v>123</v>
      </c>
      <c r="D134">
        <f t="shared" ca="1" si="9"/>
        <v>1</v>
      </c>
      <c r="E134" s="2">
        <f t="shared" si="12"/>
        <v>0</v>
      </c>
      <c r="F134" s="2">
        <f t="shared" si="13"/>
        <v>0</v>
      </c>
      <c r="G134" s="2">
        <f t="shared" si="14"/>
        <v>-1.4921397450962104E-13</v>
      </c>
      <c r="H134" s="2">
        <f t="shared" si="10"/>
        <v>0</v>
      </c>
      <c r="I134" s="2">
        <v>0</v>
      </c>
    </row>
    <row r="135" spans="2:9" x14ac:dyDescent="0.2">
      <c r="B135" s="4">
        <f t="shared" ca="1" si="17"/>
        <v>44172</v>
      </c>
      <c r="C135">
        <f t="shared" si="17"/>
        <v>124</v>
      </c>
      <c r="D135">
        <f t="shared" ca="1" si="9"/>
        <v>2</v>
      </c>
      <c r="E135" s="2">
        <f t="shared" si="12"/>
        <v>0</v>
      </c>
      <c r="F135" s="2">
        <f t="shared" si="13"/>
        <v>0</v>
      </c>
      <c r="G135" s="2">
        <f t="shared" si="14"/>
        <v>-1.4921397450962104E-13</v>
      </c>
      <c r="H135" s="2">
        <f t="shared" si="10"/>
        <v>0</v>
      </c>
      <c r="I135" s="2">
        <v>0</v>
      </c>
    </row>
    <row r="136" spans="2:9" x14ac:dyDescent="0.2">
      <c r="B136" s="4">
        <f t="shared" ca="1" si="17"/>
        <v>44173</v>
      </c>
      <c r="C136">
        <f t="shared" si="17"/>
        <v>125</v>
      </c>
      <c r="D136">
        <f t="shared" ca="1" si="9"/>
        <v>3</v>
      </c>
      <c r="E136" s="2">
        <f t="shared" si="12"/>
        <v>0</v>
      </c>
      <c r="F136" s="2">
        <f t="shared" si="13"/>
        <v>0</v>
      </c>
      <c r="G136" s="2">
        <f t="shared" si="14"/>
        <v>-1.4921397450962104E-13</v>
      </c>
      <c r="H136" s="2">
        <f t="shared" si="10"/>
        <v>0</v>
      </c>
      <c r="I136" s="2">
        <v>0</v>
      </c>
    </row>
    <row r="137" spans="2:9" x14ac:dyDescent="0.2">
      <c r="B137" s="4">
        <f t="shared" ca="1" si="17"/>
        <v>44174</v>
      </c>
      <c r="C137">
        <f t="shared" si="17"/>
        <v>126</v>
      </c>
      <c r="D137">
        <f t="shared" ca="1" si="9"/>
        <v>4</v>
      </c>
      <c r="E137" s="2">
        <f t="shared" si="12"/>
        <v>0</v>
      </c>
      <c r="F137" s="2">
        <f t="shared" si="13"/>
        <v>0</v>
      </c>
      <c r="G137" s="2">
        <f t="shared" si="14"/>
        <v>-1.4921397450962104E-13</v>
      </c>
      <c r="H137" s="2">
        <f t="shared" si="10"/>
        <v>0</v>
      </c>
      <c r="I137" s="2">
        <v>0</v>
      </c>
    </row>
    <row r="138" spans="2:9" x14ac:dyDescent="0.2">
      <c r="B138" s="4">
        <f t="shared" ca="1" si="17"/>
        <v>44175</v>
      </c>
      <c r="C138">
        <f t="shared" si="17"/>
        <v>127</v>
      </c>
      <c r="D138">
        <f t="shared" ca="1" si="9"/>
        <v>5</v>
      </c>
      <c r="E138" s="2">
        <f t="shared" si="12"/>
        <v>0</v>
      </c>
      <c r="F138" s="2">
        <f t="shared" si="13"/>
        <v>0</v>
      </c>
      <c r="G138" s="2">
        <f t="shared" si="14"/>
        <v>-1.4921397450962104E-13</v>
      </c>
      <c r="H138" s="2">
        <f t="shared" si="10"/>
        <v>0</v>
      </c>
      <c r="I138" s="2">
        <v>0</v>
      </c>
    </row>
    <row r="139" spans="2:9" x14ac:dyDescent="0.2">
      <c r="B139" s="4">
        <f t="shared" ca="1" si="17"/>
        <v>44176</v>
      </c>
      <c r="C139">
        <f t="shared" si="17"/>
        <v>128</v>
      </c>
      <c r="D139">
        <f t="shared" ca="1" si="9"/>
        <v>6</v>
      </c>
      <c r="E139" s="2">
        <f t="shared" si="12"/>
        <v>0</v>
      </c>
      <c r="F139" s="2">
        <f t="shared" si="13"/>
        <v>0</v>
      </c>
      <c r="G139" s="2">
        <f t="shared" si="14"/>
        <v>-1.4921397450962104E-13</v>
      </c>
      <c r="H139" s="2">
        <f t="shared" si="10"/>
        <v>0</v>
      </c>
      <c r="I139" s="2">
        <v>0</v>
      </c>
    </row>
    <row r="140" spans="2:9" x14ac:dyDescent="0.2">
      <c r="B140" s="4">
        <f t="shared" ca="1" si="17"/>
        <v>44177</v>
      </c>
      <c r="C140">
        <f t="shared" si="17"/>
        <v>129</v>
      </c>
      <c r="D140">
        <f t="shared" ref="D140:D203" ca="1" si="18">WEEKDAY(B140,1)</f>
        <v>7</v>
      </c>
      <c r="E140" s="2">
        <f t="shared" si="12"/>
        <v>0</v>
      </c>
      <c r="F140" s="2">
        <f t="shared" si="13"/>
        <v>0</v>
      </c>
      <c r="G140" s="2">
        <f t="shared" si="14"/>
        <v>-1.4921397450962104E-13</v>
      </c>
      <c r="H140" s="2">
        <f t="shared" ref="H140:H203" si="19">IF(C140&gt;$C$7,0,(G140)*$C$5/365)</f>
        <v>0</v>
      </c>
      <c r="I140" s="2">
        <v>0</v>
      </c>
    </row>
    <row r="141" spans="2:9" x14ac:dyDescent="0.2">
      <c r="B141" s="4">
        <f t="shared" ref="B141:C156" ca="1" si="20">B140+1</f>
        <v>44178</v>
      </c>
      <c r="C141">
        <f t="shared" si="20"/>
        <v>130</v>
      </c>
      <c r="D141">
        <f t="shared" ca="1" si="18"/>
        <v>1</v>
      </c>
      <c r="E141" s="2">
        <f t="shared" ref="E141:E204" si="21">IF(C141&gt;$C$7,0,G140+H140+I140)</f>
        <v>0</v>
      </c>
      <c r="F141" s="2">
        <f t="shared" ref="F141:F204" si="22">IF(C141&gt;$C$7,0,IF(ROUND(E141,0)&gt;0,IF(C141=0,0,IF(MOD(C141,$C$3)&gt;0,0,$C$8)),0))</f>
        <v>0</v>
      </c>
      <c r="G141" s="2">
        <f t="shared" ref="G141:G204" si="23">IF(C141&gt;$C$7,G140,E141-F141)</f>
        <v>-1.4921397450962104E-13</v>
      </c>
      <c r="H141" s="2">
        <f t="shared" si="19"/>
        <v>0</v>
      </c>
      <c r="I141" s="2">
        <v>0</v>
      </c>
    </row>
    <row r="142" spans="2:9" x14ac:dyDescent="0.2">
      <c r="B142" s="4">
        <f t="shared" ca="1" si="20"/>
        <v>44179</v>
      </c>
      <c r="C142">
        <f t="shared" si="20"/>
        <v>131</v>
      </c>
      <c r="D142">
        <f t="shared" ca="1" si="18"/>
        <v>2</v>
      </c>
      <c r="E142" s="2">
        <f t="shared" si="21"/>
        <v>0</v>
      </c>
      <c r="F142" s="2">
        <f t="shared" si="22"/>
        <v>0</v>
      </c>
      <c r="G142" s="2">
        <f t="shared" si="23"/>
        <v>-1.4921397450962104E-13</v>
      </c>
      <c r="H142" s="2">
        <f t="shared" si="19"/>
        <v>0</v>
      </c>
      <c r="I142" s="2">
        <v>0</v>
      </c>
    </row>
    <row r="143" spans="2:9" x14ac:dyDescent="0.2">
      <c r="B143" s="4">
        <f t="shared" ca="1" si="20"/>
        <v>44180</v>
      </c>
      <c r="C143">
        <f t="shared" si="20"/>
        <v>132</v>
      </c>
      <c r="D143">
        <f t="shared" ca="1" si="18"/>
        <v>3</v>
      </c>
      <c r="E143" s="2">
        <f t="shared" si="21"/>
        <v>0</v>
      </c>
      <c r="F143" s="2">
        <f t="shared" si="22"/>
        <v>0</v>
      </c>
      <c r="G143" s="2">
        <f t="shared" si="23"/>
        <v>-1.4921397450962104E-13</v>
      </c>
      <c r="H143" s="2">
        <f t="shared" si="19"/>
        <v>0</v>
      </c>
      <c r="I143" s="2">
        <v>0</v>
      </c>
    </row>
    <row r="144" spans="2:9" x14ac:dyDescent="0.2">
      <c r="B144" s="4">
        <f t="shared" ca="1" si="20"/>
        <v>44181</v>
      </c>
      <c r="C144">
        <f t="shared" si="20"/>
        <v>133</v>
      </c>
      <c r="D144">
        <f t="shared" ca="1" si="18"/>
        <v>4</v>
      </c>
      <c r="E144" s="2">
        <f t="shared" si="21"/>
        <v>0</v>
      </c>
      <c r="F144" s="2">
        <f t="shared" si="22"/>
        <v>0</v>
      </c>
      <c r="G144" s="2">
        <f t="shared" si="23"/>
        <v>-1.4921397450962104E-13</v>
      </c>
      <c r="H144" s="2">
        <f t="shared" si="19"/>
        <v>0</v>
      </c>
      <c r="I144" s="2">
        <v>0</v>
      </c>
    </row>
    <row r="145" spans="2:9" x14ac:dyDescent="0.2">
      <c r="B145" s="4">
        <f t="shared" ca="1" si="20"/>
        <v>44182</v>
      </c>
      <c r="C145">
        <f t="shared" si="20"/>
        <v>134</v>
      </c>
      <c r="D145">
        <f t="shared" ca="1" si="18"/>
        <v>5</v>
      </c>
      <c r="E145" s="2">
        <f t="shared" si="21"/>
        <v>0</v>
      </c>
      <c r="F145" s="2">
        <f t="shared" si="22"/>
        <v>0</v>
      </c>
      <c r="G145" s="2">
        <f t="shared" si="23"/>
        <v>-1.4921397450962104E-13</v>
      </c>
      <c r="H145" s="2">
        <f t="shared" si="19"/>
        <v>0</v>
      </c>
      <c r="I145" s="2">
        <v>0</v>
      </c>
    </row>
    <row r="146" spans="2:9" x14ac:dyDescent="0.2">
      <c r="B146" s="4">
        <f t="shared" ca="1" si="20"/>
        <v>44183</v>
      </c>
      <c r="C146">
        <f t="shared" si="20"/>
        <v>135</v>
      </c>
      <c r="D146">
        <f t="shared" ca="1" si="18"/>
        <v>6</v>
      </c>
      <c r="E146" s="2">
        <f t="shared" si="21"/>
        <v>0</v>
      </c>
      <c r="F146" s="2">
        <f t="shared" si="22"/>
        <v>0</v>
      </c>
      <c r="G146" s="2">
        <f t="shared" si="23"/>
        <v>-1.4921397450962104E-13</v>
      </c>
      <c r="H146" s="2">
        <f t="shared" si="19"/>
        <v>0</v>
      </c>
      <c r="I146" s="2">
        <v>0</v>
      </c>
    </row>
    <row r="147" spans="2:9" x14ac:dyDescent="0.2">
      <c r="B147" s="4">
        <f t="shared" ca="1" si="20"/>
        <v>44184</v>
      </c>
      <c r="C147">
        <f t="shared" si="20"/>
        <v>136</v>
      </c>
      <c r="D147">
        <f t="shared" ca="1" si="18"/>
        <v>7</v>
      </c>
      <c r="E147" s="2">
        <f t="shared" si="21"/>
        <v>0</v>
      </c>
      <c r="F147" s="2">
        <f t="shared" si="22"/>
        <v>0</v>
      </c>
      <c r="G147" s="2">
        <f t="shared" si="23"/>
        <v>-1.4921397450962104E-13</v>
      </c>
      <c r="H147" s="2">
        <f t="shared" si="19"/>
        <v>0</v>
      </c>
      <c r="I147" s="2">
        <v>0</v>
      </c>
    </row>
    <row r="148" spans="2:9" x14ac:dyDescent="0.2">
      <c r="B148" s="4">
        <f t="shared" ca="1" si="20"/>
        <v>44185</v>
      </c>
      <c r="C148">
        <f t="shared" si="20"/>
        <v>137</v>
      </c>
      <c r="D148">
        <f t="shared" ca="1" si="18"/>
        <v>1</v>
      </c>
      <c r="E148" s="2">
        <f t="shared" si="21"/>
        <v>0</v>
      </c>
      <c r="F148" s="2">
        <f t="shared" si="22"/>
        <v>0</v>
      </c>
      <c r="G148" s="2">
        <f t="shared" si="23"/>
        <v>-1.4921397450962104E-13</v>
      </c>
      <c r="H148" s="2">
        <f t="shared" si="19"/>
        <v>0</v>
      </c>
      <c r="I148" s="2">
        <v>0</v>
      </c>
    </row>
    <row r="149" spans="2:9" x14ac:dyDescent="0.2">
      <c r="B149" s="4">
        <f t="shared" ca="1" si="20"/>
        <v>44186</v>
      </c>
      <c r="C149">
        <f t="shared" si="20"/>
        <v>138</v>
      </c>
      <c r="D149">
        <f t="shared" ca="1" si="18"/>
        <v>2</v>
      </c>
      <c r="E149" s="2">
        <f t="shared" si="21"/>
        <v>0</v>
      </c>
      <c r="F149" s="2">
        <f t="shared" si="22"/>
        <v>0</v>
      </c>
      <c r="G149" s="2">
        <f t="shared" si="23"/>
        <v>-1.4921397450962104E-13</v>
      </c>
      <c r="H149" s="2">
        <f t="shared" si="19"/>
        <v>0</v>
      </c>
      <c r="I149" s="2">
        <v>0</v>
      </c>
    </row>
    <row r="150" spans="2:9" x14ac:dyDescent="0.2">
      <c r="B150" s="4">
        <f t="shared" ca="1" si="20"/>
        <v>44187</v>
      </c>
      <c r="C150">
        <f t="shared" si="20"/>
        <v>139</v>
      </c>
      <c r="D150">
        <f t="shared" ca="1" si="18"/>
        <v>3</v>
      </c>
      <c r="E150" s="2">
        <f t="shared" si="21"/>
        <v>0</v>
      </c>
      <c r="F150" s="2">
        <f t="shared" si="22"/>
        <v>0</v>
      </c>
      <c r="G150" s="2">
        <f t="shared" si="23"/>
        <v>-1.4921397450962104E-13</v>
      </c>
      <c r="H150" s="2">
        <f t="shared" si="19"/>
        <v>0</v>
      </c>
      <c r="I150" s="2">
        <v>0</v>
      </c>
    </row>
    <row r="151" spans="2:9" x14ac:dyDescent="0.2">
      <c r="B151" s="4">
        <f t="shared" ca="1" si="20"/>
        <v>44188</v>
      </c>
      <c r="C151">
        <f t="shared" si="20"/>
        <v>140</v>
      </c>
      <c r="D151">
        <f t="shared" ca="1" si="18"/>
        <v>4</v>
      </c>
      <c r="E151" s="2">
        <f t="shared" si="21"/>
        <v>0</v>
      </c>
      <c r="F151" s="2">
        <f t="shared" si="22"/>
        <v>0</v>
      </c>
      <c r="G151" s="2">
        <f t="shared" si="23"/>
        <v>-1.4921397450962104E-13</v>
      </c>
      <c r="H151" s="2">
        <f t="shared" si="19"/>
        <v>0</v>
      </c>
      <c r="I151" s="2">
        <v>0</v>
      </c>
    </row>
    <row r="152" spans="2:9" x14ac:dyDescent="0.2">
      <c r="B152" s="4">
        <f t="shared" ca="1" si="20"/>
        <v>44189</v>
      </c>
      <c r="C152">
        <f t="shared" si="20"/>
        <v>141</v>
      </c>
      <c r="D152">
        <f t="shared" ca="1" si="18"/>
        <v>5</v>
      </c>
      <c r="E152" s="2">
        <f t="shared" si="21"/>
        <v>0</v>
      </c>
      <c r="F152" s="2">
        <f t="shared" si="22"/>
        <v>0</v>
      </c>
      <c r="G152" s="2">
        <f t="shared" si="23"/>
        <v>-1.4921397450962104E-13</v>
      </c>
      <c r="H152" s="2">
        <f t="shared" si="19"/>
        <v>0</v>
      </c>
      <c r="I152" s="2">
        <v>0</v>
      </c>
    </row>
    <row r="153" spans="2:9" x14ac:dyDescent="0.2">
      <c r="B153" s="4">
        <f t="shared" ca="1" si="20"/>
        <v>44190</v>
      </c>
      <c r="C153">
        <f t="shared" si="20"/>
        <v>142</v>
      </c>
      <c r="D153">
        <f t="shared" ca="1" si="18"/>
        <v>6</v>
      </c>
      <c r="E153" s="2">
        <f t="shared" si="21"/>
        <v>0</v>
      </c>
      <c r="F153" s="2">
        <f t="shared" si="22"/>
        <v>0</v>
      </c>
      <c r="G153" s="2">
        <f t="shared" si="23"/>
        <v>-1.4921397450962104E-13</v>
      </c>
      <c r="H153" s="2">
        <f t="shared" si="19"/>
        <v>0</v>
      </c>
      <c r="I153" s="2">
        <v>0</v>
      </c>
    </row>
    <row r="154" spans="2:9" x14ac:dyDescent="0.2">
      <c r="B154" s="4">
        <f t="shared" ca="1" si="20"/>
        <v>44191</v>
      </c>
      <c r="C154">
        <f t="shared" si="20"/>
        <v>143</v>
      </c>
      <c r="D154">
        <f t="shared" ca="1" si="18"/>
        <v>7</v>
      </c>
      <c r="E154" s="2">
        <f t="shared" si="21"/>
        <v>0</v>
      </c>
      <c r="F154" s="2">
        <f t="shared" si="22"/>
        <v>0</v>
      </c>
      <c r="G154" s="2">
        <f t="shared" si="23"/>
        <v>-1.4921397450962104E-13</v>
      </c>
      <c r="H154" s="2">
        <f t="shared" si="19"/>
        <v>0</v>
      </c>
      <c r="I154" s="2">
        <v>0</v>
      </c>
    </row>
    <row r="155" spans="2:9" x14ac:dyDescent="0.2">
      <c r="B155" s="4">
        <f t="shared" ca="1" si="20"/>
        <v>44192</v>
      </c>
      <c r="C155">
        <f t="shared" si="20"/>
        <v>144</v>
      </c>
      <c r="D155">
        <f t="shared" ca="1" si="18"/>
        <v>1</v>
      </c>
      <c r="E155" s="2">
        <f t="shared" si="21"/>
        <v>0</v>
      </c>
      <c r="F155" s="2">
        <f t="shared" si="22"/>
        <v>0</v>
      </c>
      <c r="G155" s="2">
        <f t="shared" si="23"/>
        <v>-1.4921397450962104E-13</v>
      </c>
      <c r="H155" s="2">
        <f t="shared" si="19"/>
        <v>0</v>
      </c>
      <c r="I155" s="2">
        <v>0</v>
      </c>
    </row>
    <row r="156" spans="2:9" x14ac:dyDescent="0.2">
      <c r="B156" s="4">
        <f t="shared" ca="1" si="20"/>
        <v>44193</v>
      </c>
      <c r="C156">
        <f t="shared" si="20"/>
        <v>145</v>
      </c>
      <c r="D156">
        <f t="shared" ca="1" si="18"/>
        <v>2</v>
      </c>
      <c r="E156" s="2">
        <f t="shared" si="21"/>
        <v>0</v>
      </c>
      <c r="F156" s="2">
        <f t="shared" si="22"/>
        <v>0</v>
      </c>
      <c r="G156" s="2">
        <f t="shared" si="23"/>
        <v>-1.4921397450962104E-13</v>
      </c>
      <c r="H156" s="2">
        <f t="shared" si="19"/>
        <v>0</v>
      </c>
      <c r="I156" s="2">
        <v>0</v>
      </c>
    </row>
    <row r="157" spans="2:9" x14ac:dyDescent="0.2">
      <c r="B157" s="4">
        <f t="shared" ref="B157:C172" ca="1" si="24">B156+1</f>
        <v>44194</v>
      </c>
      <c r="C157">
        <f t="shared" si="24"/>
        <v>146</v>
      </c>
      <c r="D157">
        <f t="shared" ca="1" si="18"/>
        <v>3</v>
      </c>
      <c r="E157" s="2">
        <f t="shared" si="21"/>
        <v>0</v>
      </c>
      <c r="F157" s="2">
        <f t="shared" si="22"/>
        <v>0</v>
      </c>
      <c r="G157" s="2">
        <f t="shared" si="23"/>
        <v>-1.4921397450962104E-13</v>
      </c>
      <c r="H157" s="2">
        <f t="shared" si="19"/>
        <v>0</v>
      </c>
      <c r="I157" s="2">
        <v>0</v>
      </c>
    </row>
    <row r="158" spans="2:9" x14ac:dyDescent="0.2">
      <c r="B158" s="4">
        <f t="shared" ca="1" si="24"/>
        <v>44195</v>
      </c>
      <c r="C158">
        <f t="shared" si="24"/>
        <v>147</v>
      </c>
      <c r="D158">
        <f t="shared" ca="1" si="18"/>
        <v>4</v>
      </c>
      <c r="E158" s="2">
        <f t="shared" si="21"/>
        <v>0</v>
      </c>
      <c r="F158" s="2">
        <f t="shared" si="22"/>
        <v>0</v>
      </c>
      <c r="G158" s="2">
        <f t="shared" si="23"/>
        <v>-1.4921397450962104E-13</v>
      </c>
      <c r="H158" s="2">
        <f t="shared" si="19"/>
        <v>0</v>
      </c>
      <c r="I158" s="2">
        <v>0</v>
      </c>
    </row>
    <row r="159" spans="2:9" x14ac:dyDescent="0.2">
      <c r="B159" s="4">
        <f t="shared" ca="1" si="24"/>
        <v>44196</v>
      </c>
      <c r="C159">
        <f t="shared" si="24"/>
        <v>148</v>
      </c>
      <c r="D159">
        <f t="shared" ca="1" si="18"/>
        <v>5</v>
      </c>
      <c r="E159" s="2">
        <f t="shared" si="21"/>
        <v>0</v>
      </c>
      <c r="F159" s="2">
        <f t="shared" si="22"/>
        <v>0</v>
      </c>
      <c r="G159" s="2">
        <f t="shared" si="23"/>
        <v>-1.4921397450962104E-13</v>
      </c>
      <c r="H159" s="2">
        <f t="shared" si="19"/>
        <v>0</v>
      </c>
      <c r="I159" s="2">
        <v>0</v>
      </c>
    </row>
    <row r="160" spans="2:9" x14ac:dyDescent="0.2">
      <c r="B160" s="4">
        <f t="shared" ca="1" si="24"/>
        <v>44197</v>
      </c>
      <c r="C160">
        <f t="shared" si="24"/>
        <v>149</v>
      </c>
      <c r="D160">
        <f t="shared" ca="1" si="18"/>
        <v>6</v>
      </c>
      <c r="E160" s="2">
        <f t="shared" si="21"/>
        <v>0</v>
      </c>
      <c r="F160" s="2">
        <f t="shared" si="22"/>
        <v>0</v>
      </c>
      <c r="G160" s="2">
        <f t="shared" si="23"/>
        <v>-1.4921397450962104E-13</v>
      </c>
      <c r="H160" s="2">
        <f t="shared" si="19"/>
        <v>0</v>
      </c>
      <c r="I160" s="2">
        <v>0</v>
      </c>
    </row>
    <row r="161" spans="2:9" x14ac:dyDescent="0.2">
      <c r="B161" s="4">
        <f t="shared" ca="1" si="24"/>
        <v>44198</v>
      </c>
      <c r="C161">
        <f t="shared" si="24"/>
        <v>150</v>
      </c>
      <c r="D161">
        <f t="shared" ca="1" si="18"/>
        <v>7</v>
      </c>
      <c r="E161" s="2">
        <f t="shared" si="21"/>
        <v>0</v>
      </c>
      <c r="F161" s="2">
        <f t="shared" si="22"/>
        <v>0</v>
      </c>
      <c r="G161" s="2">
        <f t="shared" si="23"/>
        <v>-1.4921397450962104E-13</v>
      </c>
      <c r="H161" s="2">
        <f t="shared" si="19"/>
        <v>0</v>
      </c>
      <c r="I161" s="2">
        <v>0</v>
      </c>
    </row>
    <row r="162" spans="2:9" x14ac:dyDescent="0.2">
      <c r="B162" s="4">
        <f t="shared" ca="1" si="24"/>
        <v>44199</v>
      </c>
      <c r="C162">
        <f t="shared" si="24"/>
        <v>151</v>
      </c>
      <c r="D162">
        <f t="shared" ca="1" si="18"/>
        <v>1</v>
      </c>
      <c r="E162" s="2">
        <f t="shared" si="21"/>
        <v>0</v>
      </c>
      <c r="F162" s="2">
        <f t="shared" si="22"/>
        <v>0</v>
      </c>
      <c r="G162" s="2">
        <f t="shared" si="23"/>
        <v>-1.4921397450962104E-13</v>
      </c>
      <c r="H162" s="2">
        <f t="shared" si="19"/>
        <v>0</v>
      </c>
      <c r="I162" s="2">
        <v>0</v>
      </c>
    </row>
    <row r="163" spans="2:9" x14ac:dyDescent="0.2">
      <c r="B163" s="4">
        <f t="shared" ca="1" si="24"/>
        <v>44200</v>
      </c>
      <c r="C163">
        <f t="shared" si="24"/>
        <v>152</v>
      </c>
      <c r="D163">
        <f t="shared" ca="1" si="18"/>
        <v>2</v>
      </c>
      <c r="E163" s="2">
        <f t="shared" si="21"/>
        <v>0</v>
      </c>
      <c r="F163" s="2">
        <f t="shared" si="22"/>
        <v>0</v>
      </c>
      <c r="G163" s="2">
        <f t="shared" si="23"/>
        <v>-1.4921397450962104E-13</v>
      </c>
      <c r="H163" s="2">
        <f t="shared" si="19"/>
        <v>0</v>
      </c>
      <c r="I163" s="2">
        <v>0</v>
      </c>
    </row>
    <row r="164" spans="2:9" x14ac:dyDescent="0.2">
      <c r="B164" s="4">
        <f t="shared" ca="1" si="24"/>
        <v>44201</v>
      </c>
      <c r="C164">
        <f t="shared" si="24"/>
        <v>153</v>
      </c>
      <c r="D164">
        <f t="shared" ca="1" si="18"/>
        <v>3</v>
      </c>
      <c r="E164" s="2">
        <f t="shared" si="21"/>
        <v>0</v>
      </c>
      <c r="F164" s="2">
        <f t="shared" si="22"/>
        <v>0</v>
      </c>
      <c r="G164" s="2">
        <f t="shared" si="23"/>
        <v>-1.4921397450962104E-13</v>
      </c>
      <c r="H164" s="2">
        <f t="shared" si="19"/>
        <v>0</v>
      </c>
      <c r="I164" s="2">
        <v>0</v>
      </c>
    </row>
    <row r="165" spans="2:9" x14ac:dyDescent="0.2">
      <c r="B165" s="4">
        <f t="shared" ca="1" si="24"/>
        <v>44202</v>
      </c>
      <c r="C165">
        <f t="shared" si="24"/>
        <v>154</v>
      </c>
      <c r="D165">
        <f t="shared" ca="1" si="18"/>
        <v>4</v>
      </c>
      <c r="E165" s="2">
        <f t="shared" si="21"/>
        <v>0</v>
      </c>
      <c r="F165" s="2">
        <f t="shared" si="22"/>
        <v>0</v>
      </c>
      <c r="G165" s="2">
        <f t="shared" si="23"/>
        <v>-1.4921397450962104E-13</v>
      </c>
      <c r="H165" s="2">
        <f t="shared" si="19"/>
        <v>0</v>
      </c>
      <c r="I165" s="2">
        <v>0</v>
      </c>
    </row>
    <row r="166" spans="2:9" x14ac:dyDescent="0.2">
      <c r="B166" s="4">
        <f t="shared" ca="1" si="24"/>
        <v>44203</v>
      </c>
      <c r="C166">
        <f t="shared" si="24"/>
        <v>155</v>
      </c>
      <c r="D166">
        <f t="shared" ca="1" si="18"/>
        <v>5</v>
      </c>
      <c r="E166" s="2">
        <f t="shared" si="21"/>
        <v>0</v>
      </c>
      <c r="F166" s="2">
        <f t="shared" si="22"/>
        <v>0</v>
      </c>
      <c r="G166" s="2">
        <f t="shared" si="23"/>
        <v>-1.4921397450962104E-13</v>
      </c>
      <c r="H166" s="2">
        <f t="shared" si="19"/>
        <v>0</v>
      </c>
      <c r="I166" s="2">
        <v>0</v>
      </c>
    </row>
    <row r="167" spans="2:9" x14ac:dyDescent="0.2">
      <c r="B167" s="4">
        <f t="shared" ca="1" si="24"/>
        <v>44204</v>
      </c>
      <c r="C167">
        <f t="shared" si="24"/>
        <v>156</v>
      </c>
      <c r="D167">
        <f t="shared" ca="1" si="18"/>
        <v>6</v>
      </c>
      <c r="E167" s="2">
        <f t="shared" si="21"/>
        <v>0</v>
      </c>
      <c r="F167" s="2">
        <f t="shared" si="22"/>
        <v>0</v>
      </c>
      <c r="G167" s="2">
        <f t="shared" si="23"/>
        <v>-1.4921397450962104E-13</v>
      </c>
      <c r="H167" s="2">
        <f t="shared" si="19"/>
        <v>0</v>
      </c>
      <c r="I167" s="2">
        <v>0</v>
      </c>
    </row>
    <row r="168" spans="2:9" x14ac:dyDescent="0.2">
      <c r="B168" s="4">
        <f t="shared" ca="1" si="24"/>
        <v>44205</v>
      </c>
      <c r="C168">
        <f t="shared" si="24"/>
        <v>157</v>
      </c>
      <c r="D168">
        <f t="shared" ca="1" si="18"/>
        <v>7</v>
      </c>
      <c r="E168" s="2">
        <f t="shared" si="21"/>
        <v>0</v>
      </c>
      <c r="F168" s="2">
        <f t="shared" si="22"/>
        <v>0</v>
      </c>
      <c r="G168" s="2">
        <f t="shared" si="23"/>
        <v>-1.4921397450962104E-13</v>
      </c>
      <c r="H168" s="2">
        <f t="shared" si="19"/>
        <v>0</v>
      </c>
      <c r="I168" s="2">
        <v>0</v>
      </c>
    </row>
    <row r="169" spans="2:9" x14ac:dyDescent="0.2">
      <c r="B169" s="4">
        <f t="shared" ca="1" si="24"/>
        <v>44206</v>
      </c>
      <c r="C169">
        <f t="shared" si="24"/>
        <v>158</v>
      </c>
      <c r="D169">
        <f t="shared" ca="1" si="18"/>
        <v>1</v>
      </c>
      <c r="E169" s="2">
        <f t="shared" si="21"/>
        <v>0</v>
      </c>
      <c r="F169" s="2">
        <f t="shared" si="22"/>
        <v>0</v>
      </c>
      <c r="G169" s="2">
        <f t="shared" si="23"/>
        <v>-1.4921397450962104E-13</v>
      </c>
      <c r="H169" s="2">
        <f t="shared" si="19"/>
        <v>0</v>
      </c>
      <c r="I169" s="2">
        <v>0</v>
      </c>
    </row>
    <row r="170" spans="2:9" x14ac:dyDescent="0.2">
      <c r="B170" s="4">
        <f t="shared" ca="1" si="24"/>
        <v>44207</v>
      </c>
      <c r="C170">
        <f t="shared" si="24"/>
        <v>159</v>
      </c>
      <c r="D170">
        <f t="shared" ca="1" si="18"/>
        <v>2</v>
      </c>
      <c r="E170" s="2">
        <f t="shared" si="21"/>
        <v>0</v>
      </c>
      <c r="F170" s="2">
        <f t="shared" si="22"/>
        <v>0</v>
      </c>
      <c r="G170" s="2">
        <f t="shared" si="23"/>
        <v>-1.4921397450962104E-13</v>
      </c>
      <c r="H170" s="2">
        <f t="shared" si="19"/>
        <v>0</v>
      </c>
      <c r="I170" s="2">
        <v>0</v>
      </c>
    </row>
    <row r="171" spans="2:9" x14ac:dyDescent="0.2">
      <c r="B171" s="4">
        <f t="shared" ca="1" si="24"/>
        <v>44208</v>
      </c>
      <c r="C171">
        <f t="shared" si="24"/>
        <v>160</v>
      </c>
      <c r="D171">
        <f t="shared" ca="1" si="18"/>
        <v>3</v>
      </c>
      <c r="E171" s="2">
        <f t="shared" si="21"/>
        <v>0</v>
      </c>
      <c r="F171" s="2">
        <f t="shared" si="22"/>
        <v>0</v>
      </c>
      <c r="G171" s="2">
        <f t="shared" si="23"/>
        <v>-1.4921397450962104E-13</v>
      </c>
      <c r="H171" s="2">
        <f t="shared" si="19"/>
        <v>0</v>
      </c>
      <c r="I171" s="2">
        <v>0</v>
      </c>
    </row>
    <row r="172" spans="2:9" x14ac:dyDescent="0.2">
      <c r="B172" s="4">
        <f t="shared" ca="1" si="24"/>
        <v>44209</v>
      </c>
      <c r="C172">
        <f t="shared" si="24"/>
        <v>161</v>
      </c>
      <c r="D172">
        <f t="shared" ca="1" si="18"/>
        <v>4</v>
      </c>
      <c r="E172" s="2">
        <f t="shared" si="21"/>
        <v>0</v>
      </c>
      <c r="F172" s="2">
        <f t="shared" si="22"/>
        <v>0</v>
      </c>
      <c r="G172" s="2">
        <f t="shared" si="23"/>
        <v>-1.4921397450962104E-13</v>
      </c>
      <c r="H172" s="2">
        <f t="shared" si="19"/>
        <v>0</v>
      </c>
      <c r="I172" s="2">
        <v>0</v>
      </c>
    </row>
    <row r="173" spans="2:9" x14ac:dyDescent="0.2">
      <c r="B173" s="4">
        <f t="shared" ref="B173:C188" ca="1" si="25">B172+1</f>
        <v>44210</v>
      </c>
      <c r="C173">
        <f t="shared" si="25"/>
        <v>162</v>
      </c>
      <c r="D173">
        <f t="shared" ca="1" si="18"/>
        <v>5</v>
      </c>
      <c r="E173" s="2">
        <f t="shared" si="21"/>
        <v>0</v>
      </c>
      <c r="F173" s="2">
        <f t="shared" si="22"/>
        <v>0</v>
      </c>
      <c r="G173" s="2">
        <f t="shared" si="23"/>
        <v>-1.4921397450962104E-13</v>
      </c>
      <c r="H173" s="2">
        <f t="shared" si="19"/>
        <v>0</v>
      </c>
      <c r="I173" s="2">
        <v>0</v>
      </c>
    </row>
    <row r="174" spans="2:9" x14ac:dyDescent="0.2">
      <c r="B174" s="4">
        <f t="shared" ca="1" si="25"/>
        <v>44211</v>
      </c>
      <c r="C174">
        <f t="shared" si="25"/>
        <v>163</v>
      </c>
      <c r="D174">
        <f t="shared" ca="1" si="18"/>
        <v>6</v>
      </c>
      <c r="E174" s="2">
        <f t="shared" si="21"/>
        <v>0</v>
      </c>
      <c r="F174" s="2">
        <f t="shared" si="22"/>
        <v>0</v>
      </c>
      <c r="G174" s="2">
        <f t="shared" si="23"/>
        <v>-1.4921397450962104E-13</v>
      </c>
      <c r="H174" s="2">
        <f t="shared" si="19"/>
        <v>0</v>
      </c>
      <c r="I174" s="2">
        <v>0</v>
      </c>
    </row>
    <row r="175" spans="2:9" x14ac:dyDescent="0.2">
      <c r="B175" s="4">
        <f t="shared" ca="1" si="25"/>
        <v>44212</v>
      </c>
      <c r="C175">
        <f t="shared" si="25"/>
        <v>164</v>
      </c>
      <c r="D175">
        <f t="shared" ca="1" si="18"/>
        <v>7</v>
      </c>
      <c r="E175" s="2">
        <f t="shared" si="21"/>
        <v>0</v>
      </c>
      <c r="F175" s="2">
        <f t="shared" si="22"/>
        <v>0</v>
      </c>
      <c r="G175" s="2">
        <f t="shared" si="23"/>
        <v>-1.4921397450962104E-13</v>
      </c>
      <c r="H175" s="2">
        <f t="shared" si="19"/>
        <v>0</v>
      </c>
      <c r="I175" s="2">
        <v>0</v>
      </c>
    </row>
    <row r="176" spans="2:9" x14ac:dyDescent="0.2">
      <c r="B176" s="4">
        <f t="shared" ca="1" si="25"/>
        <v>44213</v>
      </c>
      <c r="C176">
        <f t="shared" si="25"/>
        <v>165</v>
      </c>
      <c r="D176">
        <f t="shared" ca="1" si="18"/>
        <v>1</v>
      </c>
      <c r="E176" s="2">
        <f t="shared" si="21"/>
        <v>0</v>
      </c>
      <c r="F176" s="2">
        <f t="shared" si="22"/>
        <v>0</v>
      </c>
      <c r="G176" s="2">
        <f t="shared" si="23"/>
        <v>-1.4921397450962104E-13</v>
      </c>
      <c r="H176" s="2">
        <f t="shared" si="19"/>
        <v>0</v>
      </c>
      <c r="I176" s="2">
        <v>0</v>
      </c>
    </row>
    <row r="177" spans="2:9" x14ac:dyDescent="0.2">
      <c r="B177" s="4">
        <f t="shared" ca="1" si="25"/>
        <v>44214</v>
      </c>
      <c r="C177">
        <f t="shared" si="25"/>
        <v>166</v>
      </c>
      <c r="D177">
        <f t="shared" ca="1" si="18"/>
        <v>2</v>
      </c>
      <c r="E177" s="2">
        <f t="shared" si="21"/>
        <v>0</v>
      </c>
      <c r="F177" s="2">
        <f t="shared" si="22"/>
        <v>0</v>
      </c>
      <c r="G177" s="2">
        <f t="shared" si="23"/>
        <v>-1.4921397450962104E-13</v>
      </c>
      <c r="H177" s="2">
        <f t="shared" si="19"/>
        <v>0</v>
      </c>
      <c r="I177" s="2">
        <v>0</v>
      </c>
    </row>
    <row r="178" spans="2:9" x14ac:dyDescent="0.2">
      <c r="B178" s="4">
        <f t="shared" ca="1" si="25"/>
        <v>44215</v>
      </c>
      <c r="C178">
        <f t="shared" si="25"/>
        <v>167</v>
      </c>
      <c r="D178">
        <f t="shared" ca="1" si="18"/>
        <v>3</v>
      </c>
      <c r="E178" s="2">
        <f t="shared" si="21"/>
        <v>0</v>
      </c>
      <c r="F178" s="2">
        <f t="shared" si="22"/>
        <v>0</v>
      </c>
      <c r="G178" s="2">
        <f t="shared" si="23"/>
        <v>-1.4921397450962104E-13</v>
      </c>
      <c r="H178" s="2">
        <f t="shared" si="19"/>
        <v>0</v>
      </c>
      <c r="I178" s="2">
        <v>0</v>
      </c>
    </row>
    <row r="179" spans="2:9" x14ac:dyDescent="0.2">
      <c r="B179" s="4">
        <f t="shared" ca="1" si="25"/>
        <v>44216</v>
      </c>
      <c r="C179">
        <f t="shared" si="25"/>
        <v>168</v>
      </c>
      <c r="D179">
        <f t="shared" ca="1" si="18"/>
        <v>4</v>
      </c>
      <c r="E179" s="2">
        <f t="shared" si="21"/>
        <v>0</v>
      </c>
      <c r="F179" s="2">
        <f t="shared" si="22"/>
        <v>0</v>
      </c>
      <c r="G179" s="2">
        <f t="shared" si="23"/>
        <v>-1.4921397450962104E-13</v>
      </c>
      <c r="H179" s="2">
        <f t="shared" si="19"/>
        <v>0</v>
      </c>
      <c r="I179" s="2">
        <v>0</v>
      </c>
    </row>
    <row r="180" spans="2:9" x14ac:dyDescent="0.2">
      <c r="B180" s="4">
        <f t="shared" ca="1" si="25"/>
        <v>44217</v>
      </c>
      <c r="C180">
        <f t="shared" si="25"/>
        <v>169</v>
      </c>
      <c r="D180">
        <f t="shared" ca="1" si="18"/>
        <v>5</v>
      </c>
      <c r="E180" s="2">
        <f t="shared" si="21"/>
        <v>0</v>
      </c>
      <c r="F180" s="2">
        <f t="shared" si="22"/>
        <v>0</v>
      </c>
      <c r="G180" s="2">
        <f t="shared" si="23"/>
        <v>-1.4921397450962104E-13</v>
      </c>
      <c r="H180" s="2">
        <f t="shared" si="19"/>
        <v>0</v>
      </c>
      <c r="I180" s="2">
        <v>0</v>
      </c>
    </row>
    <row r="181" spans="2:9" x14ac:dyDescent="0.2">
      <c r="B181" s="4">
        <f t="shared" ca="1" si="25"/>
        <v>44218</v>
      </c>
      <c r="C181">
        <f t="shared" si="25"/>
        <v>170</v>
      </c>
      <c r="D181">
        <f t="shared" ca="1" si="18"/>
        <v>6</v>
      </c>
      <c r="E181" s="2">
        <f t="shared" si="21"/>
        <v>0</v>
      </c>
      <c r="F181" s="2">
        <f t="shared" si="22"/>
        <v>0</v>
      </c>
      <c r="G181" s="2">
        <f t="shared" si="23"/>
        <v>-1.4921397450962104E-13</v>
      </c>
      <c r="H181" s="2">
        <f t="shared" si="19"/>
        <v>0</v>
      </c>
      <c r="I181" s="2">
        <v>0</v>
      </c>
    </row>
    <row r="182" spans="2:9" x14ac:dyDescent="0.2">
      <c r="B182" s="4">
        <f t="shared" ca="1" si="25"/>
        <v>44219</v>
      </c>
      <c r="C182">
        <f t="shared" si="25"/>
        <v>171</v>
      </c>
      <c r="D182">
        <f t="shared" ca="1" si="18"/>
        <v>7</v>
      </c>
      <c r="E182" s="2">
        <f t="shared" si="21"/>
        <v>0</v>
      </c>
      <c r="F182" s="2">
        <f t="shared" si="22"/>
        <v>0</v>
      </c>
      <c r="G182" s="2">
        <f t="shared" si="23"/>
        <v>-1.4921397450962104E-13</v>
      </c>
      <c r="H182" s="2">
        <f t="shared" si="19"/>
        <v>0</v>
      </c>
      <c r="I182" s="2">
        <v>0</v>
      </c>
    </row>
    <row r="183" spans="2:9" x14ac:dyDescent="0.2">
      <c r="B183" s="4">
        <f t="shared" ca="1" si="25"/>
        <v>44220</v>
      </c>
      <c r="C183">
        <f t="shared" si="25"/>
        <v>172</v>
      </c>
      <c r="D183">
        <f t="shared" ca="1" si="18"/>
        <v>1</v>
      </c>
      <c r="E183" s="2">
        <f t="shared" si="21"/>
        <v>0</v>
      </c>
      <c r="F183" s="2">
        <f t="shared" si="22"/>
        <v>0</v>
      </c>
      <c r="G183" s="2">
        <f t="shared" si="23"/>
        <v>-1.4921397450962104E-13</v>
      </c>
      <c r="H183" s="2">
        <f t="shared" si="19"/>
        <v>0</v>
      </c>
      <c r="I183" s="2">
        <v>0</v>
      </c>
    </row>
    <row r="184" spans="2:9" x14ac:dyDescent="0.2">
      <c r="B184" s="4">
        <f t="shared" ca="1" si="25"/>
        <v>44221</v>
      </c>
      <c r="C184">
        <f t="shared" si="25"/>
        <v>173</v>
      </c>
      <c r="D184">
        <f t="shared" ca="1" si="18"/>
        <v>2</v>
      </c>
      <c r="E184" s="2">
        <f t="shared" si="21"/>
        <v>0</v>
      </c>
      <c r="F184" s="2">
        <f t="shared" si="22"/>
        <v>0</v>
      </c>
      <c r="G184" s="2">
        <f t="shared" si="23"/>
        <v>-1.4921397450962104E-13</v>
      </c>
      <c r="H184" s="2">
        <f t="shared" si="19"/>
        <v>0</v>
      </c>
      <c r="I184" s="2">
        <v>0</v>
      </c>
    </row>
    <row r="185" spans="2:9" x14ac:dyDescent="0.2">
      <c r="B185" s="4">
        <f t="shared" ca="1" si="25"/>
        <v>44222</v>
      </c>
      <c r="C185">
        <f t="shared" si="25"/>
        <v>174</v>
      </c>
      <c r="D185">
        <f t="shared" ca="1" si="18"/>
        <v>3</v>
      </c>
      <c r="E185" s="2">
        <f t="shared" si="21"/>
        <v>0</v>
      </c>
      <c r="F185" s="2">
        <f t="shared" si="22"/>
        <v>0</v>
      </c>
      <c r="G185" s="2">
        <f t="shared" si="23"/>
        <v>-1.4921397450962104E-13</v>
      </c>
      <c r="H185" s="2">
        <f t="shared" si="19"/>
        <v>0</v>
      </c>
      <c r="I185" s="2">
        <v>0</v>
      </c>
    </row>
    <row r="186" spans="2:9" x14ac:dyDescent="0.2">
      <c r="B186" s="4">
        <f t="shared" ca="1" si="25"/>
        <v>44223</v>
      </c>
      <c r="C186">
        <f t="shared" si="25"/>
        <v>175</v>
      </c>
      <c r="D186">
        <f t="shared" ca="1" si="18"/>
        <v>4</v>
      </c>
      <c r="E186" s="2">
        <f t="shared" si="21"/>
        <v>0</v>
      </c>
      <c r="F186" s="2">
        <f t="shared" si="22"/>
        <v>0</v>
      </c>
      <c r="G186" s="2">
        <f t="shared" si="23"/>
        <v>-1.4921397450962104E-13</v>
      </c>
      <c r="H186" s="2">
        <f t="shared" si="19"/>
        <v>0</v>
      </c>
      <c r="I186" s="2">
        <v>0</v>
      </c>
    </row>
    <row r="187" spans="2:9" x14ac:dyDescent="0.2">
      <c r="B187" s="4">
        <f t="shared" ca="1" si="25"/>
        <v>44224</v>
      </c>
      <c r="C187">
        <f t="shared" si="25"/>
        <v>176</v>
      </c>
      <c r="D187">
        <f t="shared" ca="1" si="18"/>
        <v>5</v>
      </c>
      <c r="E187" s="2">
        <f t="shared" si="21"/>
        <v>0</v>
      </c>
      <c r="F187" s="2">
        <f t="shared" si="22"/>
        <v>0</v>
      </c>
      <c r="G187" s="2">
        <f t="shared" si="23"/>
        <v>-1.4921397450962104E-13</v>
      </c>
      <c r="H187" s="2">
        <f t="shared" si="19"/>
        <v>0</v>
      </c>
      <c r="I187" s="2">
        <v>0</v>
      </c>
    </row>
    <row r="188" spans="2:9" x14ac:dyDescent="0.2">
      <c r="B188" s="4">
        <f t="shared" ca="1" si="25"/>
        <v>44225</v>
      </c>
      <c r="C188">
        <f t="shared" si="25"/>
        <v>177</v>
      </c>
      <c r="D188">
        <f t="shared" ca="1" si="18"/>
        <v>6</v>
      </c>
      <c r="E188" s="2">
        <f t="shared" si="21"/>
        <v>0</v>
      </c>
      <c r="F188" s="2">
        <f t="shared" si="22"/>
        <v>0</v>
      </c>
      <c r="G188" s="2">
        <f t="shared" si="23"/>
        <v>-1.4921397450962104E-13</v>
      </c>
      <c r="H188" s="2">
        <f t="shared" si="19"/>
        <v>0</v>
      </c>
      <c r="I188" s="2">
        <v>0</v>
      </c>
    </row>
    <row r="189" spans="2:9" x14ac:dyDescent="0.2">
      <c r="B189" s="4">
        <f t="shared" ref="B189:C204" ca="1" si="26">B188+1</f>
        <v>44226</v>
      </c>
      <c r="C189">
        <f t="shared" si="26"/>
        <v>178</v>
      </c>
      <c r="D189">
        <f t="shared" ca="1" si="18"/>
        <v>7</v>
      </c>
      <c r="E189" s="2">
        <f t="shared" si="21"/>
        <v>0</v>
      </c>
      <c r="F189" s="2">
        <f t="shared" si="22"/>
        <v>0</v>
      </c>
      <c r="G189" s="2">
        <f t="shared" si="23"/>
        <v>-1.4921397450962104E-13</v>
      </c>
      <c r="H189" s="2">
        <f t="shared" si="19"/>
        <v>0</v>
      </c>
      <c r="I189" s="2">
        <v>0</v>
      </c>
    </row>
    <row r="190" spans="2:9" x14ac:dyDescent="0.2">
      <c r="B190" s="4">
        <f t="shared" ca="1" si="26"/>
        <v>44227</v>
      </c>
      <c r="C190">
        <f t="shared" si="26"/>
        <v>179</v>
      </c>
      <c r="D190">
        <f t="shared" ca="1" si="18"/>
        <v>1</v>
      </c>
      <c r="E190" s="2">
        <f t="shared" si="21"/>
        <v>0</v>
      </c>
      <c r="F190" s="2">
        <f t="shared" si="22"/>
        <v>0</v>
      </c>
      <c r="G190" s="2">
        <f t="shared" si="23"/>
        <v>-1.4921397450962104E-13</v>
      </c>
      <c r="H190" s="2">
        <f t="shared" si="19"/>
        <v>0</v>
      </c>
      <c r="I190" s="2">
        <v>0</v>
      </c>
    </row>
    <row r="191" spans="2:9" x14ac:dyDescent="0.2">
      <c r="B191" s="4">
        <f t="shared" ca="1" si="26"/>
        <v>44228</v>
      </c>
      <c r="C191">
        <f t="shared" si="26"/>
        <v>180</v>
      </c>
      <c r="D191">
        <f t="shared" ca="1" si="18"/>
        <v>2</v>
      </c>
      <c r="E191" s="2">
        <f t="shared" si="21"/>
        <v>0</v>
      </c>
      <c r="F191" s="2">
        <f t="shared" si="22"/>
        <v>0</v>
      </c>
      <c r="G191" s="2">
        <f t="shared" si="23"/>
        <v>-1.4921397450962104E-13</v>
      </c>
      <c r="H191" s="2">
        <f t="shared" si="19"/>
        <v>0</v>
      </c>
      <c r="I191" s="2">
        <v>0</v>
      </c>
    </row>
    <row r="192" spans="2:9" x14ac:dyDescent="0.2">
      <c r="B192" s="4">
        <f t="shared" ca="1" si="26"/>
        <v>44229</v>
      </c>
      <c r="C192">
        <f t="shared" si="26"/>
        <v>181</v>
      </c>
      <c r="D192">
        <f t="shared" ca="1" si="18"/>
        <v>3</v>
      </c>
      <c r="E192" s="2">
        <f t="shared" si="21"/>
        <v>0</v>
      </c>
      <c r="F192" s="2">
        <f t="shared" si="22"/>
        <v>0</v>
      </c>
      <c r="G192" s="2">
        <f t="shared" si="23"/>
        <v>-1.4921397450962104E-13</v>
      </c>
      <c r="H192" s="2">
        <f t="shared" si="19"/>
        <v>0</v>
      </c>
      <c r="I192" s="2">
        <v>0</v>
      </c>
    </row>
    <row r="193" spans="2:9" x14ac:dyDescent="0.2">
      <c r="B193" s="4">
        <f t="shared" ca="1" si="26"/>
        <v>44230</v>
      </c>
      <c r="C193">
        <f t="shared" si="26"/>
        <v>182</v>
      </c>
      <c r="D193">
        <f t="shared" ca="1" si="18"/>
        <v>4</v>
      </c>
      <c r="E193" s="2">
        <f t="shared" si="21"/>
        <v>0</v>
      </c>
      <c r="F193" s="2">
        <f t="shared" si="22"/>
        <v>0</v>
      </c>
      <c r="G193" s="2">
        <f t="shared" si="23"/>
        <v>-1.4921397450962104E-13</v>
      </c>
      <c r="H193" s="2">
        <f t="shared" si="19"/>
        <v>0</v>
      </c>
      <c r="I193" s="2">
        <v>0</v>
      </c>
    </row>
    <row r="194" spans="2:9" x14ac:dyDescent="0.2">
      <c r="B194" s="4">
        <f t="shared" ca="1" si="26"/>
        <v>44231</v>
      </c>
      <c r="C194">
        <f t="shared" si="26"/>
        <v>183</v>
      </c>
      <c r="D194">
        <f t="shared" ca="1" si="18"/>
        <v>5</v>
      </c>
      <c r="E194" s="2">
        <f t="shared" si="21"/>
        <v>0</v>
      </c>
      <c r="F194" s="2">
        <f t="shared" si="22"/>
        <v>0</v>
      </c>
      <c r="G194" s="2">
        <f t="shared" si="23"/>
        <v>-1.4921397450962104E-13</v>
      </c>
      <c r="H194" s="2">
        <f t="shared" si="19"/>
        <v>0</v>
      </c>
      <c r="I194" s="2">
        <v>0</v>
      </c>
    </row>
    <row r="195" spans="2:9" x14ac:dyDescent="0.2">
      <c r="B195" s="4">
        <f t="shared" ca="1" si="26"/>
        <v>44232</v>
      </c>
      <c r="C195">
        <f t="shared" si="26"/>
        <v>184</v>
      </c>
      <c r="D195">
        <f t="shared" ca="1" si="18"/>
        <v>6</v>
      </c>
      <c r="E195" s="2">
        <f t="shared" si="21"/>
        <v>0</v>
      </c>
      <c r="F195" s="2">
        <f t="shared" si="22"/>
        <v>0</v>
      </c>
      <c r="G195" s="2">
        <f t="shared" si="23"/>
        <v>-1.4921397450962104E-13</v>
      </c>
      <c r="H195" s="2">
        <f t="shared" si="19"/>
        <v>0</v>
      </c>
      <c r="I195" s="2">
        <v>0</v>
      </c>
    </row>
    <row r="196" spans="2:9" x14ac:dyDescent="0.2">
      <c r="B196" s="4">
        <f t="shared" ca="1" si="26"/>
        <v>44233</v>
      </c>
      <c r="C196">
        <f t="shared" si="26"/>
        <v>185</v>
      </c>
      <c r="D196">
        <f t="shared" ca="1" si="18"/>
        <v>7</v>
      </c>
      <c r="E196" s="2">
        <f t="shared" si="21"/>
        <v>0</v>
      </c>
      <c r="F196" s="2">
        <f t="shared" si="22"/>
        <v>0</v>
      </c>
      <c r="G196" s="2">
        <f t="shared" si="23"/>
        <v>-1.4921397450962104E-13</v>
      </c>
      <c r="H196" s="2">
        <f t="shared" si="19"/>
        <v>0</v>
      </c>
      <c r="I196" s="2">
        <v>0</v>
      </c>
    </row>
    <row r="197" spans="2:9" x14ac:dyDescent="0.2">
      <c r="B197" s="4">
        <f t="shared" ca="1" si="26"/>
        <v>44234</v>
      </c>
      <c r="C197">
        <f t="shared" si="26"/>
        <v>186</v>
      </c>
      <c r="D197">
        <f t="shared" ca="1" si="18"/>
        <v>1</v>
      </c>
      <c r="E197" s="2">
        <f t="shared" si="21"/>
        <v>0</v>
      </c>
      <c r="F197" s="2">
        <f t="shared" si="22"/>
        <v>0</v>
      </c>
      <c r="G197" s="2">
        <f t="shared" si="23"/>
        <v>-1.4921397450962104E-13</v>
      </c>
      <c r="H197" s="2">
        <f t="shared" si="19"/>
        <v>0</v>
      </c>
      <c r="I197" s="2">
        <v>0</v>
      </c>
    </row>
    <row r="198" spans="2:9" x14ac:dyDescent="0.2">
      <c r="B198" s="4">
        <f t="shared" ca="1" si="26"/>
        <v>44235</v>
      </c>
      <c r="C198">
        <f t="shared" si="26"/>
        <v>187</v>
      </c>
      <c r="D198">
        <f t="shared" ca="1" si="18"/>
        <v>2</v>
      </c>
      <c r="E198" s="2">
        <f t="shared" si="21"/>
        <v>0</v>
      </c>
      <c r="F198" s="2">
        <f t="shared" si="22"/>
        <v>0</v>
      </c>
      <c r="G198" s="2">
        <f t="shared" si="23"/>
        <v>-1.4921397450962104E-13</v>
      </c>
      <c r="H198" s="2">
        <f t="shared" si="19"/>
        <v>0</v>
      </c>
      <c r="I198" s="2">
        <v>0</v>
      </c>
    </row>
    <row r="199" spans="2:9" x14ac:dyDescent="0.2">
      <c r="B199" s="4">
        <f t="shared" ca="1" si="26"/>
        <v>44236</v>
      </c>
      <c r="C199">
        <f t="shared" si="26"/>
        <v>188</v>
      </c>
      <c r="D199">
        <f t="shared" ca="1" si="18"/>
        <v>3</v>
      </c>
      <c r="E199" s="2">
        <f t="shared" si="21"/>
        <v>0</v>
      </c>
      <c r="F199" s="2">
        <f t="shared" si="22"/>
        <v>0</v>
      </c>
      <c r="G199" s="2">
        <f t="shared" si="23"/>
        <v>-1.4921397450962104E-13</v>
      </c>
      <c r="H199" s="2">
        <f t="shared" si="19"/>
        <v>0</v>
      </c>
      <c r="I199" s="2">
        <v>0</v>
      </c>
    </row>
    <row r="200" spans="2:9" x14ac:dyDescent="0.2">
      <c r="B200" s="4">
        <f t="shared" ca="1" si="26"/>
        <v>44237</v>
      </c>
      <c r="C200">
        <f t="shared" si="26"/>
        <v>189</v>
      </c>
      <c r="D200">
        <f t="shared" ca="1" si="18"/>
        <v>4</v>
      </c>
      <c r="E200" s="2">
        <f t="shared" si="21"/>
        <v>0</v>
      </c>
      <c r="F200" s="2">
        <f t="shared" si="22"/>
        <v>0</v>
      </c>
      <c r="G200" s="2">
        <f t="shared" si="23"/>
        <v>-1.4921397450962104E-13</v>
      </c>
      <c r="H200" s="2">
        <f t="shared" si="19"/>
        <v>0</v>
      </c>
      <c r="I200" s="2">
        <v>0</v>
      </c>
    </row>
    <row r="201" spans="2:9" x14ac:dyDescent="0.2">
      <c r="B201" s="4">
        <f t="shared" ca="1" si="26"/>
        <v>44238</v>
      </c>
      <c r="C201">
        <f t="shared" si="26"/>
        <v>190</v>
      </c>
      <c r="D201">
        <f t="shared" ca="1" si="18"/>
        <v>5</v>
      </c>
      <c r="E201" s="2">
        <f t="shared" si="21"/>
        <v>0</v>
      </c>
      <c r="F201" s="2">
        <f t="shared" si="22"/>
        <v>0</v>
      </c>
      <c r="G201" s="2">
        <f t="shared" si="23"/>
        <v>-1.4921397450962104E-13</v>
      </c>
      <c r="H201" s="2">
        <f t="shared" si="19"/>
        <v>0</v>
      </c>
      <c r="I201" s="2">
        <v>0</v>
      </c>
    </row>
    <row r="202" spans="2:9" x14ac:dyDescent="0.2">
      <c r="B202" s="4">
        <f t="shared" ca="1" si="26"/>
        <v>44239</v>
      </c>
      <c r="C202">
        <f t="shared" si="26"/>
        <v>191</v>
      </c>
      <c r="D202">
        <f t="shared" ca="1" si="18"/>
        <v>6</v>
      </c>
      <c r="E202" s="2">
        <f t="shared" si="21"/>
        <v>0</v>
      </c>
      <c r="F202" s="2">
        <f t="shared" si="22"/>
        <v>0</v>
      </c>
      <c r="G202" s="2">
        <f t="shared" si="23"/>
        <v>-1.4921397450962104E-13</v>
      </c>
      <c r="H202" s="2">
        <f t="shared" si="19"/>
        <v>0</v>
      </c>
      <c r="I202" s="2">
        <v>0</v>
      </c>
    </row>
    <row r="203" spans="2:9" x14ac:dyDescent="0.2">
      <c r="B203" s="4">
        <f t="shared" ca="1" si="26"/>
        <v>44240</v>
      </c>
      <c r="C203">
        <f t="shared" si="26"/>
        <v>192</v>
      </c>
      <c r="D203">
        <f t="shared" ca="1" si="18"/>
        <v>7</v>
      </c>
      <c r="E203" s="2">
        <f t="shared" si="21"/>
        <v>0</v>
      </c>
      <c r="F203" s="2">
        <f t="shared" si="22"/>
        <v>0</v>
      </c>
      <c r="G203" s="2">
        <f t="shared" si="23"/>
        <v>-1.4921397450962104E-13</v>
      </c>
      <c r="H203" s="2">
        <f t="shared" si="19"/>
        <v>0</v>
      </c>
      <c r="I203" s="2">
        <v>0</v>
      </c>
    </row>
    <row r="204" spans="2:9" x14ac:dyDescent="0.2">
      <c r="B204" s="4">
        <f t="shared" ca="1" si="26"/>
        <v>44241</v>
      </c>
      <c r="C204">
        <f t="shared" si="26"/>
        <v>193</v>
      </c>
      <c r="D204">
        <f t="shared" ref="D204:D211" ca="1" si="27">WEEKDAY(B204,1)</f>
        <v>1</v>
      </c>
      <c r="E204" s="2">
        <f t="shared" si="21"/>
        <v>0</v>
      </c>
      <c r="F204" s="2">
        <f t="shared" si="22"/>
        <v>0</v>
      </c>
      <c r="G204" s="2">
        <f t="shared" si="23"/>
        <v>-1.4921397450962104E-13</v>
      </c>
      <c r="H204" s="2">
        <f t="shared" ref="H204:H211" si="28">IF(C204&gt;$C$7,0,(G204)*$C$5/365)</f>
        <v>0</v>
      </c>
      <c r="I204" s="2">
        <v>0</v>
      </c>
    </row>
    <row r="205" spans="2:9" x14ac:dyDescent="0.2">
      <c r="B205" s="4">
        <f t="shared" ref="B205:C211" ca="1" si="29">B204+1</f>
        <v>44242</v>
      </c>
      <c r="C205">
        <f t="shared" si="29"/>
        <v>194</v>
      </c>
      <c r="D205">
        <f t="shared" ca="1" si="27"/>
        <v>2</v>
      </c>
      <c r="E205" s="2">
        <f t="shared" ref="E205:E211" si="30">IF(C205&gt;$C$7,0,G204+H204+I204)</f>
        <v>0</v>
      </c>
      <c r="F205" s="2">
        <f t="shared" ref="F205:F211" si="31">IF(C205&gt;$C$7,0,IF(ROUND(E205,0)&gt;0,IF(C205=0,0,IF(MOD(C205,$C$3)&gt;0,0,$C$8)),0))</f>
        <v>0</v>
      </c>
      <c r="G205" s="2">
        <f t="shared" ref="G205:G211" si="32">IF(C205&gt;$C$7,G204,E205-F205)</f>
        <v>-1.4921397450962104E-13</v>
      </c>
      <c r="H205" s="2">
        <f t="shared" si="28"/>
        <v>0</v>
      </c>
      <c r="I205" s="2">
        <v>0</v>
      </c>
    </row>
    <row r="206" spans="2:9" x14ac:dyDescent="0.2">
      <c r="B206" s="4">
        <f t="shared" ca="1" si="29"/>
        <v>44243</v>
      </c>
      <c r="C206">
        <f t="shared" si="29"/>
        <v>195</v>
      </c>
      <c r="D206">
        <f t="shared" ca="1" si="27"/>
        <v>3</v>
      </c>
      <c r="E206" s="2">
        <f t="shared" si="30"/>
        <v>0</v>
      </c>
      <c r="F206" s="2">
        <f t="shared" si="31"/>
        <v>0</v>
      </c>
      <c r="G206" s="2">
        <f t="shared" si="32"/>
        <v>-1.4921397450962104E-13</v>
      </c>
      <c r="H206" s="2">
        <f t="shared" si="28"/>
        <v>0</v>
      </c>
      <c r="I206" s="2">
        <v>0</v>
      </c>
    </row>
    <row r="207" spans="2:9" x14ac:dyDescent="0.2">
      <c r="B207" s="4">
        <f t="shared" ca="1" si="29"/>
        <v>44244</v>
      </c>
      <c r="C207">
        <f t="shared" si="29"/>
        <v>196</v>
      </c>
      <c r="D207">
        <f t="shared" ca="1" si="27"/>
        <v>4</v>
      </c>
      <c r="E207" s="2">
        <f t="shared" si="30"/>
        <v>0</v>
      </c>
      <c r="F207" s="2">
        <f t="shared" si="31"/>
        <v>0</v>
      </c>
      <c r="G207" s="2">
        <f t="shared" si="32"/>
        <v>-1.4921397450962104E-13</v>
      </c>
      <c r="H207" s="2">
        <f t="shared" si="28"/>
        <v>0</v>
      </c>
      <c r="I207" s="2">
        <v>0</v>
      </c>
    </row>
    <row r="208" spans="2:9" x14ac:dyDescent="0.2">
      <c r="B208" s="4">
        <f t="shared" ca="1" si="29"/>
        <v>44245</v>
      </c>
      <c r="C208">
        <f t="shared" si="29"/>
        <v>197</v>
      </c>
      <c r="D208">
        <f t="shared" ca="1" si="27"/>
        <v>5</v>
      </c>
      <c r="E208" s="2">
        <f t="shared" si="30"/>
        <v>0</v>
      </c>
      <c r="F208" s="2">
        <f t="shared" si="31"/>
        <v>0</v>
      </c>
      <c r="G208" s="2">
        <f t="shared" si="32"/>
        <v>-1.4921397450962104E-13</v>
      </c>
      <c r="H208" s="2">
        <f t="shared" si="28"/>
        <v>0</v>
      </c>
      <c r="I208" s="2">
        <v>0</v>
      </c>
    </row>
    <row r="209" spans="2:9" x14ac:dyDescent="0.2">
      <c r="B209" s="4">
        <f t="shared" ca="1" si="29"/>
        <v>44246</v>
      </c>
      <c r="C209">
        <f t="shared" si="29"/>
        <v>198</v>
      </c>
      <c r="D209">
        <f t="shared" ca="1" si="27"/>
        <v>6</v>
      </c>
      <c r="E209" s="2">
        <f t="shared" si="30"/>
        <v>0</v>
      </c>
      <c r="F209" s="2">
        <f t="shared" si="31"/>
        <v>0</v>
      </c>
      <c r="G209" s="2">
        <f t="shared" si="32"/>
        <v>-1.4921397450962104E-13</v>
      </c>
      <c r="H209" s="2">
        <f t="shared" si="28"/>
        <v>0</v>
      </c>
      <c r="I209" s="2">
        <v>0</v>
      </c>
    </row>
    <row r="210" spans="2:9" x14ac:dyDescent="0.2">
      <c r="B210" s="4">
        <f t="shared" ca="1" si="29"/>
        <v>44247</v>
      </c>
      <c r="C210">
        <f t="shared" si="29"/>
        <v>199</v>
      </c>
      <c r="D210">
        <f t="shared" ca="1" si="27"/>
        <v>7</v>
      </c>
      <c r="E210" s="2">
        <f t="shared" si="30"/>
        <v>0</v>
      </c>
      <c r="F210" s="2">
        <f t="shared" si="31"/>
        <v>0</v>
      </c>
      <c r="G210" s="2">
        <f t="shared" si="32"/>
        <v>-1.4921397450962104E-13</v>
      </c>
      <c r="H210" s="2">
        <f t="shared" si="28"/>
        <v>0</v>
      </c>
      <c r="I210" s="2">
        <v>0</v>
      </c>
    </row>
    <row r="211" spans="2:9" x14ac:dyDescent="0.2">
      <c r="B211" s="4">
        <f t="shared" ca="1" si="29"/>
        <v>44248</v>
      </c>
      <c r="C211">
        <f t="shared" si="29"/>
        <v>200</v>
      </c>
      <c r="D211">
        <f t="shared" ca="1" si="27"/>
        <v>1</v>
      </c>
      <c r="E211" s="2">
        <f t="shared" si="30"/>
        <v>0</v>
      </c>
      <c r="F211" s="2">
        <f t="shared" si="31"/>
        <v>0</v>
      </c>
      <c r="G211" s="2">
        <f t="shared" si="32"/>
        <v>-1.4921397450962104E-13</v>
      </c>
      <c r="H211" s="2">
        <f t="shared" si="28"/>
        <v>0</v>
      </c>
      <c r="I211" s="2">
        <v>0</v>
      </c>
    </row>
  </sheetData>
  <mergeCells count="2">
    <mergeCell ref="H2:I4"/>
    <mergeCell ref="E7:F8"/>
  </mergeCells>
  <conditionalFormatting sqref="B11:I211">
    <cfRule type="expression" dxfId="89" priority="3">
      <formula>$C11=$C$7</formula>
    </cfRule>
    <cfRule type="expression" dxfId="88" priority="4">
      <formula>$C11&gt;$C$7</formula>
    </cfRule>
  </conditionalFormatting>
  <conditionalFormatting sqref="E7">
    <cfRule type="cellIs" dxfId="87" priority="1" operator="equal">
      <formula>"No RESET Required"</formula>
    </cfRule>
    <cfRule type="cellIs" dxfId="86" priority="2" operator="equal">
      <formula>"RESET"</formula>
    </cfRule>
  </conditionalFormatting>
  <hyperlinks>
    <hyperlink ref="H2:I4" location="Summary!A1" display="Return to Home" xr:uid="{ED07285D-4BD9-42A7-8A0B-B263C72E6128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215900</xdr:colOff>
                    <xdr:row>5</xdr:row>
                    <xdr:rowOff>25400</xdr:rowOff>
                  </from>
                  <to>
                    <xdr:col>8</xdr:col>
                    <xdr:colOff>1562100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588DA-FF9B-425B-8ED1-B32E4C2AA240}">
  <sheetPr codeName="Sheet23"/>
  <dimension ref="B1:J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3" customWidth="1"/>
    <col min="9" max="9" width="25" bestFit="1" customWidth="1"/>
    <col min="10" max="10" width="9.1640625" bestFit="1" customWidth="1"/>
  </cols>
  <sheetData>
    <row r="1" spans="2:10" ht="16" thickBot="1" x14ac:dyDescent="0.25"/>
    <row r="2" spans="2:10" x14ac:dyDescent="0.2">
      <c r="B2" s="1" t="s">
        <v>0</v>
      </c>
      <c r="C2" s="13">
        <v>250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10" x14ac:dyDescent="0.2">
      <c r="B3" s="1" t="s">
        <v>2</v>
      </c>
      <c r="C3" s="11">
        <v>14</v>
      </c>
      <c r="E3" s="1" t="s">
        <v>3</v>
      </c>
      <c r="F3" s="15">
        <f>SUM(H11:H211)</f>
        <v>4.586886697138203</v>
      </c>
      <c r="H3" s="25"/>
      <c r="I3" s="26"/>
    </row>
    <row r="4" spans="2:10" ht="16" thickBot="1" x14ac:dyDescent="0.25">
      <c r="B4" s="1" t="s">
        <v>4</v>
      </c>
      <c r="C4" s="9">
        <f>C7/C3</f>
        <v>4</v>
      </c>
      <c r="E4" s="1" t="s">
        <v>5</v>
      </c>
      <c r="F4" s="15">
        <f>SUM(I11:I211)</f>
        <v>0</v>
      </c>
      <c r="H4" s="27"/>
      <c r="I4" s="28"/>
    </row>
    <row r="5" spans="2:10" x14ac:dyDescent="0.2">
      <c r="B5" s="1" t="s">
        <v>6</v>
      </c>
      <c r="C5" s="12">
        <v>0.19</v>
      </c>
      <c r="E5" s="1" t="s">
        <v>7</v>
      </c>
      <c r="F5" s="15">
        <f>SUM(F12:F211)</f>
        <v>254.58688669713831</v>
      </c>
    </row>
    <row r="6" spans="2:10" ht="16" thickBot="1" x14ac:dyDescent="0.25">
      <c r="B6" s="1" t="s">
        <v>8</v>
      </c>
      <c r="C6" s="13">
        <v>20</v>
      </c>
    </row>
    <row r="7" spans="2:10" ht="15" customHeight="1" x14ac:dyDescent="0.2">
      <c r="B7" s="1" t="s">
        <v>9</v>
      </c>
      <c r="C7" s="11">
        <v>56</v>
      </c>
      <c r="E7" s="29" t="str">
        <f>IF(ROUND(G211,2)&lt;&gt;0,"RESET","No RESET Required")</f>
        <v>No RESET Required</v>
      </c>
      <c r="F7" s="30"/>
    </row>
    <row r="8" spans="2:10" ht="15" customHeight="1" thickBot="1" x14ac:dyDescent="0.25">
      <c r="B8" s="1" t="s">
        <v>10</v>
      </c>
      <c r="C8" s="8">
        <v>63.646721674284578</v>
      </c>
      <c r="E8" s="31"/>
      <c r="F8" s="32"/>
    </row>
    <row r="9" spans="2:10" x14ac:dyDescent="0.2">
      <c r="C9" s="2"/>
      <c r="F9" s="3"/>
      <c r="G9" s="3"/>
      <c r="H9" s="3"/>
      <c r="I9" s="3"/>
      <c r="J9" s="3"/>
    </row>
    <row r="10" spans="2:10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10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>I11+$C$2</f>
        <v>250</v>
      </c>
      <c r="H11" s="2">
        <f>IF(C11&gt;$C$7,0,(G11)*$C$5/365)</f>
        <v>0.13013698630136986</v>
      </c>
      <c r="I11" s="2">
        <v>0</v>
      </c>
    </row>
    <row r="12" spans="2:10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>IF(C12&gt;$C$7,0,G11+H11+I11)</f>
        <v>250.13013698630138</v>
      </c>
      <c r="F12" s="2">
        <f>IF(C12&gt;$C$7,0,IF(ROUND(E12,0)&gt;0,IF(C12=0,0,IF(MOD(C12,$C$3)&gt;0,0,$C$8)),0))</f>
        <v>0</v>
      </c>
      <c r="G12" s="2">
        <f>IF(C12&gt;$C$7,G11,E12-F12)</f>
        <v>250.13013698630138</v>
      </c>
      <c r="H12" s="2">
        <f t="shared" ref="H12:H75" si="1">IF(C12&gt;$C$7,0,(G12)*$C$5/365)</f>
        <v>0.13020472884218429</v>
      </c>
      <c r="I12" s="2">
        <v>0</v>
      </c>
    </row>
    <row r="13" spans="2:10" x14ac:dyDescent="0.2">
      <c r="B13" s="4">
        <f t="shared" ref="B13:C28" ca="1" si="2">B12+1</f>
        <v>44050</v>
      </c>
      <c r="C13">
        <f t="shared" si="2"/>
        <v>2</v>
      </c>
      <c r="D13">
        <f t="shared" ca="1" si="0"/>
        <v>6</v>
      </c>
      <c r="E13" s="2">
        <f t="shared" ref="E13:E76" si="3">IF(C13&gt;$C$7,0,G12+H12+I12)</f>
        <v>250.26034171514357</v>
      </c>
      <c r="F13" s="2">
        <f t="shared" ref="F13:F76" si="4">IF(C13&gt;$C$7,0,IF(ROUND(E13,0)&gt;0,IF(C13=0,0,IF(MOD(C13,$C$3)&gt;0,0,$C$8)),0))</f>
        <v>0</v>
      </c>
      <c r="G13" s="2">
        <f t="shared" ref="G13:G76" si="5">IF(C13&gt;$C$7,G12,E13-F13)</f>
        <v>250.26034171514357</v>
      </c>
      <c r="H13" s="2">
        <f t="shared" si="1"/>
        <v>0.13027250664623913</v>
      </c>
      <c r="I13" s="2">
        <v>0</v>
      </c>
    </row>
    <row r="14" spans="2:10" x14ac:dyDescent="0.2">
      <c r="B14" s="4">
        <f t="shared" ca="1" si="2"/>
        <v>44051</v>
      </c>
      <c r="C14">
        <f t="shared" si="2"/>
        <v>3</v>
      </c>
      <c r="D14">
        <f t="shared" ca="1" si="0"/>
        <v>7</v>
      </c>
      <c r="E14" s="2">
        <f t="shared" si="3"/>
        <v>250.3906142217898</v>
      </c>
      <c r="F14" s="2">
        <f t="shared" si="4"/>
        <v>0</v>
      </c>
      <c r="G14" s="2">
        <f t="shared" si="5"/>
        <v>250.3906142217898</v>
      </c>
      <c r="H14" s="2">
        <f t="shared" si="1"/>
        <v>0.13034031973189059</v>
      </c>
      <c r="I14" s="2">
        <v>0</v>
      </c>
    </row>
    <row r="15" spans="2:10" x14ac:dyDescent="0.2">
      <c r="B15" s="4">
        <f t="shared" ca="1" si="2"/>
        <v>44052</v>
      </c>
      <c r="C15">
        <f t="shared" si="2"/>
        <v>4</v>
      </c>
      <c r="D15">
        <f t="shared" ca="1" si="0"/>
        <v>1</v>
      </c>
      <c r="E15" s="2">
        <f t="shared" si="3"/>
        <v>250.52095454152169</v>
      </c>
      <c r="F15" s="2">
        <f t="shared" si="4"/>
        <v>0</v>
      </c>
      <c r="G15" s="2">
        <f t="shared" si="5"/>
        <v>250.52095454152169</v>
      </c>
      <c r="H15" s="2">
        <f t="shared" si="1"/>
        <v>0.13040816811750444</v>
      </c>
      <c r="I15" s="2">
        <v>0</v>
      </c>
    </row>
    <row r="16" spans="2:10" x14ac:dyDescent="0.2">
      <c r="B16" s="4">
        <f t="shared" ca="1" si="2"/>
        <v>44053</v>
      </c>
      <c r="C16">
        <f t="shared" si="2"/>
        <v>5</v>
      </c>
      <c r="D16">
        <f t="shared" ca="1" si="0"/>
        <v>2</v>
      </c>
      <c r="E16" s="2">
        <f t="shared" si="3"/>
        <v>250.65136270963919</v>
      </c>
      <c r="F16" s="2">
        <f t="shared" si="4"/>
        <v>0</v>
      </c>
      <c r="G16" s="2">
        <f t="shared" si="5"/>
        <v>250.65136270963919</v>
      </c>
      <c r="H16" s="2">
        <f t="shared" si="1"/>
        <v>0.13047605182145602</v>
      </c>
      <c r="I16" s="2">
        <v>0</v>
      </c>
    </row>
    <row r="17" spans="2:9" x14ac:dyDescent="0.2">
      <c r="B17" s="4">
        <f t="shared" ca="1" si="2"/>
        <v>44054</v>
      </c>
      <c r="C17">
        <f t="shared" si="2"/>
        <v>6</v>
      </c>
      <c r="D17">
        <f t="shared" ca="1" si="0"/>
        <v>3</v>
      </c>
      <c r="E17" s="2">
        <f t="shared" si="3"/>
        <v>250.78183876146065</v>
      </c>
      <c r="F17" s="2">
        <f t="shared" si="4"/>
        <v>0</v>
      </c>
      <c r="G17" s="2">
        <f t="shared" si="5"/>
        <v>250.78183876146065</v>
      </c>
      <c r="H17" s="2">
        <f t="shared" si="1"/>
        <v>0.13054397086213018</v>
      </c>
      <c r="I17" s="2">
        <v>0</v>
      </c>
    </row>
    <row r="18" spans="2:9" x14ac:dyDescent="0.2">
      <c r="B18" s="4">
        <f t="shared" ca="1" si="2"/>
        <v>44055</v>
      </c>
      <c r="C18">
        <f t="shared" si="2"/>
        <v>7</v>
      </c>
      <c r="D18">
        <f t="shared" ca="1" si="0"/>
        <v>4</v>
      </c>
      <c r="E18" s="2">
        <f t="shared" si="3"/>
        <v>250.91238273232278</v>
      </c>
      <c r="F18" s="2">
        <f t="shared" si="4"/>
        <v>0</v>
      </c>
      <c r="G18" s="2">
        <f t="shared" si="5"/>
        <v>250.91238273232278</v>
      </c>
      <c r="H18" s="2">
        <f t="shared" si="1"/>
        <v>0.13061192525792145</v>
      </c>
      <c r="I18" s="2">
        <v>0</v>
      </c>
    </row>
    <row r="19" spans="2:9" x14ac:dyDescent="0.2">
      <c r="B19" s="4">
        <f t="shared" ca="1" si="2"/>
        <v>44056</v>
      </c>
      <c r="C19">
        <f t="shared" si="2"/>
        <v>8</v>
      </c>
      <c r="D19">
        <f t="shared" ca="1" si="0"/>
        <v>5</v>
      </c>
      <c r="E19" s="2">
        <f t="shared" si="3"/>
        <v>251.04299465758069</v>
      </c>
      <c r="F19" s="2">
        <f t="shared" si="4"/>
        <v>0</v>
      </c>
      <c r="G19" s="2">
        <f t="shared" si="5"/>
        <v>251.04299465758069</v>
      </c>
      <c r="H19" s="2">
        <f t="shared" si="1"/>
        <v>0.13067991502723378</v>
      </c>
      <c r="I19" s="2">
        <v>0</v>
      </c>
    </row>
    <row r="20" spans="2:9" x14ac:dyDescent="0.2">
      <c r="B20" s="4">
        <f t="shared" ca="1" si="2"/>
        <v>44057</v>
      </c>
      <c r="C20">
        <f t="shared" si="2"/>
        <v>9</v>
      </c>
      <c r="D20">
        <f t="shared" ca="1" si="0"/>
        <v>6</v>
      </c>
      <c r="E20" s="2">
        <f t="shared" si="3"/>
        <v>251.17367457260792</v>
      </c>
      <c r="F20" s="2">
        <f t="shared" si="4"/>
        <v>0</v>
      </c>
      <c r="G20" s="2">
        <f t="shared" si="5"/>
        <v>251.17367457260792</v>
      </c>
      <c r="H20" s="2">
        <f t="shared" si="1"/>
        <v>0.13074794018848085</v>
      </c>
      <c r="I20" s="2">
        <v>0</v>
      </c>
    </row>
    <row r="21" spans="2:9" x14ac:dyDescent="0.2">
      <c r="B21" s="4">
        <f t="shared" ca="1" si="2"/>
        <v>44058</v>
      </c>
      <c r="C21">
        <f t="shared" si="2"/>
        <v>10</v>
      </c>
      <c r="D21">
        <f t="shared" ca="1" si="0"/>
        <v>7</v>
      </c>
      <c r="E21" s="2">
        <f t="shared" si="3"/>
        <v>251.30442251279641</v>
      </c>
      <c r="F21" s="2">
        <f t="shared" si="4"/>
        <v>0</v>
      </c>
      <c r="G21" s="2">
        <f t="shared" si="5"/>
        <v>251.30442251279641</v>
      </c>
      <c r="H21" s="2">
        <f t="shared" si="1"/>
        <v>0.13081600076008579</v>
      </c>
      <c r="I21" s="2">
        <v>0</v>
      </c>
    </row>
    <row r="22" spans="2:9" x14ac:dyDescent="0.2">
      <c r="B22" s="4">
        <f t="shared" ca="1" si="2"/>
        <v>44059</v>
      </c>
      <c r="C22">
        <f t="shared" si="2"/>
        <v>11</v>
      </c>
      <c r="D22">
        <f t="shared" ca="1" si="0"/>
        <v>1</v>
      </c>
      <c r="E22" s="2">
        <f t="shared" si="3"/>
        <v>251.4352385135565</v>
      </c>
      <c r="F22" s="2">
        <f t="shared" si="4"/>
        <v>0</v>
      </c>
      <c r="G22" s="2">
        <f t="shared" si="5"/>
        <v>251.4352385135565</v>
      </c>
      <c r="H22" s="2">
        <f t="shared" si="1"/>
        <v>0.13088409676048149</v>
      </c>
      <c r="I22" s="2">
        <v>0</v>
      </c>
    </row>
    <row r="23" spans="2:9" x14ac:dyDescent="0.2">
      <c r="B23" s="4">
        <f t="shared" ca="1" si="2"/>
        <v>44060</v>
      </c>
      <c r="C23">
        <f t="shared" si="2"/>
        <v>12</v>
      </c>
      <c r="D23">
        <f t="shared" ca="1" si="0"/>
        <v>2</v>
      </c>
      <c r="E23" s="2">
        <f t="shared" si="3"/>
        <v>251.56612261031697</v>
      </c>
      <c r="F23" s="2">
        <f t="shared" si="4"/>
        <v>0</v>
      </c>
      <c r="G23" s="2">
        <f t="shared" si="5"/>
        <v>251.56612261031697</v>
      </c>
      <c r="H23" s="2">
        <f t="shared" si="1"/>
        <v>0.1309522282081102</v>
      </c>
      <c r="I23" s="2">
        <v>0</v>
      </c>
    </row>
    <row r="24" spans="2:9" x14ac:dyDescent="0.2">
      <c r="B24" s="4">
        <f t="shared" ca="1" si="2"/>
        <v>44061</v>
      </c>
      <c r="C24">
        <f t="shared" si="2"/>
        <v>13</v>
      </c>
      <c r="D24">
        <f t="shared" ca="1" si="0"/>
        <v>3</v>
      </c>
      <c r="E24" s="2">
        <f t="shared" si="3"/>
        <v>251.69707483852508</v>
      </c>
      <c r="F24" s="2">
        <f t="shared" si="4"/>
        <v>0</v>
      </c>
      <c r="G24" s="2">
        <f t="shared" si="5"/>
        <v>251.69707483852508</v>
      </c>
      <c r="H24" s="2">
        <f t="shared" si="1"/>
        <v>0.13102039512142402</v>
      </c>
      <c r="I24" s="2">
        <v>0</v>
      </c>
    </row>
    <row r="25" spans="2:9" x14ac:dyDescent="0.2">
      <c r="B25" s="4">
        <f t="shared" ca="1" si="2"/>
        <v>44062</v>
      </c>
      <c r="C25">
        <f t="shared" si="2"/>
        <v>14</v>
      </c>
      <c r="D25">
        <f t="shared" ca="1" si="0"/>
        <v>4</v>
      </c>
      <c r="E25" s="2">
        <f t="shared" si="3"/>
        <v>251.82809523364651</v>
      </c>
      <c r="F25" s="2">
        <f t="shared" si="4"/>
        <v>63.646721674284578</v>
      </c>
      <c r="G25" s="2">
        <f t="shared" si="5"/>
        <v>188.18137355936193</v>
      </c>
      <c r="H25" s="2">
        <f t="shared" si="1"/>
        <v>9.7957427332270586E-2</v>
      </c>
      <c r="I25" s="2">
        <v>0</v>
      </c>
    </row>
    <row r="26" spans="2:9" x14ac:dyDescent="0.2">
      <c r="B26" s="4">
        <f t="shared" ca="1" si="2"/>
        <v>44063</v>
      </c>
      <c r="C26">
        <f t="shared" si="2"/>
        <v>15</v>
      </c>
      <c r="D26">
        <f t="shared" ca="1" si="0"/>
        <v>5</v>
      </c>
      <c r="E26" s="2">
        <f t="shared" si="3"/>
        <v>188.27933098669419</v>
      </c>
      <c r="F26" s="2">
        <f t="shared" si="4"/>
        <v>0</v>
      </c>
      <c r="G26" s="2">
        <f t="shared" si="5"/>
        <v>188.27933098669419</v>
      </c>
      <c r="H26" s="2">
        <f t="shared" si="1"/>
        <v>9.8008418869786021E-2</v>
      </c>
      <c r="I26" s="2">
        <v>0</v>
      </c>
    </row>
    <row r="27" spans="2:9" x14ac:dyDescent="0.2">
      <c r="B27" s="4">
        <f t="shared" ca="1" si="2"/>
        <v>44064</v>
      </c>
      <c r="C27">
        <f t="shared" si="2"/>
        <v>16</v>
      </c>
      <c r="D27">
        <f t="shared" ca="1" si="0"/>
        <v>6</v>
      </c>
      <c r="E27" s="2">
        <f t="shared" si="3"/>
        <v>188.37733940556399</v>
      </c>
      <c r="F27" s="2">
        <f t="shared" si="4"/>
        <v>0</v>
      </c>
      <c r="G27" s="2">
        <f t="shared" si="5"/>
        <v>188.37733940556399</v>
      </c>
      <c r="H27" s="2">
        <f t="shared" si="1"/>
        <v>9.805943695084153E-2</v>
      </c>
      <c r="I27" s="2">
        <v>0</v>
      </c>
    </row>
    <row r="28" spans="2:9" x14ac:dyDescent="0.2">
      <c r="B28" s="4">
        <f t="shared" ca="1" si="2"/>
        <v>44065</v>
      </c>
      <c r="C28">
        <f t="shared" si="2"/>
        <v>17</v>
      </c>
      <c r="D28">
        <f t="shared" ca="1" si="0"/>
        <v>7</v>
      </c>
      <c r="E28" s="2">
        <f t="shared" si="3"/>
        <v>188.47539884251483</v>
      </c>
      <c r="F28" s="2">
        <f t="shared" si="4"/>
        <v>0</v>
      </c>
      <c r="G28" s="2">
        <f t="shared" si="5"/>
        <v>188.47539884251483</v>
      </c>
      <c r="H28" s="2">
        <f t="shared" si="1"/>
        <v>9.8110481589254298E-2</v>
      </c>
      <c r="I28" s="2">
        <v>0</v>
      </c>
    </row>
    <row r="29" spans="2:9" x14ac:dyDescent="0.2">
      <c r="B29" s="4">
        <f t="shared" ref="B29:C44" ca="1" si="6">B28+1</f>
        <v>44066</v>
      </c>
      <c r="C29">
        <f t="shared" si="6"/>
        <v>18</v>
      </c>
      <c r="D29">
        <f t="shared" ca="1" si="0"/>
        <v>1</v>
      </c>
      <c r="E29" s="2">
        <f t="shared" si="3"/>
        <v>188.57350932410409</v>
      </c>
      <c r="F29" s="2">
        <f t="shared" si="4"/>
        <v>0</v>
      </c>
      <c r="G29" s="2">
        <f t="shared" si="5"/>
        <v>188.57350932410409</v>
      </c>
      <c r="H29" s="2">
        <f t="shared" si="1"/>
        <v>9.8161552798848709E-2</v>
      </c>
      <c r="I29" s="2">
        <v>0</v>
      </c>
    </row>
    <row r="30" spans="2:9" x14ac:dyDescent="0.2">
      <c r="B30" s="4">
        <f t="shared" ca="1" si="6"/>
        <v>44067</v>
      </c>
      <c r="C30">
        <f t="shared" si="6"/>
        <v>19</v>
      </c>
      <c r="D30">
        <f t="shared" ca="1" si="0"/>
        <v>2</v>
      </c>
      <c r="E30" s="2">
        <f t="shared" si="3"/>
        <v>188.67167087690294</v>
      </c>
      <c r="F30" s="2">
        <f t="shared" si="4"/>
        <v>0</v>
      </c>
      <c r="G30" s="2">
        <f t="shared" si="5"/>
        <v>188.67167087690294</v>
      </c>
      <c r="H30" s="2">
        <f t="shared" si="1"/>
        <v>9.8212650593456324E-2</v>
      </c>
      <c r="I30" s="2">
        <v>0</v>
      </c>
    </row>
    <row r="31" spans="2:9" x14ac:dyDescent="0.2">
      <c r="B31" s="4">
        <f t="shared" ca="1" si="6"/>
        <v>44068</v>
      </c>
      <c r="C31">
        <f t="shared" si="6"/>
        <v>20</v>
      </c>
      <c r="D31">
        <f t="shared" ca="1" si="0"/>
        <v>3</v>
      </c>
      <c r="E31" s="2">
        <f t="shared" si="3"/>
        <v>188.7698835274964</v>
      </c>
      <c r="F31" s="2">
        <f t="shared" si="4"/>
        <v>0</v>
      </c>
      <c r="G31" s="2">
        <f t="shared" si="5"/>
        <v>188.7698835274964</v>
      </c>
      <c r="H31" s="2">
        <f t="shared" si="1"/>
        <v>9.8263774986915936E-2</v>
      </c>
      <c r="I31" s="2">
        <v>0</v>
      </c>
    </row>
    <row r="32" spans="2:9" x14ac:dyDescent="0.2">
      <c r="B32" s="4">
        <f t="shared" ca="1" si="6"/>
        <v>44069</v>
      </c>
      <c r="C32">
        <f t="shared" si="6"/>
        <v>21</v>
      </c>
      <c r="D32">
        <f t="shared" ca="1" si="0"/>
        <v>4</v>
      </c>
      <c r="E32" s="2">
        <f t="shared" si="3"/>
        <v>188.86814730248332</v>
      </c>
      <c r="F32" s="2">
        <f t="shared" si="4"/>
        <v>0</v>
      </c>
      <c r="G32" s="2">
        <f t="shared" si="5"/>
        <v>188.86814730248332</v>
      </c>
      <c r="H32" s="2">
        <f t="shared" si="1"/>
        <v>9.831492599307351E-2</v>
      </c>
      <c r="I32" s="2">
        <v>0</v>
      </c>
    </row>
    <row r="33" spans="2:9" x14ac:dyDescent="0.2">
      <c r="B33" s="4">
        <f t="shared" ca="1" si="6"/>
        <v>44070</v>
      </c>
      <c r="C33">
        <f t="shared" si="6"/>
        <v>22</v>
      </c>
      <c r="D33">
        <f t="shared" ca="1" si="0"/>
        <v>5</v>
      </c>
      <c r="E33" s="2">
        <f t="shared" si="3"/>
        <v>188.96646222847639</v>
      </c>
      <c r="F33" s="2">
        <f t="shared" si="4"/>
        <v>0</v>
      </c>
      <c r="G33" s="2">
        <f t="shared" si="5"/>
        <v>188.96646222847639</v>
      </c>
      <c r="H33" s="2">
        <f t="shared" si="1"/>
        <v>9.8366103625782242E-2</v>
      </c>
      <c r="I33" s="2">
        <v>0</v>
      </c>
    </row>
    <row r="34" spans="2:9" x14ac:dyDescent="0.2">
      <c r="B34" s="4">
        <f t="shared" ca="1" si="6"/>
        <v>44071</v>
      </c>
      <c r="C34">
        <f t="shared" si="6"/>
        <v>23</v>
      </c>
      <c r="D34">
        <f t="shared" ca="1" si="0"/>
        <v>6</v>
      </c>
      <c r="E34" s="2">
        <f t="shared" si="3"/>
        <v>189.06482833210217</v>
      </c>
      <c r="F34" s="2">
        <f t="shared" si="4"/>
        <v>0</v>
      </c>
      <c r="G34" s="2">
        <f t="shared" si="5"/>
        <v>189.06482833210217</v>
      </c>
      <c r="H34" s="2">
        <f t="shared" si="1"/>
        <v>9.8417307898902504E-2</v>
      </c>
      <c r="I34" s="2">
        <v>0</v>
      </c>
    </row>
    <row r="35" spans="2:9" x14ac:dyDescent="0.2">
      <c r="B35" s="4">
        <f t="shared" ca="1" si="6"/>
        <v>44072</v>
      </c>
      <c r="C35">
        <f t="shared" si="6"/>
        <v>24</v>
      </c>
      <c r="D35">
        <f t="shared" ca="1" si="0"/>
        <v>7</v>
      </c>
      <c r="E35" s="2">
        <f t="shared" si="3"/>
        <v>189.16324564000107</v>
      </c>
      <c r="F35" s="2">
        <f t="shared" si="4"/>
        <v>0</v>
      </c>
      <c r="G35" s="2">
        <f t="shared" si="5"/>
        <v>189.16324564000107</v>
      </c>
      <c r="H35" s="2">
        <f t="shared" si="1"/>
        <v>9.8468538826301924E-2</v>
      </c>
      <c r="I35" s="2">
        <v>0</v>
      </c>
    </row>
    <row r="36" spans="2:9" x14ac:dyDescent="0.2">
      <c r="B36" s="4">
        <f t="shared" ca="1" si="6"/>
        <v>44073</v>
      </c>
      <c r="C36">
        <f t="shared" si="6"/>
        <v>25</v>
      </c>
      <c r="D36">
        <f t="shared" ca="1" si="0"/>
        <v>1</v>
      </c>
      <c r="E36" s="2">
        <f t="shared" si="3"/>
        <v>189.26171417882736</v>
      </c>
      <c r="F36" s="2">
        <f t="shared" si="4"/>
        <v>0</v>
      </c>
      <c r="G36" s="2">
        <f t="shared" si="5"/>
        <v>189.26171417882736</v>
      </c>
      <c r="H36" s="2">
        <f t="shared" si="1"/>
        <v>9.8519796421855335E-2</v>
      </c>
      <c r="I36" s="2">
        <v>0</v>
      </c>
    </row>
    <row r="37" spans="2:9" x14ac:dyDescent="0.2">
      <c r="B37" s="4">
        <f t="shared" ca="1" si="6"/>
        <v>44074</v>
      </c>
      <c r="C37">
        <f t="shared" si="6"/>
        <v>26</v>
      </c>
      <c r="D37">
        <f t="shared" ca="1" si="0"/>
        <v>2</v>
      </c>
      <c r="E37" s="2">
        <f t="shared" si="3"/>
        <v>189.36023397524923</v>
      </c>
      <c r="F37" s="2">
        <f t="shared" si="4"/>
        <v>0</v>
      </c>
      <c r="G37" s="2">
        <f t="shared" si="5"/>
        <v>189.36023397524923</v>
      </c>
      <c r="H37" s="2">
        <f t="shared" si="1"/>
        <v>9.8571080699444813E-2</v>
      </c>
      <c r="I37" s="2">
        <v>0</v>
      </c>
    </row>
    <row r="38" spans="2:9" x14ac:dyDescent="0.2">
      <c r="B38" s="4">
        <f t="shared" ca="1" si="6"/>
        <v>44075</v>
      </c>
      <c r="C38">
        <f t="shared" si="6"/>
        <v>27</v>
      </c>
      <c r="D38">
        <f t="shared" ca="1" si="0"/>
        <v>3</v>
      </c>
      <c r="E38" s="2">
        <f t="shared" si="3"/>
        <v>189.45880505594869</v>
      </c>
      <c r="F38" s="2">
        <f t="shared" si="4"/>
        <v>0</v>
      </c>
      <c r="G38" s="2">
        <f t="shared" si="5"/>
        <v>189.45880505594869</v>
      </c>
      <c r="H38" s="2">
        <f t="shared" si="1"/>
        <v>9.8622391672959595E-2</v>
      </c>
      <c r="I38" s="2">
        <v>0</v>
      </c>
    </row>
    <row r="39" spans="2:9" x14ac:dyDescent="0.2">
      <c r="B39" s="4">
        <f t="shared" ca="1" si="6"/>
        <v>44076</v>
      </c>
      <c r="C39">
        <f t="shared" si="6"/>
        <v>28</v>
      </c>
      <c r="D39">
        <f t="shared" ca="1" si="0"/>
        <v>4</v>
      </c>
      <c r="E39" s="2">
        <f t="shared" si="3"/>
        <v>189.55742744762165</v>
      </c>
      <c r="F39" s="2">
        <f t="shared" si="4"/>
        <v>63.646721674284578</v>
      </c>
      <c r="G39" s="2">
        <f t="shared" si="5"/>
        <v>125.91070577333707</v>
      </c>
      <c r="H39" s="2">
        <f t="shared" si="1"/>
        <v>6.554255916968231E-2</v>
      </c>
      <c r="I39" s="2">
        <v>0</v>
      </c>
    </row>
    <row r="40" spans="2:9" x14ac:dyDescent="0.2">
      <c r="B40" s="4">
        <f t="shared" ca="1" si="6"/>
        <v>44077</v>
      </c>
      <c r="C40">
        <f t="shared" si="6"/>
        <v>29</v>
      </c>
      <c r="D40">
        <f t="shared" ca="1" si="0"/>
        <v>5</v>
      </c>
      <c r="E40" s="2">
        <f t="shared" si="3"/>
        <v>125.97624833250676</v>
      </c>
      <c r="F40" s="2">
        <f t="shared" si="4"/>
        <v>0</v>
      </c>
      <c r="G40" s="2">
        <f t="shared" si="5"/>
        <v>125.97624833250676</v>
      </c>
      <c r="H40" s="2">
        <f t="shared" si="1"/>
        <v>6.5576677214181603E-2</v>
      </c>
      <c r="I40" s="2">
        <v>0</v>
      </c>
    </row>
    <row r="41" spans="2:9" x14ac:dyDescent="0.2">
      <c r="B41" s="4">
        <f t="shared" ca="1" si="6"/>
        <v>44078</v>
      </c>
      <c r="C41">
        <f t="shared" si="6"/>
        <v>30</v>
      </c>
      <c r="D41">
        <f t="shared" ca="1" si="0"/>
        <v>6</v>
      </c>
      <c r="E41" s="2">
        <f t="shared" si="3"/>
        <v>126.04182500972094</v>
      </c>
      <c r="F41" s="2">
        <f t="shared" si="4"/>
        <v>0</v>
      </c>
      <c r="G41" s="2">
        <f t="shared" si="5"/>
        <v>126.04182500972094</v>
      </c>
      <c r="H41" s="2">
        <f t="shared" si="1"/>
        <v>6.5610813018758846E-2</v>
      </c>
      <c r="I41" s="2">
        <v>0</v>
      </c>
    </row>
    <row r="42" spans="2:9" x14ac:dyDescent="0.2">
      <c r="B42" s="4">
        <f t="shared" ca="1" si="6"/>
        <v>44079</v>
      </c>
      <c r="C42">
        <f t="shared" si="6"/>
        <v>31</v>
      </c>
      <c r="D42">
        <f t="shared" ca="1" si="0"/>
        <v>7</v>
      </c>
      <c r="E42" s="2">
        <f t="shared" si="3"/>
        <v>126.1074358227397</v>
      </c>
      <c r="F42" s="2">
        <f t="shared" si="4"/>
        <v>0</v>
      </c>
      <c r="G42" s="2">
        <f t="shared" si="5"/>
        <v>126.1074358227397</v>
      </c>
      <c r="H42" s="2">
        <f t="shared" si="1"/>
        <v>6.5644966592659032E-2</v>
      </c>
      <c r="I42" s="2">
        <v>0</v>
      </c>
    </row>
    <row r="43" spans="2:9" x14ac:dyDescent="0.2">
      <c r="B43" s="4">
        <f t="shared" ca="1" si="6"/>
        <v>44080</v>
      </c>
      <c r="C43">
        <f t="shared" si="6"/>
        <v>32</v>
      </c>
      <c r="D43">
        <f t="shared" ca="1" si="0"/>
        <v>1</v>
      </c>
      <c r="E43" s="2">
        <f t="shared" si="3"/>
        <v>126.17308078933236</v>
      </c>
      <c r="F43" s="2">
        <f t="shared" si="4"/>
        <v>0</v>
      </c>
      <c r="G43" s="2">
        <f t="shared" si="5"/>
        <v>126.17308078933236</v>
      </c>
      <c r="H43" s="2">
        <f t="shared" si="1"/>
        <v>6.5679137945131916E-2</v>
      </c>
      <c r="I43" s="2">
        <v>0</v>
      </c>
    </row>
    <row r="44" spans="2:9" x14ac:dyDescent="0.2">
      <c r="B44" s="4">
        <f t="shared" ca="1" si="6"/>
        <v>44081</v>
      </c>
      <c r="C44">
        <f t="shared" si="6"/>
        <v>33</v>
      </c>
      <c r="D44">
        <f t="shared" ca="1" si="0"/>
        <v>2</v>
      </c>
      <c r="E44" s="2">
        <f t="shared" si="3"/>
        <v>126.23875992727748</v>
      </c>
      <c r="F44" s="2">
        <f t="shared" si="4"/>
        <v>0</v>
      </c>
      <c r="G44" s="2">
        <f t="shared" si="5"/>
        <v>126.23875992727748</v>
      </c>
      <c r="H44" s="2">
        <f t="shared" si="1"/>
        <v>6.5713327085432122E-2</v>
      </c>
      <c r="I44" s="2">
        <v>0</v>
      </c>
    </row>
    <row r="45" spans="2:9" x14ac:dyDescent="0.2">
      <c r="B45" s="4">
        <f t="shared" ref="B45:C60" ca="1" si="7">B44+1</f>
        <v>44082</v>
      </c>
      <c r="C45">
        <f t="shared" si="7"/>
        <v>34</v>
      </c>
      <c r="D45">
        <f t="shared" ca="1" si="0"/>
        <v>3</v>
      </c>
      <c r="E45" s="2">
        <f t="shared" si="3"/>
        <v>126.30447325436292</v>
      </c>
      <c r="F45" s="2">
        <f t="shared" si="4"/>
        <v>0</v>
      </c>
      <c r="G45" s="2">
        <f t="shared" si="5"/>
        <v>126.30447325436292</v>
      </c>
      <c r="H45" s="2">
        <f t="shared" si="1"/>
        <v>6.5747534022819062E-2</v>
      </c>
      <c r="I45" s="2">
        <v>0</v>
      </c>
    </row>
    <row r="46" spans="2:9" x14ac:dyDescent="0.2">
      <c r="B46" s="4">
        <f t="shared" ca="1" si="7"/>
        <v>44083</v>
      </c>
      <c r="C46">
        <f t="shared" si="7"/>
        <v>35</v>
      </c>
      <c r="D46">
        <f t="shared" ca="1" si="0"/>
        <v>4</v>
      </c>
      <c r="E46" s="2">
        <f t="shared" si="3"/>
        <v>126.37022078838574</v>
      </c>
      <c r="F46" s="2">
        <f t="shared" si="4"/>
        <v>0</v>
      </c>
      <c r="G46" s="2">
        <f t="shared" si="5"/>
        <v>126.37022078838574</v>
      </c>
      <c r="H46" s="2">
        <f t="shared" si="1"/>
        <v>6.5781758766556953E-2</v>
      </c>
      <c r="I46" s="2">
        <v>0</v>
      </c>
    </row>
    <row r="47" spans="2:9" x14ac:dyDescent="0.2">
      <c r="B47" s="4">
        <f t="shared" ca="1" si="7"/>
        <v>44084</v>
      </c>
      <c r="C47">
        <f t="shared" si="7"/>
        <v>36</v>
      </c>
      <c r="D47">
        <f t="shared" ca="1" si="0"/>
        <v>5</v>
      </c>
      <c r="E47" s="2">
        <f t="shared" si="3"/>
        <v>126.4360025471523</v>
      </c>
      <c r="F47" s="2">
        <f t="shared" si="4"/>
        <v>0</v>
      </c>
      <c r="G47" s="2">
        <f t="shared" si="5"/>
        <v>126.4360025471523</v>
      </c>
      <c r="H47" s="2">
        <f t="shared" si="1"/>
        <v>6.5816001325914891E-2</v>
      </c>
      <c r="I47" s="2">
        <v>0</v>
      </c>
    </row>
    <row r="48" spans="2:9" x14ac:dyDescent="0.2">
      <c r="B48" s="4">
        <f t="shared" ca="1" si="7"/>
        <v>44085</v>
      </c>
      <c r="C48">
        <f t="shared" si="7"/>
        <v>37</v>
      </c>
      <c r="D48">
        <f t="shared" ca="1" si="0"/>
        <v>6</v>
      </c>
      <c r="E48" s="2">
        <f t="shared" si="3"/>
        <v>126.50181854847821</v>
      </c>
      <c r="F48" s="2">
        <f t="shared" si="4"/>
        <v>0</v>
      </c>
      <c r="G48" s="2">
        <f t="shared" si="5"/>
        <v>126.50181854847821</v>
      </c>
      <c r="H48" s="2">
        <f t="shared" si="1"/>
        <v>6.5850261710166738E-2</v>
      </c>
      <c r="I48" s="2">
        <v>0</v>
      </c>
    </row>
    <row r="49" spans="2:10" x14ac:dyDescent="0.2">
      <c r="B49" s="4">
        <f t="shared" ca="1" si="7"/>
        <v>44086</v>
      </c>
      <c r="C49">
        <f t="shared" si="7"/>
        <v>38</v>
      </c>
      <c r="D49">
        <f t="shared" ca="1" si="0"/>
        <v>7</v>
      </c>
      <c r="E49" s="2">
        <f t="shared" si="3"/>
        <v>126.56766881018838</v>
      </c>
      <c r="F49" s="2">
        <f t="shared" si="4"/>
        <v>0</v>
      </c>
      <c r="G49" s="2">
        <f t="shared" si="5"/>
        <v>126.56766881018838</v>
      </c>
      <c r="H49" s="2">
        <f t="shared" si="1"/>
        <v>6.588453992859121E-2</v>
      </c>
      <c r="I49" s="2">
        <v>0</v>
      </c>
    </row>
    <row r="50" spans="2:10" x14ac:dyDescent="0.2">
      <c r="B50" s="4">
        <f t="shared" ca="1" si="7"/>
        <v>44087</v>
      </c>
      <c r="C50">
        <f t="shared" si="7"/>
        <v>39</v>
      </c>
      <c r="D50">
        <f t="shared" ca="1" si="0"/>
        <v>1</v>
      </c>
      <c r="E50" s="2">
        <f t="shared" si="3"/>
        <v>126.63355335011697</v>
      </c>
      <c r="F50" s="2">
        <f t="shared" si="4"/>
        <v>0</v>
      </c>
      <c r="G50" s="2">
        <f t="shared" si="5"/>
        <v>126.63355335011697</v>
      </c>
      <c r="H50" s="2">
        <f t="shared" si="1"/>
        <v>6.5918835990471852E-2</v>
      </c>
      <c r="I50" s="2">
        <v>0</v>
      </c>
    </row>
    <row r="51" spans="2:10" x14ac:dyDescent="0.2">
      <c r="B51" s="4">
        <f t="shared" ca="1" si="7"/>
        <v>44088</v>
      </c>
      <c r="C51">
        <f t="shared" si="7"/>
        <v>40</v>
      </c>
      <c r="D51">
        <f t="shared" ca="1" si="0"/>
        <v>2</v>
      </c>
      <c r="E51" s="2">
        <f t="shared" si="3"/>
        <v>126.69947218610744</v>
      </c>
      <c r="F51" s="2">
        <f t="shared" si="4"/>
        <v>0</v>
      </c>
      <c r="G51" s="2">
        <f t="shared" si="5"/>
        <v>126.69947218610744</v>
      </c>
      <c r="H51" s="2">
        <f t="shared" si="1"/>
        <v>6.5953149905097028E-2</v>
      </c>
      <c r="I51" s="2">
        <v>0</v>
      </c>
    </row>
    <row r="52" spans="2:10" x14ac:dyDescent="0.2">
      <c r="B52" s="4">
        <f t="shared" ca="1" si="7"/>
        <v>44089</v>
      </c>
      <c r="C52">
        <f t="shared" si="7"/>
        <v>41</v>
      </c>
      <c r="D52">
        <f t="shared" ca="1" si="0"/>
        <v>3</v>
      </c>
      <c r="E52" s="2">
        <f t="shared" si="3"/>
        <v>126.76542533601254</v>
      </c>
      <c r="F52" s="2">
        <f t="shared" si="4"/>
        <v>0</v>
      </c>
      <c r="G52" s="2">
        <f t="shared" si="5"/>
        <v>126.76542533601254</v>
      </c>
      <c r="H52" s="2">
        <f t="shared" si="1"/>
        <v>6.5987481681759955E-2</v>
      </c>
      <c r="I52" s="2">
        <v>0</v>
      </c>
    </row>
    <row r="53" spans="2:10" x14ac:dyDescent="0.2">
      <c r="B53" s="4">
        <f t="shared" ca="1" si="7"/>
        <v>44090</v>
      </c>
      <c r="C53">
        <f t="shared" si="7"/>
        <v>42</v>
      </c>
      <c r="D53">
        <f t="shared" ca="1" si="0"/>
        <v>4</v>
      </c>
      <c r="E53" s="2">
        <f t="shared" si="3"/>
        <v>126.8314128176943</v>
      </c>
      <c r="F53" s="2">
        <f t="shared" si="4"/>
        <v>63.646721674284578</v>
      </c>
      <c r="G53" s="2">
        <f t="shared" si="5"/>
        <v>63.184691143409722</v>
      </c>
      <c r="H53" s="2">
        <f t="shared" si="1"/>
        <v>3.2890661143144789E-2</v>
      </c>
      <c r="I53" s="2">
        <v>0</v>
      </c>
      <c r="J53" s="5"/>
    </row>
    <row r="54" spans="2:10" x14ac:dyDescent="0.2">
      <c r="B54" s="4">
        <f t="shared" ca="1" si="7"/>
        <v>44091</v>
      </c>
      <c r="C54">
        <f t="shared" si="7"/>
        <v>43</v>
      </c>
      <c r="D54">
        <f t="shared" ca="1" si="0"/>
        <v>5</v>
      </c>
      <c r="E54" s="2">
        <f t="shared" si="3"/>
        <v>63.217581804552864</v>
      </c>
      <c r="F54" s="2">
        <f t="shared" si="4"/>
        <v>0</v>
      </c>
      <c r="G54" s="2">
        <f t="shared" si="5"/>
        <v>63.217581804552864</v>
      </c>
      <c r="H54" s="2">
        <f t="shared" si="1"/>
        <v>3.2907782309219299E-2</v>
      </c>
      <c r="I54" s="2">
        <v>0</v>
      </c>
    </row>
    <row r="55" spans="2:10" x14ac:dyDescent="0.2">
      <c r="B55" s="4">
        <f t="shared" ca="1" si="7"/>
        <v>44092</v>
      </c>
      <c r="C55">
        <f t="shared" si="7"/>
        <v>44</v>
      </c>
      <c r="D55">
        <f t="shared" ca="1" si="0"/>
        <v>6</v>
      </c>
      <c r="E55" s="2">
        <f t="shared" si="3"/>
        <v>63.250489586862081</v>
      </c>
      <c r="F55" s="2">
        <f t="shared" si="4"/>
        <v>0</v>
      </c>
      <c r="G55" s="2">
        <f t="shared" si="5"/>
        <v>63.250489586862081</v>
      </c>
      <c r="H55" s="2">
        <f t="shared" si="1"/>
        <v>3.292491238768163E-2</v>
      </c>
      <c r="I55" s="2">
        <v>0</v>
      </c>
    </row>
    <row r="56" spans="2:10" x14ac:dyDescent="0.2">
      <c r="B56" s="4">
        <f t="shared" ca="1" si="7"/>
        <v>44093</v>
      </c>
      <c r="C56">
        <f t="shared" si="7"/>
        <v>45</v>
      </c>
      <c r="D56">
        <f t="shared" ca="1" si="0"/>
        <v>7</v>
      </c>
      <c r="E56" s="2">
        <f t="shared" si="3"/>
        <v>63.283414499249766</v>
      </c>
      <c r="F56" s="2">
        <f t="shared" si="4"/>
        <v>0</v>
      </c>
      <c r="G56" s="2">
        <f t="shared" si="5"/>
        <v>63.283414499249766</v>
      </c>
      <c r="H56" s="2">
        <f t="shared" si="1"/>
        <v>3.2942051383171113E-2</v>
      </c>
      <c r="I56" s="2">
        <v>0</v>
      </c>
    </row>
    <row r="57" spans="2:10" x14ac:dyDescent="0.2">
      <c r="B57" s="4">
        <f t="shared" ca="1" si="7"/>
        <v>44094</v>
      </c>
      <c r="C57">
        <f t="shared" si="7"/>
        <v>46</v>
      </c>
      <c r="D57">
        <f t="shared" ca="1" si="0"/>
        <v>1</v>
      </c>
      <c r="E57" s="2">
        <f t="shared" si="3"/>
        <v>63.316356550632939</v>
      </c>
      <c r="F57" s="2">
        <f t="shared" si="4"/>
        <v>0</v>
      </c>
      <c r="G57" s="2">
        <f t="shared" si="5"/>
        <v>63.316356550632939</v>
      </c>
      <c r="H57" s="2">
        <f t="shared" si="1"/>
        <v>3.2959199300329471E-2</v>
      </c>
      <c r="I57" s="2">
        <v>0</v>
      </c>
    </row>
    <row r="58" spans="2:10" x14ac:dyDescent="0.2">
      <c r="B58" s="4">
        <f t="shared" ca="1" si="7"/>
        <v>44095</v>
      </c>
      <c r="C58">
        <f t="shared" si="7"/>
        <v>47</v>
      </c>
      <c r="D58">
        <f t="shared" ca="1" si="0"/>
        <v>2</v>
      </c>
      <c r="E58" s="2">
        <f t="shared" si="3"/>
        <v>63.349315749933268</v>
      </c>
      <c r="F58" s="2">
        <f t="shared" si="4"/>
        <v>0</v>
      </c>
      <c r="G58" s="2">
        <f t="shared" si="5"/>
        <v>63.349315749933268</v>
      </c>
      <c r="H58" s="2">
        <f t="shared" si="1"/>
        <v>3.2976356143800879E-2</v>
      </c>
      <c r="I58" s="2">
        <v>0</v>
      </c>
    </row>
    <row r="59" spans="2:10" x14ac:dyDescent="0.2">
      <c r="B59" s="4">
        <f t="shared" ca="1" si="7"/>
        <v>44096</v>
      </c>
      <c r="C59">
        <f t="shared" si="7"/>
        <v>48</v>
      </c>
      <c r="D59">
        <f t="shared" ca="1" si="0"/>
        <v>3</v>
      </c>
      <c r="E59" s="2">
        <f t="shared" si="3"/>
        <v>63.382292106077067</v>
      </c>
      <c r="F59" s="2">
        <f t="shared" si="4"/>
        <v>0</v>
      </c>
      <c r="G59" s="2">
        <f t="shared" si="5"/>
        <v>63.382292106077067</v>
      </c>
      <c r="H59" s="2">
        <f t="shared" si="1"/>
        <v>3.2993521918231898E-2</v>
      </c>
      <c r="I59" s="2">
        <v>0</v>
      </c>
    </row>
    <row r="60" spans="2:10" x14ac:dyDescent="0.2">
      <c r="B60" s="4">
        <f t="shared" ca="1" si="7"/>
        <v>44097</v>
      </c>
      <c r="C60">
        <f t="shared" si="7"/>
        <v>49</v>
      </c>
      <c r="D60">
        <f t="shared" ca="1" si="0"/>
        <v>4</v>
      </c>
      <c r="E60" s="2">
        <f t="shared" si="3"/>
        <v>63.415285627995296</v>
      </c>
      <c r="F60" s="2">
        <f t="shared" si="4"/>
        <v>0</v>
      </c>
      <c r="G60" s="2">
        <f t="shared" si="5"/>
        <v>63.415285627995296</v>
      </c>
      <c r="H60" s="2">
        <f t="shared" si="1"/>
        <v>3.3010696628271524E-2</v>
      </c>
      <c r="I60" s="2">
        <v>0</v>
      </c>
    </row>
    <row r="61" spans="2:10" x14ac:dyDescent="0.2">
      <c r="B61" s="4">
        <f t="shared" ref="B61:C76" ca="1" si="8">B60+1</f>
        <v>44098</v>
      </c>
      <c r="C61">
        <f t="shared" si="8"/>
        <v>50</v>
      </c>
      <c r="D61">
        <f t="shared" ca="1" si="0"/>
        <v>5</v>
      </c>
      <c r="E61" s="2">
        <f t="shared" si="3"/>
        <v>63.44829632462357</v>
      </c>
      <c r="F61" s="2">
        <f t="shared" si="4"/>
        <v>0</v>
      </c>
      <c r="G61" s="2">
        <f t="shared" si="5"/>
        <v>63.44829632462357</v>
      </c>
      <c r="H61" s="2">
        <f t="shared" si="1"/>
        <v>3.3027880278571176E-2</v>
      </c>
      <c r="I61" s="2">
        <v>0</v>
      </c>
    </row>
    <row r="62" spans="2:10" x14ac:dyDescent="0.2">
      <c r="B62" s="4">
        <f t="shared" ca="1" si="8"/>
        <v>44099</v>
      </c>
      <c r="C62">
        <f t="shared" si="8"/>
        <v>51</v>
      </c>
      <c r="D62">
        <f t="shared" ca="1" si="0"/>
        <v>6</v>
      </c>
      <c r="E62" s="2">
        <f t="shared" si="3"/>
        <v>63.481324204902144</v>
      </c>
      <c r="F62" s="2">
        <f t="shared" si="4"/>
        <v>0</v>
      </c>
      <c r="G62" s="2">
        <f t="shared" si="5"/>
        <v>63.481324204902144</v>
      </c>
      <c r="H62" s="2">
        <f t="shared" si="1"/>
        <v>3.3045072873784678E-2</v>
      </c>
      <c r="I62" s="2">
        <v>0</v>
      </c>
    </row>
    <row r="63" spans="2:10" x14ac:dyDescent="0.2">
      <c r="B63" s="4">
        <f t="shared" ca="1" si="8"/>
        <v>44100</v>
      </c>
      <c r="C63">
        <f t="shared" si="8"/>
        <v>52</v>
      </c>
      <c r="D63">
        <f t="shared" ca="1" si="0"/>
        <v>7</v>
      </c>
      <c r="E63" s="2">
        <f t="shared" si="3"/>
        <v>63.514369277775927</v>
      </c>
      <c r="F63" s="2">
        <f t="shared" si="4"/>
        <v>0</v>
      </c>
      <c r="G63" s="2">
        <f t="shared" si="5"/>
        <v>63.514369277775927</v>
      </c>
      <c r="H63" s="2">
        <f t="shared" si="1"/>
        <v>3.3062274418568294E-2</v>
      </c>
      <c r="I63" s="2">
        <v>0</v>
      </c>
    </row>
    <row r="64" spans="2:10" x14ac:dyDescent="0.2">
      <c r="B64" s="4">
        <f t="shared" ca="1" si="8"/>
        <v>44101</v>
      </c>
      <c r="C64">
        <f t="shared" si="8"/>
        <v>53</v>
      </c>
      <c r="D64">
        <f t="shared" ca="1" si="0"/>
        <v>1</v>
      </c>
      <c r="E64" s="2">
        <f t="shared" si="3"/>
        <v>63.547431552194496</v>
      </c>
      <c r="F64" s="2">
        <f t="shared" si="4"/>
        <v>0</v>
      </c>
      <c r="G64" s="2">
        <f t="shared" si="5"/>
        <v>63.547431552194496</v>
      </c>
      <c r="H64" s="2">
        <f t="shared" si="1"/>
        <v>3.3079484917580698E-2</v>
      </c>
      <c r="I64" s="2">
        <v>0</v>
      </c>
    </row>
    <row r="65" spans="2:9" x14ac:dyDescent="0.2">
      <c r="B65" s="4">
        <f t="shared" ca="1" si="8"/>
        <v>44102</v>
      </c>
      <c r="C65">
        <f t="shared" si="8"/>
        <v>54</v>
      </c>
      <c r="D65">
        <f t="shared" ca="1" si="0"/>
        <v>2</v>
      </c>
      <c r="E65" s="2">
        <f t="shared" si="3"/>
        <v>63.580511037112075</v>
      </c>
      <c r="F65" s="2">
        <f t="shared" si="4"/>
        <v>0</v>
      </c>
      <c r="G65" s="2">
        <f t="shared" si="5"/>
        <v>63.580511037112075</v>
      </c>
      <c r="H65" s="2">
        <f t="shared" si="1"/>
        <v>3.3096704375482996E-2</v>
      </c>
      <c r="I65" s="2">
        <v>0</v>
      </c>
    </row>
    <row r="66" spans="2:9" x14ac:dyDescent="0.2">
      <c r="B66" s="4">
        <f t="shared" ca="1" si="8"/>
        <v>44103</v>
      </c>
      <c r="C66">
        <f t="shared" si="8"/>
        <v>55</v>
      </c>
      <c r="D66">
        <f t="shared" ca="1" si="0"/>
        <v>3</v>
      </c>
      <c r="E66" s="2">
        <f t="shared" si="3"/>
        <v>63.613607741487556</v>
      </c>
      <c r="F66" s="2">
        <f t="shared" si="4"/>
        <v>0</v>
      </c>
      <c r="G66" s="2">
        <f t="shared" si="5"/>
        <v>63.613607741487556</v>
      </c>
      <c r="H66" s="2">
        <f t="shared" si="1"/>
        <v>3.3113932796938729E-2</v>
      </c>
      <c r="I66" s="2">
        <v>0</v>
      </c>
    </row>
    <row r="67" spans="2:9" x14ac:dyDescent="0.2">
      <c r="B67" s="4">
        <f t="shared" ca="1" si="8"/>
        <v>44104</v>
      </c>
      <c r="C67">
        <f t="shared" si="8"/>
        <v>56</v>
      </c>
      <c r="D67">
        <f t="shared" ca="1" si="0"/>
        <v>4</v>
      </c>
      <c r="E67" s="2">
        <f t="shared" si="3"/>
        <v>63.646721674284493</v>
      </c>
      <c r="F67" s="2">
        <f t="shared" si="4"/>
        <v>63.646721674284578</v>
      </c>
      <c r="G67" s="2">
        <f t="shared" si="5"/>
        <v>-8.5265128291212022E-14</v>
      </c>
      <c r="H67" s="2">
        <f t="shared" si="1"/>
        <v>-4.4384587329672019E-17</v>
      </c>
      <c r="I67" s="2">
        <v>0</v>
      </c>
    </row>
    <row r="68" spans="2:9" x14ac:dyDescent="0.2">
      <c r="B68" s="4">
        <f t="shared" ca="1" si="8"/>
        <v>44105</v>
      </c>
      <c r="C68">
        <f t="shared" si="8"/>
        <v>57</v>
      </c>
      <c r="D68">
        <f t="shared" ca="1" si="0"/>
        <v>5</v>
      </c>
      <c r="E68" s="2">
        <f t="shared" si="3"/>
        <v>0</v>
      </c>
      <c r="F68" s="2">
        <f t="shared" si="4"/>
        <v>0</v>
      </c>
      <c r="G68" s="2">
        <f t="shared" si="5"/>
        <v>-8.5265128291212022E-14</v>
      </c>
      <c r="H68" s="2">
        <f t="shared" si="1"/>
        <v>0</v>
      </c>
      <c r="I68" s="2">
        <v>0</v>
      </c>
    </row>
    <row r="69" spans="2:9" x14ac:dyDescent="0.2">
      <c r="B69" s="4">
        <f t="shared" ca="1" si="8"/>
        <v>44106</v>
      </c>
      <c r="C69">
        <f t="shared" si="8"/>
        <v>58</v>
      </c>
      <c r="D69">
        <f t="shared" ca="1" si="0"/>
        <v>6</v>
      </c>
      <c r="E69" s="2">
        <f t="shared" si="3"/>
        <v>0</v>
      </c>
      <c r="F69" s="2">
        <f t="shared" si="4"/>
        <v>0</v>
      </c>
      <c r="G69" s="2">
        <f t="shared" si="5"/>
        <v>-8.5265128291212022E-14</v>
      </c>
      <c r="H69" s="2">
        <f t="shared" si="1"/>
        <v>0</v>
      </c>
      <c r="I69" s="2">
        <v>0</v>
      </c>
    </row>
    <row r="70" spans="2:9" x14ac:dyDescent="0.2">
      <c r="B70" s="4">
        <f t="shared" ca="1" si="8"/>
        <v>44107</v>
      </c>
      <c r="C70">
        <f t="shared" si="8"/>
        <v>59</v>
      </c>
      <c r="D70">
        <f t="shared" ca="1" si="0"/>
        <v>7</v>
      </c>
      <c r="E70" s="2">
        <f t="shared" si="3"/>
        <v>0</v>
      </c>
      <c r="F70" s="2">
        <f t="shared" si="4"/>
        <v>0</v>
      </c>
      <c r="G70" s="2">
        <f t="shared" si="5"/>
        <v>-8.5265128291212022E-14</v>
      </c>
      <c r="H70" s="2">
        <f t="shared" si="1"/>
        <v>0</v>
      </c>
      <c r="I70" s="2">
        <v>0</v>
      </c>
    </row>
    <row r="71" spans="2:9" x14ac:dyDescent="0.2">
      <c r="B71" s="4">
        <f t="shared" ca="1" si="8"/>
        <v>44108</v>
      </c>
      <c r="C71">
        <f t="shared" si="8"/>
        <v>60</v>
      </c>
      <c r="D71">
        <f t="shared" ca="1" si="0"/>
        <v>1</v>
      </c>
      <c r="E71" s="2">
        <f t="shared" si="3"/>
        <v>0</v>
      </c>
      <c r="F71" s="2">
        <f t="shared" si="4"/>
        <v>0</v>
      </c>
      <c r="G71" s="2">
        <f t="shared" si="5"/>
        <v>-8.5265128291212022E-14</v>
      </c>
      <c r="H71" s="2">
        <f t="shared" si="1"/>
        <v>0</v>
      </c>
      <c r="I71" s="2">
        <v>0</v>
      </c>
    </row>
    <row r="72" spans="2:9" x14ac:dyDescent="0.2">
      <c r="B72" s="4">
        <f t="shared" ca="1" si="8"/>
        <v>44109</v>
      </c>
      <c r="C72">
        <f t="shared" si="8"/>
        <v>61</v>
      </c>
      <c r="D72">
        <f t="shared" ca="1" si="0"/>
        <v>2</v>
      </c>
      <c r="E72" s="2">
        <f t="shared" si="3"/>
        <v>0</v>
      </c>
      <c r="F72" s="2">
        <f t="shared" si="4"/>
        <v>0</v>
      </c>
      <c r="G72" s="2">
        <f t="shared" si="5"/>
        <v>-8.5265128291212022E-14</v>
      </c>
      <c r="H72" s="2">
        <f t="shared" si="1"/>
        <v>0</v>
      </c>
      <c r="I72" s="2">
        <v>0</v>
      </c>
    </row>
    <row r="73" spans="2:9" x14ac:dyDescent="0.2">
      <c r="B73" s="4">
        <f t="shared" ca="1" si="8"/>
        <v>44110</v>
      </c>
      <c r="C73">
        <f t="shared" si="8"/>
        <v>62</v>
      </c>
      <c r="D73">
        <f t="shared" ca="1" si="0"/>
        <v>3</v>
      </c>
      <c r="E73" s="2">
        <f t="shared" si="3"/>
        <v>0</v>
      </c>
      <c r="F73" s="2">
        <f t="shared" si="4"/>
        <v>0</v>
      </c>
      <c r="G73" s="2">
        <f t="shared" si="5"/>
        <v>-8.5265128291212022E-14</v>
      </c>
      <c r="H73" s="2">
        <f t="shared" si="1"/>
        <v>0</v>
      </c>
      <c r="I73" s="2">
        <v>0</v>
      </c>
    </row>
    <row r="74" spans="2:9" x14ac:dyDescent="0.2">
      <c r="B74" s="4">
        <f t="shared" ca="1" si="8"/>
        <v>44111</v>
      </c>
      <c r="C74">
        <f t="shared" si="8"/>
        <v>63</v>
      </c>
      <c r="D74">
        <f t="shared" ca="1" si="0"/>
        <v>4</v>
      </c>
      <c r="E74" s="2">
        <f t="shared" si="3"/>
        <v>0</v>
      </c>
      <c r="F74" s="2">
        <f t="shared" si="4"/>
        <v>0</v>
      </c>
      <c r="G74" s="2">
        <f t="shared" si="5"/>
        <v>-8.5265128291212022E-14</v>
      </c>
      <c r="H74" s="2">
        <f t="shared" si="1"/>
        <v>0</v>
      </c>
      <c r="I74" s="2">
        <v>0</v>
      </c>
    </row>
    <row r="75" spans="2:9" x14ac:dyDescent="0.2">
      <c r="B75" s="4">
        <f t="shared" ca="1" si="8"/>
        <v>44112</v>
      </c>
      <c r="C75">
        <f t="shared" si="8"/>
        <v>64</v>
      </c>
      <c r="D75">
        <f t="shared" ca="1" si="0"/>
        <v>5</v>
      </c>
      <c r="E75" s="2">
        <f t="shared" si="3"/>
        <v>0</v>
      </c>
      <c r="F75" s="2">
        <f t="shared" si="4"/>
        <v>0</v>
      </c>
      <c r="G75" s="2">
        <f t="shared" si="5"/>
        <v>-8.5265128291212022E-14</v>
      </c>
      <c r="H75" s="2">
        <f t="shared" si="1"/>
        <v>0</v>
      </c>
      <c r="I75" s="2">
        <v>0</v>
      </c>
    </row>
    <row r="76" spans="2:9" x14ac:dyDescent="0.2">
      <c r="B76" s="4">
        <f t="shared" ca="1" si="8"/>
        <v>44113</v>
      </c>
      <c r="C76">
        <f t="shared" si="8"/>
        <v>65</v>
      </c>
      <c r="D76">
        <f t="shared" ref="D76:D139" ca="1" si="9">WEEKDAY(B76,1)</f>
        <v>6</v>
      </c>
      <c r="E76" s="2">
        <f t="shared" si="3"/>
        <v>0</v>
      </c>
      <c r="F76" s="2">
        <f t="shared" si="4"/>
        <v>0</v>
      </c>
      <c r="G76" s="2">
        <f t="shared" si="5"/>
        <v>-8.5265128291212022E-14</v>
      </c>
      <c r="H76" s="2">
        <f t="shared" ref="H76:H139" si="10">IF(C76&gt;$C$7,0,(G76)*$C$5/365)</f>
        <v>0</v>
      </c>
      <c r="I76" s="2">
        <v>0</v>
      </c>
    </row>
    <row r="77" spans="2:9" x14ac:dyDescent="0.2">
      <c r="B77" s="4">
        <f t="shared" ref="B77:C92" ca="1" si="11">B76+1</f>
        <v>44114</v>
      </c>
      <c r="C77">
        <f t="shared" si="11"/>
        <v>66</v>
      </c>
      <c r="D77">
        <f t="shared" ca="1" si="9"/>
        <v>7</v>
      </c>
      <c r="E77" s="2">
        <f t="shared" ref="E77:E140" si="12">IF(C77&gt;$C$7,0,G76+H76+I76)</f>
        <v>0</v>
      </c>
      <c r="F77" s="2">
        <f t="shared" ref="F77:F140" si="13">IF(C77&gt;$C$7,0,IF(ROUND(E77,0)&gt;0,IF(C77=0,0,IF(MOD(C77,$C$3)&gt;0,0,$C$8)),0))</f>
        <v>0</v>
      </c>
      <c r="G77" s="2">
        <f t="shared" ref="G77:G140" si="14">IF(C77&gt;$C$7,G76,E77-F77)</f>
        <v>-8.5265128291212022E-14</v>
      </c>
      <c r="H77" s="2">
        <f t="shared" si="10"/>
        <v>0</v>
      </c>
      <c r="I77" s="2">
        <v>0</v>
      </c>
    </row>
    <row r="78" spans="2:9" x14ac:dyDescent="0.2">
      <c r="B78" s="4">
        <f t="shared" ca="1" si="11"/>
        <v>44115</v>
      </c>
      <c r="C78">
        <f t="shared" si="11"/>
        <v>67</v>
      </c>
      <c r="D78">
        <f t="shared" ca="1" si="9"/>
        <v>1</v>
      </c>
      <c r="E78" s="2">
        <f t="shared" si="12"/>
        <v>0</v>
      </c>
      <c r="F78" s="2">
        <f t="shared" si="13"/>
        <v>0</v>
      </c>
      <c r="G78" s="2">
        <f t="shared" si="14"/>
        <v>-8.5265128291212022E-14</v>
      </c>
      <c r="H78" s="2">
        <f t="shared" si="10"/>
        <v>0</v>
      </c>
      <c r="I78" s="2">
        <v>0</v>
      </c>
    </row>
    <row r="79" spans="2:9" x14ac:dyDescent="0.2">
      <c r="B79" s="4">
        <f t="shared" ca="1" si="11"/>
        <v>44116</v>
      </c>
      <c r="C79">
        <f t="shared" si="11"/>
        <v>68</v>
      </c>
      <c r="D79">
        <f t="shared" ca="1" si="9"/>
        <v>2</v>
      </c>
      <c r="E79" s="2">
        <f t="shared" si="12"/>
        <v>0</v>
      </c>
      <c r="F79" s="2">
        <f t="shared" si="13"/>
        <v>0</v>
      </c>
      <c r="G79" s="2">
        <f t="shared" si="14"/>
        <v>-8.5265128291212022E-14</v>
      </c>
      <c r="H79" s="2">
        <f t="shared" si="10"/>
        <v>0</v>
      </c>
      <c r="I79" s="2">
        <v>0</v>
      </c>
    </row>
    <row r="80" spans="2:9" x14ac:dyDescent="0.2">
      <c r="B80" s="4">
        <f t="shared" ca="1" si="11"/>
        <v>44117</v>
      </c>
      <c r="C80">
        <f t="shared" si="11"/>
        <v>69</v>
      </c>
      <c r="D80">
        <f t="shared" ca="1" si="9"/>
        <v>3</v>
      </c>
      <c r="E80" s="2">
        <f t="shared" si="12"/>
        <v>0</v>
      </c>
      <c r="F80" s="2">
        <f t="shared" si="13"/>
        <v>0</v>
      </c>
      <c r="G80" s="2">
        <f t="shared" si="14"/>
        <v>-8.5265128291212022E-14</v>
      </c>
      <c r="H80" s="2">
        <f t="shared" si="10"/>
        <v>0</v>
      </c>
      <c r="I80" s="2">
        <v>0</v>
      </c>
    </row>
    <row r="81" spans="2:9" x14ac:dyDescent="0.2">
      <c r="B81" s="4">
        <f t="shared" ca="1" si="11"/>
        <v>44118</v>
      </c>
      <c r="C81">
        <f t="shared" si="11"/>
        <v>70</v>
      </c>
      <c r="D81">
        <f t="shared" ca="1" si="9"/>
        <v>4</v>
      </c>
      <c r="E81" s="2">
        <f t="shared" si="12"/>
        <v>0</v>
      </c>
      <c r="F81" s="2">
        <f t="shared" si="13"/>
        <v>0</v>
      </c>
      <c r="G81" s="2">
        <f t="shared" si="14"/>
        <v>-8.5265128291212022E-14</v>
      </c>
      <c r="H81" s="2">
        <f t="shared" si="10"/>
        <v>0</v>
      </c>
      <c r="I81" s="2">
        <v>0</v>
      </c>
    </row>
    <row r="82" spans="2:9" x14ac:dyDescent="0.2">
      <c r="B82" s="4">
        <f t="shared" ca="1" si="11"/>
        <v>44119</v>
      </c>
      <c r="C82">
        <f t="shared" si="11"/>
        <v>71</v>
      </c>
      <c r="D82">
        <f t="shared" ca="1" si="9"/>
        <v>5</v>
      </c>
      <c r="E82" s="2">
        <f t="shared" si="12"/>
        <v>0</v>
      </c>
      <c r="F82" s="2">
        <f t="shared" si="13"/>
        <v>0</v>
      </c>
      <c r="G82" s="2">
        <f t="shared" si="14"/>
        <v>-8.5265128291212022E-14</v>
      </c>
      <c r="H82" s="2">
        <f t="shared" si="10"/>
        <v>0</v>
      </c>
      <c r="I82" s="2">
        <v>0</v>
      </c>
    </row>
    <row r="83" spans="2:9" x14ac:dyDescent="0.2">
      <c r="B83" s="4">
        <f t="shared" ca="1" si="11"/>
        <v>44120</v>
      </c>
      <c r="C83">
        <f t="shared" si="11"/>
        <v>72</v>
      </c>
      <c r="D83">
        <f t="shared" ca="1" si="9"/>
        <v>6</v>
      </c>
      <c r="E83" s="2">
        <f t="shared" si="12"/>
        <v>0</v>
      </c>
      <c r="F83" s="2">
        <f t="shared" si="13"/>
        <v>0</v>
      </c>
      <c r="G83" s="2">
        <f t="shared" si="14"/>
        <v>-8.5265128291212022E-14</v>
      </c>
      <c r="H83" s="2">
        <f t="shared" si="10"/>
        <v>0</v>
      </c>
      <c r="I83" s="2">
        <v>0</v>
      </c>
    </row>
    <row r="84" spans="2:9" x14ac:dyDescent="0.2">
      <c r="B84" s="4">
        <f t="shared" ca="1" si="11"/>
        <v>44121</v>
      </c>
      <c r="C84">
        <f t="shared" si="11"/>
        <v>73</v>
      </c>
      <c r="D84">
        <f t="shared" ca="1" si="9"/>
        <v>7</v>
      </c>
      <c r="E84" s="2">
        <f t="shared" si="12"/>
        <v>0</v>
      </c>
      <c r="F84" s="2">
        <f t="shared" si="13"/>
        <v>0</v>
      </c>
      <c r="G84" s="2">
        <f t="shared" si="14"/>
        <v>-8.5265128291212022E-14</v>
      </c>
      <c r="H84" s="2">
        <f t="shared" si="10"/>
        <v>0</v>
      </c>
      <c r="I84" s="2">
        <v>0</v>
      </c>
    </row>
    <row r="85" spans="2:9" x14ac:dyDescent="0.2">
      <c r="B85" s="4">
        <f t="shared" ca="1" si="11"/>
        <v>44122</v>
      </c>
      <c r="C85">
        <f t="shared" si="11"/>
        <v>74</v>
      </c>
      <c r="D85">
        <f t="shared" ca="1" si="9"/>
        <v>1</v>
      </c>
      <c r="E85" s="2">
        <f t="shared" si="12"/>
        <v>0</v>
      </c>
      <c r="F85" s="2">
        <f t="shared" si="13"/>
        <v>0</v>
      </c>
      <c r="G85" s="2">
        <f t="shared" si="14"/>
        <v>-8.5265128291212022E-14</v>
      </c>
      <c r="H85" s="2">
        <f t="shared" si="10"/>
        <v>0</v>
      </c>
      <c r="I85" s="2">
        <v>0</v>
      </c>
    </row>
    <row r="86" spans="2:9" x14ac:dyDescent="0.2">
      <c r="B86" s="4">
        <f t="shared" ca="1" si="11"/>
        <v>44123</v>
      </c>
      <c r="C86">
        <f t="shared" si="11"/>
        <v>75</v>
      </c>
      <c r="D86">
        <f t="shared" ca="1" si="9"/>
        <v>2</v>
      </c>
      <c r="E86" s="2">
        <f t="shared" si="12"/>
        <v>0</v>
      </c>
      <c r="F86" s="2">
        <f t="shared" si="13"/>
        <v>0</v>
      </c>
      <c r="G86" s="2">
        <f t="shared" si="14"/>
        <v>-8.5265128291212022E-14</v>
      </c>
      <c r="H86" s="2">
        <f t="shared" si="10"/>
        <v>0</v>
      </c>
      <c r="I86" s="2">
        <v>0</v>
      </c>
    </row>
    <row r="87" spans="2:9" x14ac:dyDescent="0.2">
      <c r="B87" s="4">
        <f t="shared" ca="1" si="11"/>
        <v>44124</v>
      </c>
      <c r="C87">
        <f t="shared" si="11"/>
        <v>76</v>
      </c>
      <c r="D87">
        <f t="shared" ca="1" si="9"/>
        <v>3</v>
      </c>
      <c r="E87" s="2">
        <f t="shared" si="12"/>
        <v>0</v>
      </c>
      <c r="F87" s="2">
        <f t="shared" si="13"/>
        <v>0</v>
      </c>
      <c r="G87" s="2">
        <f t="shared" si="14"/>
        <v>-8.5265128291212022E-14</v>
      </c>
      <c r="H87" s="2">
        <f t="shared" si="10"/>
        <v>0</v>
      </c>
      <c r="I87" s="2">
        <v>0</v>
      </c>
    </row>
    <row r="88" spans="2:9" x14ac:dyDescent="0.2">
      <c r="B88" s="4">
        <f t="shared" ca="1" si="11"/>
        <v>44125</v>
      </c>
      <c r="C88">
        <f t="shared" si="11"/>
        <v>77</v>
      </c>
      <c r="D88">
        <f t="shared" ca="1" si="9"/>
        <v>4</v>
      </c>
      <c r="E88" s="2">
        <f t="shared" si="12"/>
        <v>0</v>
      </c>
      <c r="F88" s="2">
        <f t="shared" si="13"/>
        <v>0</v>
      </c>
      <c r="G88" s="2">
        <f t="shared" si="14"/>
        <v>-8.5265128291212022E-14</v>
      </c>
      <c r="H88" s="2">
        <f t="shared" si="10"/>
        <v>0</v>
      </c>
      <c r="I88" s="2">
        <v>0</v>
      </c>
    </row>
    <row r="89" spans="2:9" x14ac:dyDescent="0.2">
      <c r="B89" s="4">
        <f t="shared" ca="1" si="11"/>
        <v>44126</v>
      </c>
      <c r="C89">
        <f t="shared" si="11"/>
        <v>78</v>
      </c>
      <c r="D89">
        <f t="shared" ca="1" si="9"/>
        <v>5</v>
      </c>
      <c r="E89" s="2">
        <f t="shared" si="12"/>
        <v>0</v>
      </c>
      <c r="F89" s="2">
        <f t="shared" si="13"/>
        <v>0</v>
      </c>
      <c r="G89" s="2">
        <f t="shared" si="14"/>
        <v>-8.5265128291212022E-14</v>
      </c>
      <c r="H89" s="2">
        <f t="shared" si="10"/>
        <v>0</v>
      </c>
      <c r="I89" s="2">
        <v>0</v>
      </c>
    </row>
    <row r="90" spans="2:9" x14ac:dyDescent="0.2">
      <c r="B90" s="4">
        <f t="shared" ca="1" si="11"/>
        <v>44127</v>
      </c>
      <c r="C90">
        <f t="shared" si="11"/>
        <v>79</v>
      </c>
      <c r="D90">
        <f t="shared" ca="1" si="9"/>
        <v>6</v>
      </c>
      <c r="E90" s="2">
        <f t="shared" si="12"/>
        <v>0</v>
      </c>
      <c r="F90" s="2">
        <f t="shared" si="13"/>
        <v>0</v>
      </c>
      <c r="G90" s="2">
        <f t="shared" si="14"/>
        <v>-8.5265128291212022E-14</v>
      </c>
      <c r="H90" s="2">
        <f t="shared" si="10"/>
        <v>0</v>
      </c>
      <c r="I90" s="2">
        <v>0</v>
      </c>
    </row>
    <row r="91" spans="2:9" x14ac:dyDescent="0.2">
      <c r="B91" s="4">
        <f t="shared" ca="1" si="11"/>
        <v>44128</v>
      </c>
      <c r="C91">
        <f t="shared" si="11"/>
        <v>80</v>
      </c>
      <c r="D91">
        <f t="shared" ca="1" si="9"/>
        <v>7</v>
      </c>
      <c r="E91" s="2">
        <f t="shared" si="12"/>
        <v>0</v>
      </c>
      <c r="F91" s="2">
        <f t="shared" si="13"/>
        <v>0</v>
      </c>
      <c r="G91" s="2">
        <f t="shared" si="14"/>
        <v>-8.5265128291212022E-14</v>
      </c>
      <c r="H91" s="2">
        <f t="shared" si="10"/>
        <v>0</v>
      </c>
      <c r="I91" s="2">
        <v>0</v>
      </c>
    </row>
    <row r="92" spans="2:9" x14ac:dyDescent="0.2">
      <c r="B92" s="4">
        <f t="shared" ca="1" si="11"/>
        <v>44129</v>
      </c>
      <c r="C92">
        <f t="shared" si="11"/>
        <v>81</v>
      </c>
      <c r="D92">
        <f t="shared" ca="1" si="9"/>
        <v>1</v>
      </c>
      <c r="E92" s="2">
        <f t="shared" si="12"/>
        <v>0</v>
      </c>
      <c r="F92" s="2">
        <f t="shared" si="13"/>
        <v>0</v>
      </c>
      <c r="G92" s="2">
        <f t="shared" si="14"/>
        <v>-8.5265128291212022E-14</v>
      </c>
      <c r="H92" s="2">
        <f t="shared" si="10"/>
        <v>0</v>
      </c>
      <c r="I92" s="2">
        <v>0</v>
      </c>
    </row>
    <row r="93" spans="2:9" x14ac:dyDescent="0.2">
      <c r="B93" s="4">
        <f t="shared" ref="B93:C108" ca="1" si="15">B92+1</f>
        <v>44130</v>
      </c>
      <c r="C93">
        <f t="shared" si="15"/>
        <v>82</v>
      </c>
      <c r="D93">
        <f t="shared" ca="1" si="9"/>
        <v>2</v>
      </c>
      <c r="E93" s="2">
        <f t="shared" si="12"/>
        <v>0</v>
      </c>
      <c r="F93" s="2">
        <f t="shared" si="13"/>
        <v>0</v>
      </c>
      <c r="G93" s="2">
        <f t="shared" si="14"/>
        <v>-8.5265128291212022E-14</v>
      </c>
      <c r="H93" s="2">
        <f t="shared" si="10"/>
        <v>0</v>
      </c>
      <c r="I93" s="2">
        <v>0</v>
      </c>
    </row>
    <row r="94" spans="2:9" x14ac:dyDescent="0.2">
      <c r="B94" s="4">
        <f t="shared" ca="1" si="15"/>
        <v>44131</v>
      </c>
      <c r="C94">
        <f t="shared" si="15"/>
        <v>83</v>
      </c>
      <c r="D94">
        <f t="shared" ca="1" si="9"/>
        <v>3</v>
      </c>
      <c r="E94" s="2">
        <f t="shared" si="12"/>
        <v>0</v>
      </c>
      <c r="F94" s="2">
        <f t="shared" si="13"/>
        <v>0</v>
      </c>
      <c r="G94" s="2">
        <f t="shared" si="14"/>
        <v>-8.5265128291212022E-14</v>
      </c>
      <c r="H94" s="2">
        <f t="shared" si="10"/>
        <v>0</v>
      </c>
      <c r="I94" s="2">
        <v>0</v>
      </c>
    </row>
    <row r="95" spans="2:9" x14ac:dyDescent="0.2">
      <c r="B95" s="4">
        <f t="shared" ca="1" si="15"/>
        <v>44132</v>
      </c>
      <c r="C95">
        <f t="shared" si="15"/>
        <v>84</v>
      </c>
      <c r="D95">
        <f t="shared" ca="1" si="9"/>
        <v>4</v>
      </c>
      <c r="E95" s="2">
        <f t="shared" si="12"/>
        <v>0</v>
      </c>
      <c r="F95" s="2">
        <f t="shared" si="13"/>
        <v>0</v>
      </c>
      <c r="G95" s="2">
        <f t="shared" si="14"/>
        <v>-8.5265128291212022E-14</v>
      </c>
      <c r="H95" s="2">
        <f t="shared" si="10"/>
        <v>0</v>
      </c>
      <c r="I95" s="2">
        <v>0</v>
      </c>
    </row>
    <row r="96" spans="2:9" x14ac:dyDescent="0.2">
      <c r="B96" s="4">
        <f t="shared" ca="1" si="15"/>
        <v>44133</v>
      </c>
      <c r="C96">
        <f t="shared" si="15"/>
        <v>85</v>
      </c>
      <c r="D96">
        <f t="shared" ca="1" si="9"/>
        <v>5</v>
      </c>
      <c r="E96" s="2">
        <f t="shared" si="12"/>
        <v>0</v>
      </c>
      <c r="F96" s="2">
        <f t="shared" si="13"/>
        <v>0</v>
      </c>
      <c r="G96" s="2">
        <f t="shared" si="14"/>
        <v>-8.5265128291212022E-14</v>
      </c>
      <c r="H96" s="2">
        <f t="shared" si="10"/>
        <v>0</v>
      </c>
      <c r="I96" s="2">
        <v>0</v>
      </c>
    </row>
    <row r="97" spans="2:9" x14ac:dyDescent="0.2">
      <c r="B97" s="4">
        <f t="shared" ca="1" si="15"/>
        <v>44134</v>
      </c>
      <c r="C97">
        <f t="shared" si="15"/>
        <v>86</v>
      </c>
      <c r="D97">
        <f t="shared" ca="1" si="9"/>
        <v>6</v>
      </c>
      <c r="E97" s="2">
        <f t="shared" si="12"/>
        <v>0</v>
      </c>
      <c r="F97" s="2">
        <f t="shared" si="13"/>
        <v>0</v>
      </c>
      <c r="G97" s="2">
        <f t="shared" si="14"/>
        <v>-8.5265128291212022E-14</v>
      </c>
      <c r="H97" s="2">
        <f t="shared" si="10"/>
        <v>0</v>
      </c>
      <c r="I97" s="2">
        <v>0</v>
      </c>
    </row>
    <row r="98" spans="2:9" x14ac:dyDescent="0.2">
      <c r="B98" s="4">
        <f t="shared" ca="1" si="15"/>
        <v>44135</v>
      </c>
      <c r="C98">
        <f t="shared" si="15"/>
        <v>87</v>
      </c>
      <c r="D98">
        <f t="shared" ca="1" si="9"/>
        <v>7</v>
      </c>
      <c r="E98" s="2">
        <f t="shared" si="12"/>
        <v>0</v>
      </c>
      <c r="F98" s="2">
        <f t="shared" si="13"/>
        <v>0</v>
      </c>
      <c r="G98" s="2">
        <f t="shared" si="14"/>
        <v>-8.5265128291212022E-14</v>
      </c>
      <c r="H98" s="2">
        <f t="shared" si="10"/>
        <v>0</v>
      </c>
      <c r="I98" s="2">
        <v>0</v>
      </c>
    </row>
    <row r="99" spans="2:9" x14ac:dyDescent="0.2">
      <c r="B99" s="4">
        <f t="shared" ca="1" si="15"/>
        <v>44136</v>
      </c>
      <c r="C99">
        <f t="shared" si="15"/>
        <v>88</v>
      </c>
      <c r="D99">
        <f t="shared" ca="1" si="9"/>
        <v>1</v>
      </c>
      <c r="E99" s="2">
        <f t="shared" si="12"/>
        <v>0</v>
      </c>
      <c r="F99" s="2">
        <f t="shared" si="13"/>
        <v>0</v>
      </c>
      <c r="G99" s="2">
        <f t="shared" si="14"/>
        <v>-8.5265128291212022E-14</v>
      </c>
      <c r="H99" s="2">
        <f t="shared" si="10"/>
        <v>0</v>
      </c>
      <c r="I99" s="2">
        <v>0</v>
      </c>
    </row>
    <row r="100" spans="2:9" x14ac:dyDescent="0.2">
      <c r="B100" s="4">
        <f t="shared" ca="1" si="15"/>
        <v>44137</v>
      </c>
      <c r="C100">
        <f t="shared" si="15"/>
        <v>89</v>
      </c>
      <c r="D100">
        <f t="shared" ca="1" si="9"/>
        <v>2</v>
      </c>
      <c r="E100" s="2">
        <f t="shared" si="12"/>
        <v>0</v>
      </c>
      <c r="F100" s="2">
        <f t="shared" si="13"/>
        <v>0</v>
      </c>
      <c r="G100" s="2">
        <f t="shared" si="14"/>
        <v>-8.5265128291212022E-14</v>
      </c>
      <c r="H100" s="2">
        <f t="shared" si="10"/>
        <v>0</v>
      </c>
      <c r="I100" s="2">
        <v>0</v>
      </c>
    </row>
    <row r="101" spans="2:9" x14ac:dyDescent="0.2">
      <c r="B101" s="4">
        <f t="shared" ca="1" si="15"/>
        <v>44138</v>
      </c>
      <c r="C101">
        <f t="shared" si="15"/>
        <v>90</v>
      </c>
      <c r="D101">
        <f t="shared" ca="1" si="9"/>
        <v>3</v>
      </c>
      <c r="E101" s="2">
        <f t="shared" si="12"/>
        <v>0</v>
      </c>
      <c r="F101" s="2">
        <f t="shared" si="13"/>
        <v>0</v>
      </c>
      <c r="G101" s="2">
        <f t="shared" si="14"/>
        <v>-8.5265128291212022E-14</v>
      </c>
      <c r="H101" s="2">
        <f t="shared" si="10"/>
        <v>0</v>
      </c>
      <c r="I101" s="2">
        <v>0</v>
      </c>
    </row>
    <row r="102" spans="2:9" x14ac:dyDescent="0.2">
      <c r="B102" s="4">
        <f t="shared" ca="1" si="15"/>
        <v>44139</v>
      </c>
      <c r="C102">
        <f t="shared" si="15"/>
        <v>91</v>
      </c>
      <c r="D102">
        <f t="shared" ca="1" si="9"/>
        <v>4</v>
      </c>
      <c r="E102" s="2">
        <f t="shared" si="12"/>
        <v>0</v>
      </c>
      <c r="F102" s="2">
        <f t="shared" si="13"/>
        <v>0</v>
      </c>
      <c r="G102" s="2">
        <f t="shared" si="14"/>
        <v>-8.5265128291212022E-14</v>
      </c>
      <c r="H102" s="2">
        <f t="shared" si="10"/>
        <v>0</v>
      </c>
      <c r="I102" s="2">
        <v>0</v>
      </c>
    </row>
    <row r="103" spans="2:9" x14ac:dyDescent="0.2">
      <c r="B103" s="4">
        <f t="shared" ca="1" si="15"/>
        <v>44140</v>
      </c>
      <c r="C103">
        <f t="shared" si="15"/>
        <v>92</v>
      </c>
      <c r="D103">
        <f t="shared" ca="1" si="9"/>
        <v>5</v>
      </c>
      <c r="E103" s="2">
        <f t="shared" si="12"/>
        <v>0</v>
      </c>
      <c r="F103" s="2">
        <f t="shared" si="13"/>
        <v>0</v>
      </c>
      <c r="G103" s="2">
        <f t="shared" si="14"/>
        <v>-8.5265128291212022E-14</v>
      </c>
      <c r="H103" s="2">
        <f t="shared" si="10"/>
        <v>0</v>
      </c>
      <c r="I103" s="2">
        <v>0</v>
      </c>
    </row>
    <row r="104" spans="2:9" x14ac:dyDescent="0.2">
      <c r="B104" s="4">
        <f t="shared" ca="1" si="15"/>
        <v>44141</v>
      </c>
      <c r="C104">
        <f t="shared" si="15"/>
        <v>93</v>
      </c>
      <c r="D104">
        <f t="shared" ca="1" si="9"/>
        <v>6</v>
      </c>
      <c r="E104" s="2">
        <f t="shared" si="12"/>
        <v>0</v>
      </c>
      <c r="F104" s="2">
        <f t="shared" si="13"/>
        <v>0</v>
      </c>
      <c r="G104" s="2">
        <f t="shared" si="14"/>
        <v>-8.5265128291212022E-14</v>
      </c>
      <c r="H104" s="2">
        <f t="shared" si="10"/>
        <v>0</v>
      </c>
      <c r="I104" s="2">
        <v>0</v>
      </c>
    </row>
    <row r="105" spans="2:9" x14ac:dyDescent="0.2">
      <c r="B105" s="4">
        <f t="shared" ca="1" si="15"/>
        <v>44142</v>
      </c>
      <c r="C105">
        <f t="shared" si="15"/>
        <v>94</v>
      </c>
      <c r="D105">
        <f t="shared" ca="1" si="9"/>
        <v>7</v>
      </c>
      <c r="E105" s="2">
        <f t="shared" si="12"/>
        <v>0</v>
      </c>
      <c r="F105" s="2">
        <f t="shared" si="13"/>
        <v>0</v>
      </c>
      <c r="G105" s="2">
        <f t="shared" si="14"/>
        <v>-8.5265128291212022E-14</v>
      </c>
      <c r="H105" s="2">
        <f t="shared" si="10"/>
        <v>0</v>
      </c>
      <c r="I105" s="2">
        <v>0</v>
      </c>
    </row>
    <row r="106" spans="2:9" x14ac:dyDescent="0.2">
      <c r="B106" s="4">
        <f t="shared" ca="1" si="15"/>
        <v>44143</v>
      </c>
      <c r="C106">
        <f t="shared" si="15"/>
        <v>95</v>
      </c>
      <c r="D106">
        <f t="shared" ca="1" si="9"/>
        <v>1</v>
      </c>
      <c r="E106" s="2">
        <f t="shared" si="12"/>
        <v>0</v>
      </c>
      <c r="F106" s="2">
        <f t="shared" si="13"/>
        <v>0</v>
      </c>
      <c r="G106" s="2">
        <f t="shared" si="14"/>
        <v>-8.5265128291212022E-14</v>
      </c>
      <c r="H106" s="2">
        <f t="shared" si="10"/>
        <v>0</v>
      </c>
      <c r="I106" s="2">
        <v>0</v>
      </c>
    </row>
    <row r="107" spans="2:9" x14ac:dyDescent="0.2">
      <c r="B107" s="4">
        <f t="shared" ca="1" si="15"/>
        <v>44144</v>
      </c>
      <c r="C107">
        <f t="shared" si="15"/>
        <v>96</v>
      </c>
      <c r="D107">
        <f t="shared" ca="1" si="9"/>
        <v>2</v>
      </c>
      <c r="E107" s="2">
        <f t="shared" si="12"/>
        <v>0</v>
      </c>
      <c r="F107" s="2">
        <f t="shared" si="13"/>
        <v>0</v>
      </c>
      <c r="G107" s="2">
        <f t="shared" si="14"/>
        <v>-8.5265128291212022E-14</v>
      </c>
      <c r="H107" s="2">
        <f t="shared" si="10"/>
        <v>0</v>
      </c>
      <c r="I107" s="2">
        <v>0</v>
      </c>
    </row>
    <row r="108" spans="2:9" x14ac:dyDescent="0.2">
      <c r="B108" s="4">
        <f t="shared" ca="1" si="15"/>
        <v>44145</v>
      </c>
      <c r="C108">
        <f t="shared" si="15"/>
        <v>97</v>
      </c>
      <c r="D108">
        <f t="shared" ca="1" si="9"/>
        <v>3</v>
      </c>
      <c r="E108" s="2">
        <f t="shared" si="12"/>
        <v>0</v>
      </c>
      <c r="F108" s="2">
        <f t="shared" si="13"/>
        <v>0</v>
      </c>
      <c r="G108" s="2">
        <f t="shared" si="14"/>
        <v>-8.5265128291212022E-14</v>
      </c>
      <c r="H108" s="2">
        <f t="shared" si="10"/>
        <v>0</v>
      </c>
      <c r="I108" s="2">
        <v>0</v>
      </c>
    </row>
    <row r="109" spans="2:9" x14ac:dyDescent="0.2">
      <c r="B109" s="4">
        <f t="shared" ref="B109:C124" ca="1" si="16">B108+1</f>
        <v>44146</v>
      </c>
      <c r="C109">
        <f t="shared" si="16"/>
        <v>98</v>
      </c>
      <c r="D109">
        <f t="shared" ca="1" si="9"/>
        <v>4</v>
      </c>
      <c r="E109" s="2">
        <f t="shared" si="12"/>
        <v>0</v>
      </c>
      <c r="F109" s="2">
        <f t="shared" si="13"/>
        <v>0</v>
      </c>
      <c r="G109" s="2">
        <f t="shared" si="14"/>
        <v>-8.5265128291212022E-14</v>
      </c>
      <c r="H109" s="2">
        <f t="shared" si="10"/>
        <v>0</v>
      </c>
      <c r="I109" s="2">
        <v>0</v>
      </c>
    </row>
    <row r="110" spans="2:9" x14ac:dyDescent="0.2">
      <c r="B110" s="4">
        <f t="shared" ca="1" si="16"/>
        <v>44147</v>
      </c>
      <c r="C110">
        <f t="shared" si="16"/>
        <v>99</v>
      </c>
      <c r="D110">
        <f t="shared" ca="1" si="9"/>
        <v>5</v>
      </c>
      <c r="E110" s="2">
        <f t="shared" si="12"/>
        <v>0</v>
      </c>
      <c r="F110" s="2">
        <f t="shared" si="13"/>
        <v>0</v>
      </c>
      <c r="G110" s="2">
        <f t="shared" si="14"/>
        <v>-8.5265128291212022E-14</v>
      </c>
      <c r="H110" s="2">
        <f t="shared" si="10"/>
        <v>0</v>
      </c>
      <c r="I110" s="2">
        <v>0</v>
      </c>
    </row>
    <row r="111" spans="2:9" x14ac:dyDescent="0.2">
      <c r="B111" s="4">
        <f t="shared" ca="1" si="16"/>
        <v>44148</v>
      </c>
      <c r="C111">
        <f t="shared" si="16"/>
        <v>100</v>
      </c>
      <c r="D111">
        <f t="shared" ca="1" si="9"/>
        <v>6</v>
      </c>
      <c r="E111" s="2">
        <f t="shared" si="12"/>
        <v>0</v>
      </c>
      <c r="F111" s="2">
        <f t="shared" si="13"/>
        <v>0</v>
      </c>
      <c r="G111" s="2">
        <f t="shared" si="14"/>
        <v>-8.5265128291212022E-14</v>
      </c>
      <c r="H111" s="2">
        <f t="shared" si="10"/>
        <v>0</v>
      </c>
      <c r="I111" s="2">
        <v>0</v>
      </c>
    </row>
    <row r="112" spans="2:9" x14ac:dyDescent="0.2">
      <c r="B112" s="4">
        <f t="shared" ca="1" si="16"/>
        <v>44149</v>
      </c>
      <c r="C112">
        <f t="shared" si="16"/>
        <v>101</v>
      </c>
      <c r="D112">
        <f t="shared" ca="1" si="9"/>
        <v>7</v>
      </c>
      <c r="E112" s="2">
        <f t="shared" si="12"/>
        <v>0</v>
      </c>
      <c r="F112" s="2">
        <f t="shared" si="13"/>
        <v>0</v>
      </c>
      <c r="G112" s="2">
        <f t="shared" si="14"/>
        <v>-8.5265128291212022E-14</v>
      </c>
      <c r="H112" s="2">
        <f t="shared" si="10"/>
        <v>0</v>
      </c>
      <c r="I112" s="2">
        <v>0</v>
      </c>
    </row>
    <row r="113" spans="2:9" x14ac:dyDescent="0.2">
      <c r="B113" s="4">
        <f t="shared" ca="1" si="16"/>
        <v>44150</v>
      </c>
      <c r="C113">
        <f t="shared" si="16"/>
        <v>102</v>
      </c>
      <c r="D113">
        <f t="shared" ca="1" si="9"/>
        <v>1</v>
      </c>
      <c r="E113" s="2">
        <f t="shared" si="12"/>
        <v>0</v>
      </c>
      <c r="F113" s="2">
        <f t="shared" si="13"/>
        <v>0</v>
      </c>
      <c r="G113" s="2">
        <f t="shared" si="14"/>
        <v>-8.5265128291212022E-14</v>
      </c>
      <c r="H113" s="2">
        <f t="shared" si="10"/>
        <v>0</v>
      </c>
      <c r="I113" s="2">
        <v>0</v>
      </c>
    </row>
    <row r="114" spans="2:9" x14ac:dyDescent="0.2">
      <c r="B114" s="4">
        <f t="shared" ca="1" si="16"/>
        <v>44151</v>
      </c>
      <c r="C114">
        <f t="shared" si="16"/>
        <v>103</v>
      </c>
      <c r="D114">
        <f t="shared" ca="1" si="9"/>
        <v>2</v>
      </c>
      <c r="E114" s="2">
        <f t="shared" si="12"/>
        <v>0</v>
      </c>
      <c r="F114" s="2">
        <f t="shared" si="13"/>
        <v>0</v>
      </c>
      <c r="G114" s="2">
        <f t="shared" si="14"/>
        <v>-8.5265128291212022E-14</v>
      </c>
      <c r="H114" s="2">
        <f t="shared" si="10"/>
        <v>0</v>
      </c>
      <c r="I114" s="2">
        <v>0</v>
      </c>
    </row>
    <row r="115" spans="2:9" x14ac:dyDescent="0.2">
      <c r="B115" s="4">
        <f t="shared" ca="1" si="16"/>
        <v>44152</v>
      </c>
      <c r="C115">
        <f t="shared" si="16"/>
        <v>104</v>
      </c>
      <c r="D115">
        <f t="shared" ca="1" si="9"/>
        <v>3</v>
      </c>
      <c r="E115" s="2">
        <f t="shared" si="12"/>
        <v>0</v>
      </c>
      <c r="F115" s="2">
        <f t="shared" si="13"/>
        <v>0</v>
      </c>
      <c r="G115" s="2">
        <f t="shared" si="14"/>
        <v>-8.5265128291212022E-14</v>
      </c>
      <c r="H115" s="2">
        <f t="shared" si="10"/>
        <v>0</v>
      </c>
      <c r="I115" s="2">
        <v>0</v>
      </c>
    </row>
    <row r="116" spans="2:9" x14ac:dyDescent="0.2">
      <c r="B116" s="4">
        <f t="shared" ca="1" si="16"/>
        <v>44153</v>
      </c>
      <c r="C116">
        <f t="shared" si="16"/>
        <v>105</v>
      </c>
      <c r="D116">
        <f t="shared" ca="1" si="9"/>
        <v>4</v>
      </c>
      <c r="E116" s="2">
        <f t="shared" si="12"/>
        <v>0</v>
      </c>
      <c r="F116" s="2">
        <f t="shared" si="13"/>
        <v>0</v>
      </c>
      <c r="G116" s="2">
        <f t="shared" si="14"/>
        <v>-8.5265128291212022E-14</v>
      </c>
      <c r="H116" s="2">
        <f t="shared" si="10"/>
        <v>0</v>
      </c>
      <c r="I116" s="2">
        <v>0</v>
      </c>
    </row>
    <row r="117" spans="2:9" x14ac:dyDescent="0.2">
      <c r="B117" s="4">
        <f t="shared" ca="1" si="16"/>
        <v>44154</v>
      </c>
      <c r="C117">
        <f t="shared" si="16"/>
        <v>106</v>
      </c>
      <c r="D117">
        <f t="shared" ca="1" si="9"/>
        <v>5</v>
      </c>
      <c r="E117" s="2">
        <f t="shared" si="12"/>
        <v>0</v>
      </c>
      <c r="F117" s="2">
        <f t="shared" si="13"/>
        <v>0</v>
      </c>
      <c r="G117" s="2">
        <f t="shared" si="14"/>
        <v>-8.5265128291212022E-14</v>
      </c>
      <c r="H117" s="2">
        <f t="shared" si="10"/>
        <v>0</v>
      </c>
      <c r="I117" s="2">
        <v>0</v>
      </c>
    </row>
    <row r="118" spans="2:9" x14ac:dyDescent="0.2">
      <c r="B118" s="4">
        <f t="shared" ca="1" si="16"/>
        <v>44155</v>
      </c>
      <c r="C118">
        <f t="shared" si="16"/>
        <v>107</v>
      </c>
      <c r="D118">
        <f t="shared" ca="1" si="9"/>
        <v>6</v>
      </c>
      <c r="E118" s="2">
        <f t="shared" si="12"/>
        <v>0</v>
      </c>
      <c r="F118" s="2">
        <f t="shared" si="13"/>
        <v>0</v>
      </c>
      <c r="G118" s="2">
        <f t="shared" si="14"/>
        <v>-8.5265128291212022E-14</v>
      </c>
      <c r="H118" s="2">
        <f t="shared" si="10"/>
        <v>0</v>
      </c>
      <c r="I118" s="2">
        <v>0</v>
      </c>
    </row>
    <row r="119" spans="2:9" x14ac:dyDescent="0.2">
      <c r="B119" s="4">
        <f t="shared" ca="1" si="16"/>
        <v>44156</v>
      </c>
      <c r="C119">
        <f t="shared" si="16"/>
        <v>108</v>
      </c>
      <c r="D119">
        <f t="shared" ca="1" si="9"/>
        <v>7</v>
      </c>
      <c r="E119" s="2">
        <f t="shared" si="12"/>
        <v>0</v>
      </c>
      <c r="F119" s="2">
        <f t="shared" si="13"/>
        <v>0</v>
      </c>
      <c r="G119" s="2">
        <f t="shared" si="14"/>
        <v>-8.5265128291212022E-14</v>
      </c>
      <c r="H119" s="2">
        <f t="shared" si="10"/>
        <v>0</v>
      </c>
      <c r="I119" s="2">
        <v>0</v>
      </c>
    </row>
    <row r="120" spans="2:9" x14ac:dyDescent="0.2">
      <c r="B120" s="4">
        <f t="shared" ca="1" si="16"/>
        <v>44157</v>
      </c>
      <c r="C120">
        <f t="shared" si="16"/>
        <v>109</v>
      </c>
      <c r="D120">
        <f t="shared" ca="1" si="9"/>
        <v>1</v>
      </c>
      <c r="E120" s="2">
        <f t="shared" si="12"/>
        <v>0</v>
      </c>
      <c r="F120" s="2">
        <f t="shared" si="13"/>
        <v>0</v>
      </c>
      <c r="G120" s="2">
        <f t="shared" si="14"/>
        <v>-8.5265128291212022E-14</v>
      </c>
      <c r="H120" s="2">
        <f t="shared" si="10"/>
        <v>0</v>
      </c>
      <c r="I120" s="2">
        <v>0</v>
      </c>
    </row>
    <row r="121" spans="2:9" x14ac:dyDescent="0.2">
      <c r="B121" s="4">
        <f t="shared" ca="1" si="16"/>
        <v>44158</v>
      </c>
      <c r="C121">
        <f t="shared" si="16"/>
        <v>110</v>
      </c>
      <c r="D121">
        <f t="shared" ca="1" si="9"/>
        <v>2</v>
      </c>
      <c r="E121" s="2">
        <f t="shared" si="12"/>
        <v>0</v>
      </c>
      <c r="F121" s="2">
        <f t="shared" si="13"/>
        <v>0</v>
      </c>
      <c r="G121" s="2">
        <f t="shared" si="14"/>
        <v>-8.5265128291212022E-14</v>
      </c>
      <c r="H121" s="2">
        <f t="shared" si="10"/>
        <v>0</v>
      </c>
      <c r="I121" s="2">
        <v>0</v>
      </c>
    </row>
    <row r="122" spans="2:9" x14ac:dyDescent="0.2">
      <c r="B122" s="4">
        <f t="shared" ca="1" si="16"/>
        <v>44159</v>
      </c>
      <c r="C122">
        <f t="shared" si="16"/>
        <v>111</v>
      </c>
      <c r="D122">
        <f t="shared" ca="1" si="9"/>
        <v>3</v>
      </c>
      <c r="E122" s="2">
        <f t="shared" si="12"/>
        <v>0</v>
      </c>
      <c r="F122" s="2">
        <f t="shared" si="13"/>
        <v>0</v>
      </c>
      <c r="G122" s="2">
        <f t="shared" si="14"/>
        <v>-8.5265128291212022E-14</v>
      </c>
      <c r="H122" s="2">
        <f t="shared" si="10"/>
        <v>0</v>
      </c>
      <c r="I122" s="2">
        <v>0</v>
      </c>
    </row>
    <row r="123" spans="2:9" x14ac:dyDescent="0.2">
      <c r="B123" s="4">
        <f t="shared" ca="1" si="16"/>
        <v>44160</v>
      </c>
      <c r="C123">
        <f t="shared" si="16"/>
        <v>112</v>
      </c>
      <c r="D123">
        <f t="shared" ca="1" si="9"/>
        <v>4</v>
      </c>
      <c r="E123" s="2">
        <f t="shared" si="12"/>
        <v>0</v>
      </c>
      <c r="F123" s="2">
        <f t="shared" si="13"/>
        <v>0</v>
      </c>
      <c r="G123" s="2">
        <f t="shared" si="14"/>
        <v>-8.5265128291212022E-14</v>
      </c>
      <c r="H123" s="2">
        <f t="shared" si="10"/>
        <v>0</v>
      </c>
      <c r="I123" s="2">
        <v>0</v>
      </c>
    </row>
    <row r="124" spans="2:9" x14ac:dyDescent="0.2">
      <c r="B124" s="4">
        <f t="shared" ca="1" si="16"/>
        <v>44161</v>
      </c>
      <c r="C124">
        <f t="shared" si="16"/>
        <v>113</v>
      </c>
      <c r="D124">
        <f t="shared" ca="1" si="9"/>
        <v>5</v>
      </c>
      <c r="E124" s="2">
        <f t="shared" si="12"/>
        <v>0</v>
      </c>
      <c r="F124" s="2">
        <f t="shared" si="13"/>
        <v>0</v>
      </c>
      <c r="G124" s="2">
        <f t="shared" si="14"/>
        <v>-8.5265128291212022E-14</v>
      </c>
      <c r="H124" s="2">
        <f t="shared" si="10"/>
        <v>0</v>
      </c>
      <c r="I124" s="2">
        <v>0</v>
      </c>
    </row>
    <row r="125" spans="2:9" x14ac:dyDescent="0.2">
      <c r="B125" s="4">
        <f t="shared" ref="B125:C140" ca="1" si="17">B124+1</f>
        <v>44162</v>
      </c>
      <c r="C125">
        <f t="shared" si="17"/>
        <v>114</v>
      </c>
      <c r="D125">
        <f t="shared" ca="1" si="9"/>
        <v>6</v>
      </c>
      <c r="E125" s="2">
        <f t="shared" si="12"/>
        <v>0</v>
      </c>
      <c r="F125" s="2">
        <f t="shared" si="13"/>
        <v>0</v>
      </c>
      <c r="G125" s="2">
        <f t="shared" si="14"/>
        <v>-8.5265128291212022E-14</v>
      </c>
      <c r="H125" s="2">
        <f t="shared" si="10"/>
        <v>0</v>
      </c>
      <c r="I125" s="2">
        <v>0</v>
      </c>
    </row>
    <row r="126" spans="2:9" x14ac:dyDescent="0.2">
      <c r="B126" s="4">
        <f t="shared" ca="1" si="17"/>
        <v>44163</v>
      </c>
      <c r="C126">
        <f t="shared" si="17"/>
        <v>115</v>
      </c>
      <c r="D126">
        <f t="shared" ca="1" si="9"/>
        <v>7</v>
      </c>
      <c r="E126" s="2">
        <f t="shared" si="12"/>
        <v>0</v>
      </c>
      <c r="F126" s="2">
        <f t="shared" si="13"/>
        <v>0</v>
      </c>
      <c r="G126" s="2">
        <f t="shared" si="14"/>
        <v>-8.5265128291212022E-14</v>
      </c>
      <c r="H126" s="2">
        <f t="shared" si="10"/>
        <v>0</v>
      </c>
      <c r="I126" s="2">
        <v>0</v>
      </c>
    </row>
    <row r="127" spans="2:9" x14ac:dyDescent="0.2">
      <c r="B127" s="4">
        <f t="shared" ca="1" si="17"/>
        <v>44164</v>
      </c>
      <c r="C127">
        <f t="shared" si="17"/>
        <v>116</v>
      </c>
      <c r="D127">
        <f t="shared" ca="1" si="9"/>
        <v>1</v>
      </c>
      <c r="E127" s="2">
        <f t="shared" si="12"/>
        <v>0</v>
      </c>
      <c r="F127" s="2">
        <f t="shared" si="13"/>
        <v>0</v>
      </c>
      <c r="G127" s="2">
        <f t="shared" si="14"/>
        <v>-8.5265128291212022E-14</v>
      </c>
      <c r="H127" s="2">
        <f t="shared" si="10"/>
        <v>0</v>
      </c>
      <c r="I127" s="2">
        <v>0</v>
      </c>
    </row>
    <row r="128" spans="2:9" x14ac:dyDescent="0.2">
      <c r="B128" s="4">
        <f t="shared" ca="1" si="17"/>
        <v>44165</v>
      </c>
      <c r="C128">
        <f t="shared" si="17"/>
        <v>117</v>
      </c>
      <c r="D128">
        <f t="shared" ca="1" si="9"/>
        <v>2</v>
      </c>
      <c r="E128" s="2">
        <f t="shared" si="12"/>
        <v>0</v>
      </c>
      <c r="F128" s="2">
        <f t="shared" si="13"/>
        <v>0</v>
      </c>
      <c r="G128" s="2">
        <f t="shared" si="14"/>
        <v>-8.5265128291212022E-14</v>
      </c>
      <c r="H128" s="2">
        <f t="shared" si="10"/>
        <v>0</v>
      </c>
      <c r="I128" s="2">
        <v>0</v>
      </c>
    </row>
    <row r="129" spans="2:9" x14ac:dyDescent="0.2">
      <c r="B129" s="4">
        <f t="shared" ca="1" si="17"/>
        <v>44166</v>
      </c>
      <c r="C129">
        <f t="shared" si="17"/>
        <v>118</v>
      </c>
      <c r="D129">
        <f t="shared" ca="1" si="9"/>
        <v>3</v>
      </c>
      <c r="E129" s="2">
        <f t="shared" si="12"/>
        <v>0</v>
      </c>
      <c r="F129" s="2">
        <f t="shared" si="13"/>
        <v>0</v>
      </c>
      <c r="G129" s="2">
        <f t="shared" si="14"/>
        <v>-8.5265128291212022E-14</v>
      </c>
      <c r="H129" s="2">
        <f t="shared" si="10"/>
        <v>0</v>
      </c>
      <c r="I129" s="2">
        <v>0</v>
      </c>
    </row>
    <row r="130" spans="2:9" x14ac:dyDescent="0.2">
      <c r="B130" s="4">
        <f t="shared" ca="1" si="17"/>
        <v>44167</v>
      </c>
      <c r="C130">
        <f t="shared" si="17"/>
        <v>119</v>
      </c>
      <c r="D130">
        <f t="shared" ca="1" si="9"/>
        <v>4</v>
      </c>
      <c r="E130" s="2">
        <f t="shared" si="12"/>
        <v>0</v>
      </c>
      <c r="F130" s="2">
        <f t="shared" si="13"/>
        <v>0</v>
      </c>
      <c r="G130" s="2">
        <f t="shared" si="14"/>
        <v>-8.5265128291212022E-14</v>
      </c>
      <c r="H130" s="2">
        <f t="shared" si="10"/>
        <v>0</v>
      </c>
      <c r="I130" s="2">
        <v>0</v>
      </c>
    </row>
    <row r="131" spans="2:9" x14ac:dyDescent="0.2">
      <c r="B131" s="4">
        <f t="shared" ca="1" si="17"/>
        <v>44168</v>
      </c>
      <c r="C131">
        <f t="shared" si="17"/>
        <v>120</v>
      </c>
      <c r="D131">
        <f t="shared" ca="1" si="9"/>
        <v>5</v>
      </c>
      <c r="E131" s="2">
        <f t="shared" si="12"/>
        <v>0</v>
      </c>
      <c r="F131" s="2">
        <f t="shared" si="13"/>
        <v>0</v>
      </c>
      <c r="G131" s="2">
        <f t="shared" si="14"/>
        <v>-8.5265128291212022E-14</v>
      </c>
      <c r="H131" s="2">
        <f t="shared" si="10"/>
        <v>0</v>
      </c>
      <c r="I131" s="2">
        <v>0</v>
      </c>
    </row>
    <row r="132" spans="2:9" x14ac:dyDescent="0.2">
      <c r="B132" s="4">
        <f t="shared" ca="1" si="17"/>
        <v>44169</v>
      </c>
      <c r="C132">
        <f t="shared" si="17"/>
        <v>121</v>
      </c>
      <c r="D132">
        <f t="shared" ca="1" si="9"/>
        <v>6</v>
      </c>
      <c r="E132" s="2">
        <f t="shared" si="12"/>
        <v>0</v>
      </c>
      <c r="F132" s="2">
        <f t="shared" si="13"/>
        <v>0</v>
      </c>
      <c r="G132" s="2">
        <f t="shared" si="14"/>
        <v>-8.5265128291212022E-14</v>
      </c>
      <c r="H132" s="2">
        <f t="shared" si="10"/>
        <v>0</v>
      </c>
      <c r="I132" s="2">
        <v>0</v>
      </c>
    </row>
    <row r="133" spans="2:9" x14ac:dyDescent="0.2">
      <c r="B133" s="4">
        <f t="shared" ca="1" si="17"/>
        <v>44170</v>
      </c>
      <c r="C133">
        <f t="shared" si="17"/>
        <v>122</v>
      </c>
      <c r="D133">
        <f t="shared" ca="1" si="9"/>
        <v>7</v>
      </c>
      <c r="E133" s="2">
        <f t="shared" si="12"/>
        <v>0</v>
      </c>
      <c r="F133" s="2">
        <f t="shared" si="13"/>
        <v>0</v>
      </c>
      <c r="G133" s="2">
        <f t="shared" si="14"/>
        <v>-8.5265128291212022E-14</v>
      </c>
      <c r="H133" s="2">
        <f t="shared" si="10"/>
        <v>0</v>
      </c>
      <c r="I133" s="2">
        <v>0</v>
      </c>
    </row>
    <row r="134" spans="2:9" x14ac:dyDescent="0.2">
      <c r="B134" s="4">
        <f t="shared" ca="1" si="17"/>
        <v>44171</v>
      </c>
      <c r="C134">
        <f t="shared" si="17"/>
        <v>123</v>
      </c>
      <c r="D134">
        <f t="shared" ca="1" si="9"/>
        <v>1</v>
      </c>
      <c r="E134" s="2">
        <f t="shared" si="12"/>
        <v>0</v>
      </c>
      <c r="F134" s="2">
        <f t="shared" si="13"/>
        <v>0</v>
      </c>
      <c r="G134" s="2">
        <f t="shared" si="14"/>
        <v>-8.5265128291212022E-14</v>
      </c>
      <c r="H134" s="2">
        <f t="shared" si="10"/>
        <v>0</v>
      </c>
      <c r="I134" s="2">
        <v>0</v>
      </c>
    </row>
    <row r="135" spans="2:9" x14ac:dyDescent="0.2">
      <c r="B135" s="4">
        <f t="shared" ca="1" si="17"/>
        <v>44172</v>
      </c>
      <c r="C135">
        <f t="shared" si="17"/>
        <v>124</v>
      </c>
      <c r="D135">
        <f t="shared" ca="1" si="9"/>
        <v>2</v>
      </c>
      <c r="E135" s="2">
        <f t="shared" si="12"/>
        <v>0</v>
      </c>
      <c r="F135" s="2">
        <f t="shared" si="13"/>
        <v>0</v>
      </c>
      <c r="G135" s="2">
        <f t="shared" si="14"/>
        <v>-8.5265128291212022E-14</v>
      </c>
      <c r="H135" s="2">
        <f t="shared" si="10"/>
        <v>0</v>
      </c>
      <c r="I135" s="2">
        <v>0</v>
      </c>
    </row>
    <row r="136" spans="2:9" x14ac:dyDescent="0.2">
      <c r="B136" s="4">
        <f t="shared" ca="1" si="17"/>
        <v>44173</v>
      </c>
      <c r="C136">
        <f t="shared" si="17"/>
        <v>125</v>
      </c>
      <c r="D136">
        <f t="shared" ca="1" si="9"/>
        <v>3</v>
      </c>
      <c r="E136" s="2">
        <f t="shared" si="12"/>
        <v>0</v>
      </c>
      <c r="F136" s="2">
        <f t="shared" si="13"/>
        <v>0</v>
      </c>
      <c r="G136" s="2">
        <f t="shared" si="14"/>
        <v>-8.5265128291212022E-14</v>
      </c>
      <c r="H136" s="2">
        <f t="shared" si="10"/>
        <v>0</v>
      </c>
      <c r="I136" s="2">
        <v>0</v>
      </c>
    </row>
    <row r="137" spans="2:9" x14ac:dyDescent="0.2">
      <c r="B137" s="4">
        <f t="shared" ca="1" si="17"/>
        <v>44174</v>
      </c>
      <c r="C137">
        <f t="shared" si="17"/>
        <v>126</v>
      </c>
      <c r="D137">
        <f t="shared" ca="1" si="9"/>
        <v>4</v>
      </c>
      <c r="E137" s="2">
        <f t="shared" si="12"/>
        <v>0</v>
      </c>
      <c r="F137" s="2">
        <f t="shared" si="13"/>
        <v>0</v>
      </c>
      <c r="G137" s="2">
        <f t="shared" si="14"/>
        <v>-8.5265128291212022E-14</v>
      </c>
      <c r="H137" s="2">
        <f t="shared" si="10"/>
        <v>0</v>
      </c>
      <c r="I137" s="2">
        <v>0</v>
      </c>
    </row>
    <row r="138" spans="2:9" x14ac:dyDescent="0.2">
      <c r="B138" s="4">
        <f t="shared" ca="1" si="17"/>
        <v>44175</v>
      </c>
      <c r="C138">
        <f t="shared" si="17"/>
        <v>127</v>
      </c>
      <c r="D138">
        <f t="shared" ca="1" si="9"/>
        <v>5</v>
      </c>
      <c r="E138" s="2">
        <f t="shared" si="12"/>
        <v>0</v>
      </c>
      <c r="F138" s="2">
        <f t="shared" si="13"/>
        <v>0</v>
      </c>
      <c r="G138" s="2">
        <f t="shared" si="14"/>
        <v>-8.5265128291212022E-14</v>
      </c>
      <c r="H138" s="2">
        <f t="shared" si="10"/>
        <v>0</v>
      </c>
      <c r="I138" s="2">
        <v>0</v>
      </c>
    </row>
    <row r="139" spans="2:9" x14ac:dyDescent="0.2">
      <c r="B139" s="4">
        <f t="shared" ca="1" si="17"/>
        <v>44176</v>
      </c>
      <c r="C139">
        <f t="shared" si="17"/>
        <v>128</v>
      </c>
      <c r="D139">
        <f t="shared" ca="1" si="9"/>
        <v>6</v>
      </c>
      <c r="E139" s="2">
        <f t="shared" si="12"/>
        <v>0</v>
      </c>
      <c r="F139" s="2">
        <f t="shared" si="13"/>
        <v>0</v>
      </c>
      <c r="G139" s="2">
        <f t="shared" si="14"/>
        <v>-8.5265128291212022E-14</v>
      </c>
      <c r="H139" s="2">
        <f t="shared" si="10"/>
        <v>0</v>
      </c>
      <c r="I139" s="2">
        <v>0</v>
      </c>
    </row>
    <row r="140" spans="2:9" x14ac:dyDescent="0.2">
      <c r="B140" s="4">
        <f t="shared" ca="1" si="17"/>
        <v>44177</v>
      </c>
      <c r="C140">
        <f t="shared" si="17"/>
        <v>129</v>
      </c>
      <c r="D140">
        <f t="shared" ref="D140:D203" ca="1" si="18">WEEKDAY(B140,1)</f>
        <v>7</v>
      </c>
      <c r="E140" s="2">
        <f t="shared" si="12"/>
        <v>0</v>
      </c>
      <c r="F140" s="2">
        <f t="shared" si="13"/>
        <v>0</v>
      </c>
      <c r="G140" s="2">
        <f t="shared" si="14"/>
        <v>-8.5265128291212022E-14</v>
      </c>
      <c r="H140" s="2">
        <f t="shared" ref="H140:H203" si="19">IF(C140&gt;$C$7,0,(G140)*$C$5/365)</f>
        <v>0</v>
      </c>
      <c r="I140" s="2">
        <v>0</v>
      </c>
    </row>
    <row r="141" spans="2:9" x14ac:dyDescent="0.2">
      <c r="B141" s="4">
        <f t="shared" ref="B141:C156" ca="1" si="20">B140+1</f>
        <v>44178</v>
      </c>
      <c r="C141">
        <f t="shared" si="20"/>
        <v>130</v>
      </c>
      <c r="D141">
        <f t="shared" ca="1" si="18"/>
        <v>1</v>
      </c>
      <c r="E141" s="2">
        <f t="shared" ref="E141:E204" si="21">IF(C141&gt;$C$7,0,G140+H140+I140)</f>
        <v>0</v>
      </c>
      <c r="F141" s="2">
        <f t="shared" ref="F141:F204" si="22">IF(C141&gt;$C$7,0,IF(ROUND(E141,0)&gt;0,IF(C141=0,0,IF(MOD(C141,$C$3)&gt;0,0,$C$8)),0))</f>
        <v>0</v>
      </c>
      <c r="G141" s="2">
        <f t="shared" ref="G141:G204" si="23">IF(C141&gt;$C$7,G140,E141-F141)</f>
        <v>-8.5265128291212022E-14</v>
      </c>
      <c r="H141" s="2">
        <f t="shared" si="19"/>
        <v>0</v>
      </c>
      <c r="I141" s="2">
        <v>0</v>
      </c>
    </row>
    <row r="142" spans="2:9" x14ac:dyDescent="0.2">
      <c r="B142" s="4">
        <f t="shared" ca="1" si="20"/>
        <v>44179</v>
      </c>
      <c r="C142">
        <f t="shared" si="20"/>
        <v>131</v>
      </c>
      <c r="D142">
        <f t="shared" ca="1" si="18"/>
        <v>2</v>
      </c>
      <c r="E142" s="2">
        <f t="shared" si="21"/>
        <v>0</v>
      </c>
      <c r="F142" s="2">
        <f t="shared" si="22"/>
        <v>0</v>
      </c>
      <c r="G142" s="2">
        <f t="shared" si="23"/>
        <v>-8.5265128291212022E-14</v>
      </c>
      <c r="H142" s="2">
        <f t="shared" si="19"/>
        <v>0</v>
      </c>
      <c r="I142" s="2">
        <v>0</v>
      </c>
    </row>
    <row r="143" spans="2:9" x14ac:dyDescent="0.2">
      <c r="B143" s="4">
        <f t="shared" ca="1" si="20"/>
        <v>44180</v>
      </c>
      <c r="C143">
        <f t="shared" si="20"/>
        <v>132</v>
      </c>
      <c r="D143">
        <f t="shared" ca="1" si="18"/>
        <v>3</v>
      </c>
      <c r="E143" s="2">
        <f t="shared" si="21"/>
        <v>0</v>
      </c>
      <c r="F143" s="2">
        <f t="shared" si="22"/>
        <v>0</v>
      </c>
      <c r="G143" s="2">
        <f t="shared" si="23"/>
        <v>-8.5265128291212022E-14</v>
      </c>
      <c r="H143" s="2">
        <f t="shared" si="19"/>
        <v>0</v>
      </c>
      <c r="I143" s="2">
        <v>0</v>
      </c>
    </row>
    <row r="144" spans="2:9" x14ac:dyDescent="0.2">
      <c r="B144" s="4">
        <f t="shared" ca="1" si="20"/>
        <v>44181</v>
      </c>
      <c r="C144">
        <f t="shared" si="20"/>
        <v>133</v>
      </c>
      <c r="D144">
        <f t="shared" ca="1" si="18"/>
        <v>4</v>
      </c>
      <c r="E144" s="2">
        <f t="shared" si="21"/>
        <v>0</v>
      </c>
      <c r="F144" s="2">
        <f t="shared" si="22"/>
        <v>0</v>
      </c>
      <c r="G144" s="2">
        <f t="shared" si="23"/>
        <v>-8.5265128291212022E-14</v>
      </c>
      <c r="H144" s="2">
        <f t="shared" si="19"/>
        <v>0</v>
      </c>
      <c r="I144" s="2">
        <v>0</v>
      </c>
    </row>
    <row r="145" spans="2:9" x14ac:dyDescent="0.2">
      <c r="B145" s="4">
        <f t="shared" ca="1" si="20"/>
        <v>44182</v>
      </c>
      <c r="C145">
        <f t="shared" si="20"/>
        <v>134</v>
      </c>
      <c r="D145">
        <f t="shared" ca="1" si="18"/>
        <v>5</v>
      </c>
      <c r="E145" s="2">
        <f t="shared" si="21"/>
        <v>0</v>
      </c>
      <c r="F145" s="2">
        <f t="shared" si="22"/>
        <v>0</v>
      </c>
      <c r="G145" s="2">
        <f t="shared" si="23"/>
        <v>-8.5265128291212022E-14</v>
      </c>
      <c r="H145" s="2">
        <f t="shared" si="19"/>
        <v>0</v>
      </c>
      <c r="I145" s="2">
        <v>0</v>
      </c>
    </row>
    <row r="146" spans="2:9" x14ac:dyDescent="0.2">
      <c r="B146" s="4">
        <f t="shared" ca="1" si="20"/>
        <v>44183</v>
      </c>
      <c r="C146">
        <f t="shared" si="20"/>
        <v>135</v>
      </c>
      <c r="D146">
        <f t="shared" ca="1" si="18"/>
        <v>6</v>
      </c>
      <c r="E146" s="2">
        <f t="shared" si="21"/>
        <v>0</v>
      </c>
      <c r="F146" s="2">
        <f t="shared" si="22"/>
        <v>0</v>
      </c>
      <c r="G146" s="2">
        <f t="shared" si="23"/>
        <v>-8.5265128291212022E-14</v>
      </c>
      <c r="H146" s="2">
        <f t="shared" si="19"/>
        <v>0</v>
      </c>
      <c r="I146" s="2">
        <v>0</v>
      </c>
    </row>
    <row r="147" spans="2:9" x14ac:dyDescent="0.2">
      <c r="B147" s="4">
        <f t="shared" ca="1" si="20"/>
        <v>44184</v>
      </c>
      <c r="C147">
        <f t="shared" si="20"/>
        <v>136</v>
      </c>
      <c r="D147">
        <f t="shared" ca="1" si="18"/>
        <v>7</v>
      </c>
      <c r="E147" s="2">
        <f t="shared" si="21"/>
        <v>0</v>
      </c>
      <c r="F147" s="2">
        <f t="shared" si="22"/>
        <v>0</v>
      </c>
      <c r="G147" s="2">
        <f t="shared" si="23"/>
        <v>-8.5265128291212022E-14</v>
      </c>
      <c r="H147" s="2">
        <f t="shared" si="19"/>
        <v>0</v>
      </c>
      <c r="I147" s="2">
        <v>0</v>
      </c>
    </row>
    <row r="148" spans="2:9" x14ac:dyDescent="0.2">
      <c r="B148" s="4">
        <f t="shared" ca="1" si="20"/>
        <v>44185</v>
      </c>
      <c r="C148">
        <f t="shared" si="20"/>
        <v>137</v>
      </c>
      <c r="D148">
        <f t="shared" ca="1" si="18"/>
        <v>1</v>
      </c>
      <c r="E148" s="2">
        <f t="shared" si="21"/>
        <v>0</v>
      </c>
      <c r="F148" s="2">
        <f t="shared" si="22"/>
        <v>0</v>
      </c>
      <c r="G148" s="2">
        <f t="shared" si="23"/>
        <v>-8.5265128291212022E-14</v>
      </c>
      <c r="H148" s="2">
        <f t="shared" si="19"/>
        <v>0</v>
      </c>
      <c r="I148" s="2">
        <v>0</v>
      </c>
    </row>
    <row r="149" spans="2:9" x14ac:dyDescent="0.2">
      <c r="B149" s="4">
        <f t="shared" ca="1" si="20"/>
        <v>44186</v>
      </c>
      <c r="C149">
        <f t="shared" si="20"/>
        <v>138</v>
      </c>
      <c r="D149">
        <f t="shared" ca="1" si="18"/>
        <v>2</v>
      </c>
      <c r="E149" s="2">
        <f t="shared" si="21"/>
        <v>0</v>
      </c>
      <c r="F149" s="2">
        <f t="shared" si="22"/>
        <v>0</v>
      </c>
      <c r="G149" s="2">
        <f t="shared" si="23"/>
        <v>-8.5265128291212022E-14</v>
      </c>
      <c r="H149" s="2">
        <f t="shared" si="19"/>
        <v>0</v>
      </c>
      <c r="I149" s="2">
        <v>0</v>
      </c>
    </row>
    <row r="150" spans="2:9" x14ac:dyDescent="0.2">
      <c r="B150" s="4">
        <f t="shared" ca="1" si="20"/>
        <v>44187</v>
      </c>
      <c r="C150">
        <f t="shared" si="20"/>
        <v>139</v>
      </c>
      <c r="D150">
        <f t="shared" ca="1" si="18"/>
        <v>3</v>
      </c>
      <c r="E150" s="2">
        <f t="shared" si="21"/>
        <v>0</v>
      </c>
      <c r="F150" s="2">
        <f t="shared" si="22"/>
        <v>0</v>
      </c>
      <c r="G150" s="2">
        <f t="shared" si="23"/>
        <v>-8.5265128291212022E-14</v>
      </c>
      <c r="H150" s="2">
        <f t="shared" si="19"/>
        <v>0</v>
      </c>
      <c r="I150" s="2">
        <v>0</v>
      </c>
    </row>
    <row r="151" spans="2:9" x14ac:dyDescent="0.2">
      <c r="B151" s="4">
        <f t="shared" ca="1" si="20"/>
        <v>44188</v>
      </c>
      <c r="C151">
        <f t="shared" si="20"/>
        <v>140</v>
      </c>
      <c r="D151">
        <f t="shared" ca="1" si="18"/>
        <v>4</v>
      </c>
      <c r="E151" s="2">
        <f t="shared" si="21"/>
        <v>0</v>
      </c>
      <c r="F151" s="2">
        <f t="shared" si="22"/>
        <v>0</v>
      </c>
      <c r="G151" s="2">
        <f t="shared" si="23"/>
        <v>-8.5265128291212022E-14</v>
      </c>
      <c r="H151" s="2">
        <f t="shared" si="19"/>
        <v>0</v>
      </c>
      <c r="I151" s="2">
        <v>0</v>
      </c>
    </row>
    <row r="152" spans="2:9" x14ac:dyDescent="0.2">
      <c r="B152" s="4">
        <f t="shared" ca="1" si="20"/>
        <v>44189</v>
      </c>
      <c r="C152">
        <f t="shared" si="20"/>
        <v>141</v>
      </c>
      <c r="D152">
        <f t="shared" ca="1" si="18"/>
        <v>5</v>
      </c>
      <c r="E152" s="2">
        <f t="shared" si="21"/>
        <v>0</v>
      </c>
      <c r="F152" s="2">
        <f t="shared" si="22"/>
        <v>0</v>
      </c>
      <c r="G152" s="2">
        <f t="shared" si="23"/>
        <v>-8.5265128291212022E-14</v>
      </c>
      <c r="H152" s="2">
        <f t="shared" si="19"/>
        <v>0</v>
      </c>
      <c r="I152" s="2">
        <v>0</v>
      </c>
    </row>
    <row r="153" spans="2:9" x14ac:dyDescent="0.2">
      <c r="B153" s="4">
        <f t="shared" ca="1" si="20"/>
        <v>44190</v>
      </c>
      <c r="C153">
        <f t="shared" si="20"/>
        <v>142</v>
      </c>
      <c r="D153">
        <f t="shared" ca="1" si="18"/>
        <v>6</v>
      </c>
      <c r="E153" s="2">
        <f t="shared" si="21"/>
        <v>0</v>
      </c>
      <c r="F153" s="2">
        <f t="shared" si="22"/>
        <v>0</v>
      </c>
      <c r="G153" s="2">
        <f t="shared" si="23"/>
        <v>-8.5265128291212022E-14</v>
      </c>
      <c r="H153" s="2">
        <f t="shared" si="19"/>
        <v>0</v>
      </c>
      <c r="I153" s="2">
        <v>0</v>
      </c>
    </row>
    <row r="154" spans="2:9" x14ac:dyDescent="0.2">
      <c r="B154" s="4">
        <f t="shared" ca="1" si="20"/>
        <v>44191</v>
      </c>
      <c r="C154">
        <f t="shared" si="20"/>
        <v>143</v>
      </c>
      <c r="D154">
        <f t="shared" ca="1" si="18"/>
        <v>7</v>
      </c>
      <c r="E154" s="2">
        <f t="shared" si="21"/>
        <v>0</v>
      </c>
      <c r="F154" s="2">
        <f t="shared" si="22"/>
        <v>0</v>
      </c>
      <c r="G154" s="2">
        <f t="shared" si="23"/>
        <v>-8.5265128291212022E-14</v>
      </c>
      <c r="H154" s="2">
        <f t="shared" si="19"/>
        <v>0</v>
      </c>
      <c r="I154" s="2">
        <v>0</v>
      </c>
    </row>
    <row r="155" spans="2:9" x14ac:dyDescent="0.2">
      <c r="B155" s="4">
        <f t="shared" ca="1" si="20"/>
        <v>44192</v>
      </c>
      <c r="C155">
        <f t="shared" si="20"/>
        <v>144</v>
      </c>
      <c r="D155">
        <f t="shared" ca="1" si="18"/>
        <v>1</v>
      </c>
      <c r="E155" s="2">
        <f t="shared" si="21"/>
        <v>0</v>
      </c>
      <c r="F155" s="2">
        <f t="shared" si="22"/>
        <v>0</v>
      </c>
      <c r="G155" s="2">
        <f t="shared" si="23"/>
        <v>-8.5265128291212022E-14</v>
      </c>
      <c r="H155" s="2">
        <f t="shared" si="19"/>
        <v>0</v>
      </c>
      <c r="I155" s="2">
        <v>0</v>
      </c>
    </row>
    <row r="156" spans="2:9" x14ac:dyDescent="0.2">
      <c r="B156" s="4">
        <f t="shared" ca="1" si="20"/>
        <v>44193</v>
      </c>
      <c r="C156">
        <f t="shared" si="20"/>
        <v>145</v>
      </c>
      <c r="D156">
        <f t="shared" ca="1" si="18"/>
        <v>2</v>
      </c>
      <c r="E156" s="2">
        <f t="shared" si="21"/>
        <v>0</v>
      </c>
      <c r="F156" s="2">
        <f t="shared" si="22"/>
        <v>0</v>
      </c>
      <c r="G156" s="2">
        <f t="shared" si="23"/>
        <v>-8.5265128291212022E-14</v>
      </c>
      <c r="H156" s="2">
        <f t="shared" si="19"/>
        <v>0</v>
      </c>
      <c r="I156" s="2">
        <v>0</v>
      </c>
    </row>
    <row r="157" spans="2:9" x14ac:dyDescent="0.2">
      <c r="B157" s="4">
        <f t="shared" ref="B157:C172" ca="1" si="24">B156+1</f>
        <v>44194</v>
      </c>
      <c r="C157">
        <f t="shared" si="24"/>
        <v>146</v>
      </c>
      <c r="D157">
        <f t="shared" ca="1" si="18"/>
        <v>3</v>
      </c>
      <c r="E157" s="2">
        <f t="shared" si="21"/>
        <v>0</v>
      </c>
      <c r="F157" s="2">
        <f t="shared" si="22"/>
        <v>0</v>
      </c>
      <c r="G157" s="2">
        <f t="shared" si="23"/>
        <v>-8.5265128291212022E-14</v>
      </c>
      <c r="H157" s="2">
        <f t="shared" si="19"/>
        <v>0</v>
      </c>
      <c r="I157" s="2">
        <v>0</v>
      </c>
    </row>
    <row r="158" spans="2:9" x14ac:dyDescent="0.2">
      <c r="B158" s="4">
        <f t="shared" ca="1" si="24"/>
        <v>44195</v>
      </c>
      <c r="C158">
        <f t="shared" si="24"/>
        <v>147</v>
      </c>
      <c r="D158">
        <f t="shared" ca="1" si="18"/>
        <v>4</v>
      </c>
      <c r="E158" s="2">
        <f t="shared" si="21"/>
        <v>0</v>
      </c>
      <c r="F158" s="2">
        <f t="shared" si="22"/>
        <v>0</v>
      </c>
      <c r="G158" s="2">
        <f t="shared" si="23"/>
        <v>-8.5265128291212022E-14</v>
      </c>
      <c r="H158" s="2">
        <f t="shared" si="19"/>
        <v>0</v>
      </c>
      <c r="I158" s="2">
        <v>0</v>
      </c>
    </row>
    <row r="159" spans="2:9" x14ac:dyDescent="0.2">
      <c r="B159" s="4">
        <f t="shared" ca="1" si="24"/>
        <v>44196</v>
      </c>
      <c r="C159">
        <f t="shared" si="24"/>
        <v>148</v>
      </c>
      <c r="D159">
        <f t="shared" ca="1" si="18"/>
        <v>5</v>
      </c>
      <c r="E159" s="2">
        <f t="shared" si="21"/>
        <v>0</v>
      </c>
      <c r="F159" s="2">
        <f t="shared" si="22"/>
        <v>0</v>
      </c>
      <c r="G159" s="2">
        <f t="shared" si="23"/>
        <v>-8.5265128291212022E-14</v>
      </c>
      <c r="H159" s="2">
        <f t="shared" si="19"/>
        <v>0</v>
      </c>
      <c r="I159" s="2">
        <v>0</v>
      </c>
    </row>
    <row r="160" spans="2:9" x14ac:dyDescent="0.2">
      <c r="B160" s="4">
        <f t="shared" ca="1" si="24"/>
        <v>44197</v>
      </c>
      <c r="C160">
        <f t="shared" si="24"/>
        <v>149</v>
      </c>
      <c r="D160">
        <f t="shared" ca="1" si="18"/>
        <v>6</v>
      </c>
      <c r="E160" s="2">
        <f t="shared" si="21"/>
        <v>0</v>
      </c>
      <c r="F160" s="2">
        <f t="shared" si="22"/>
        <v>0</v>
      </c>
      <c r="G160" s="2">
        <f t="shared" si="23"/>
        <v>-8.5265128291212022E-14</v>
      </c>
      <c r="H160" s="2">
        <f t="shared" si="19"/>
        <v>0</v>
      </c>
      <c r="I160" s="2">
        <v>0</v>
      </c>
    </row>
    <row r="161" spans="2:9" x14ac:dyDescent="0.2">
      <c r="B161" s="4">
        <f t="shared" ca="1" si="24"/>
        <v>44198</v>
      </c>
      <c r="C161">
        <f t="shared" si="24"/>
        <v>150</v>
      </c>
      <c r="D161">
        <f t="shared" ca="1" si="18"/>
        <v>7</v>
      </c>
      <c r="E161" s="2">
        <f t="shared" si="21"/>
        <v>0</v>
      </c>
      <c r="F161" s="2">
        <f t="shared" si="22"/>
        <v>0</v>
      </c>
      <c r="G161" s="2">
        <f t="shared" si="23"/>
        <v>-8.5265128291212022E-14</v>
      </c>
      <c r="H161" s="2">
        <f t="shared" si="19"/>
        <v>0</v>
      </c>
      <c r="I161" s="2">
        <v>0</v>
      </c>
    </row>
    <row r="162" spans="2:9" x14ac:dyDescent="0.2">
      <c r="B162" s="4">
        <f t="shared" ca="1" si="24"/>
        <v>44199</v>
      </c>
      <c r="C162">
        <f t="shared" si="24"/>
        <v>151</v>
      </c>
      <c r="D162">
        <f t="shared" ca="1" si="18"/>
        <v>1</v>
      </c>
      <c r="E162" s="2">
        <f t="shared" si="21"/>
        <v>0</v>
      </c>
      <c r="F162" s="2">
        <f t="shared" si="22"/>
        <v>0</v>
      </c>
      <c r="G162" s="2">
        <f t="shared" si="23"/>
        <v>-8.5265128291212022E-14</v>
      </c>
      <c r="H162" s="2">
        <f t="shared" si="19"/>
        <v>0</v>
      </c>
      <c r="I162" s="2">
        <v>0</v>
      </c>
    </row>
    <row r="163" spans="2:9" x14ac:dyDescent="0.2">
      <c r="B163" s="4">
        <f t="shared" ca="1" si="24"/>
        <v>44200</v>
      </c>
      <c r="C163">
        <f t="shared" si="24"/>
        <v>152</v>
      </c>
      <c r="D163">
        <f t="shared" ca="1" si="18"/>
        <v>2</v>
      </c>
      <c r="E163" s="2">
        <f t="shared" si="21"/>
        <v>0</v>
      </c>
      <c r="F163" s="2">
        <f t="shared" si="22"/>
        <v>0</v>
      </c>
      <c r="G163" s="2">
        <f t="shared" si="23"/>
        <v>-8.5265128291212022E-14</v>
      </c>
      <c r="H163" s="2">
        <f t="shared" si="19"/>
        <v>0</v>
      </c>
      <c r="I163" s="2">
        <v>0</v>
      </c>
    </row>
    <row r="164" spans="2:9" x14ac:dyDescent="0.2">
      <c r="B164" s="4">
        <f t="shared" ca="1" si="24"/>
        <v>44201</v>
      </c>
      <c r="C164">
        <f t="shared" si="24"/>
        <v>153</v>
      </c>
      <c r="D164">
        <f t="shared" ca="1" si="18"/>
        <v>3</v>
      </c>
      <c r="E164" s="2">
        <f t="shared" si="21"/>
        <v>0</v>
      </c>
      <c r="F164" s="2">
        <f t="shared" si="22"/>
        <v>0</v>
      </c>
      <c r="G164" s="2">
        <f t="shared" si="23"/>
        <v>-8.5265128291212022E-14</v>
      </c>
      <c r="H164" s="2">
        <f t="shared" si="19"/>
        <v>0</v>
      </c>
      <c r="I164" s="2">
        <v>0</v>
      </c>
    </row>
    <row r="165" spans="2:9" x14ac:dyDescent="0.2">
      <c r="B165" s="4">
        <f t="shared" ca="1" si="24"/>
        <v>44202</v>
      </c>
      <c r="C165">
        <f t="shared" si="24"/>
        <v>154</v>
      </c>
      <c r="D165">
        <f t="shared" ca="1" si="18"/>
        <v>4</v>
      </c>
      <c r="E165" s="2">
        <f t="shared" si="21"/>
        <v>0</v>
      </c>
      <c r="F165" s="2">
        <f t="shared" si="22"/>
        <v>0</v>
      </c>
      <c r="G165" s="2">
        <f t="shared" si="23"/>
        <v>-8.5265128291212022E-14</v>
      </c>
      <c r="H165" s="2">
        <f t="shared" si="19"/>
        <v>0</v>
      </c>
      <c r="I165" s="2">
        <v>0</v>
      </c>
    </row>
    <row r="166" spans="2:9" x14ac:dyDescent="0.2">
      <c r="B166" s="4">
        <f t="shared" ca="1" si="24"/>
        <v>44203</v>
      </c>
      <c r="C166">
        <f t="shared" si="24"/>
        <v>155</v>
      </c>
      <c r="D166">
        <f t="shared" ca="1" si="18"/>
        <v>5</v>
      </c>
      <c r="E166" s="2">
        <f t="shared" si="21"/>
        <v>0</v>
      </c>
      <c r="F166" s="2">
        <f t="shared" si="22"/>
        <v>0</v>
      </c>
      <c r="G166" s="2">
        <f t="shared" si="23"/>
        <v>-8.5265128291212022E-14</v>
      </c>
      <c r="H166" s="2">
        <f t="shared" si="19"/>
        <v>0</v>
      </c>
      <c r="I166" s="2">
        <v>0</v>
      </c>
    </row>
    <row r="167" spans="2:9" x14ac:dyDescent="0.2">
      <c r="B167" s="4">
        <f t="shared" ca="1" si="24"/>
        <v>44204</v>
      </c>
      <c r="C167">
        <f t="shared" si="24"/>
        <v>156</v>
      </c>
      <c r="D167">
        <f t="shared" ca="1" si="18"/>
        <v>6</v>
      </c>
      <c r="E167" s="2">
        <f t="shared" si="21"/>
        <v>0</v>
      </c>
      <c r="F167" s="2">
        <f t="shared" si="22"/>
        <v>0</v>
      </c>
      <c r="G167" s="2">
        <f t="shared" si="23"/>
        <v>-8.5265128291212022E-14</v>
      </c>
      <c r="H167" s="2">
        <f t="shared" si="19"/>
        <v>0</v>
      </c>
      <c r="I167" s="2">
        <v>0</v>
      </c>
    </row>
    <row r="168" spans="2:9" x14ac:dyDescent="0.2">
      <c r="B168" s="4">
        <f t="shared" ca="1" si="24"/>
        <v>44205</v>
      </c>
      <c r="C168">
        <f t="shared" si="24"/>
        <v>157</v>
      </c>
      <c r="D168">
        <f t="shared" ca="1" si="18"/>
        <v>7</v>
      </c>
      <c r="E168" s="2">
        <f t="shared" si="21"/>
        <v>0</v>
      </c>
      <c r="F168" s="2">
        <f t="shared" si="22"/>
        <v>0</v>
      </c>
      <c r="G168" s="2">
        <f t="shared" si="23"/>
        <v>-8.5265128291212022E-14</v>
      </c>
      <c r="H168" s="2">
        <f t="shared" si="19"/>
        <v>0</v>
      </c>
      <c r="I168" s="2">
        <v>0</v>
      </c>
    </row>
    <row r="169" spans="2:9" x14ac:dyDescent="0.2">
      <c r="B169" s="4">
        <f t="shared" ca="1" si="24"/>
        <v>44206</v>
      </c>
      <c r="C169">
        <f t="shared" si="24"/>
        <v>158</v>
      </c>
      <c r="D169">
        <f t="shared" ca="1" si="18"/>
        <v>1</v>
      </c>
      <c r="E169" s="2">
        <f t="shared" si="21"/>
        <v>0</v>
      </c>
      <c r="F169" s="2">
        <f t="shared" si="22"/>
        <v>0</v>
      </c>
      <c r="G169" s="2">
        <f t="shared" si="23"/>
        <v>-8.5265128291212022E-14</v>
      </c>
      <c r="H169" s="2">
        <f t="shared" si="19"/>
        <v>0</v>
      </c>
      <c r="I169" s="2">
        <v>0</v>
      </c>
    </row>
    <row r="170" spans="2:9" x14ac:dyDescent="0.2">
      <c r="B170" s="4">
        <f t="shared" ca="1" si="24"/>
        <v>44207</v>
      </c>
      <c r="C170">
        <f t="shared" si="24"/>
        <v>159</v>
      </c>
      <c r="D170">
        <f t="shared" ca="1" si="18"/>
        <v>2</v>
      </c>
      <c r="E170" s="2">
        <f t="shared" si="21"/>
        <v>0</v>
      </c>
      <c r="F170" s="2">
        <f t="shared" si="22"/>
        <v>0</v>
      </c>
      <c r="G170" s="2">
        <f t="shared" si="23"/>
        <v>-8.5265128291212022E-14</v>
      </c>
      <c r="H170" s="2">
        <f t="shared" si="19"/>
        <v>0</v>
      </c>
      <c r="I170" s="2">
        <v>0</v>
      </c>
    </row>
    <row r="171" spans="2:9" x14ac:dyDescent="0.2">
      <c r="B171" s="4">
        <f t="shared" ca="1" si="24"/>
        <v>44208</v>
      </c>
      <c r="C171">
        <f t="shared" si="24"/>
        <v>160</v>
      </c>
      <c r="D171">
        <f t="shared" ca="1" si="18"/>
        <v>3</v>
      </c>
      <c r="E171" s="2">
        <f t="shared" si="21"/>
        <v>0</v>
      </c>
      <c r="F171" s="2">
        <f t="shared" si="22"/>
        <v>0</v>
      </c>
      <c r="G171" s="2">
        <f t="shared" si="23"/>
        <v>-8.5265128291212022E-14</v>
      </c>
      <c r="H171" s="2">
        <f t="shared" si="19"/>
        <v>0</v>
      </c>
      <c r="I171" s="2">
        <v>0</v>
      </c>
    </row>
    <row r="172" spans="2:9" x14ac:dyDescent="0.2">
      <c r="B172" s="4">
        <f t="shared" ca="1" si="24"/>
        <v>44209</v>
      </c>
      <c r="C172">
        <f t="shared" si="24"/>
        <v>161</v>
      </c>
      <c r="D172">
        <f t="shared" ca="1" si="18"/>
        <v>4</v>
      </c>
      <c r="E172" s="2">
        <f t="shared" si="21"/>
        <v>0</v>
      </c>
      <c r="F172" s="2">
        <f t="shared" si="22"/>
        <v>0</v>
      </c>
      <c r="G172" s="2">
        <f t="shared" si="23"/>
        <v>-8.5265128291212022E-14</v>
      </c>
      <c r="H172" s="2">
        <f t="shared" si="19"/>
        <v>0</v>
      </c>
      <c r="I172" s="2">
        <v>0</v>
      </c>
    </row>
    <row r="173" spans="2:9" x14ac:dyDescent="0.2">
      <c r="B173" s="4">
        <f t="shared" ref="B173:C188" ca="1" si="25">B172+1</f>
        <v>44210</v>
      </c>
      <c r="C173">
        <f t="shared" si="25"/>
        <v>162</v>
      </c>
      <c r="D173">
        <f t="shared" ca="1" si="18"/>
        <v>5</v>
      </c>
      <c r="E173" s="2">
        <f t="shared" si="21"/>
        <v>0</v>
      </c>
      <c r="F173" s="2">
        <f t="shared" si="22"/>
        <v>0</v>
      </c>
      <c r="G173" s="2">
        <f t="shared" si="23"/>
        <v>-8.5265128291212022E-14</v>
      </c>
      <c r="H173" s="2">
        <f t="shared" si="19"/>
        <v>0</v>
      </c>
      <c r="I173" s="2">
        <v>0</v>
      </c>
    </row>
    <row r="174" spans="2:9" x14ac:dyDescent="0.2">
      <c r="B174" s="4">
        <f t="shared" ca="1" si="25"/>
        <v>44211</v>
      </c>
      <c r="C174">
        <f t="shared" si="25"/>
        <v>163</v>
      </c>
      <c r="D174">
        <f t="shared" ca="1" si="18"/>
        <v>6</v>
      </c>
      <c r="E174" s="2">
        <f t="shared" si="21"/>
        <v>0</v>
      </c>
      <c r="F174" s="2">
        <f t="shared" si="22"/>
        <v>0</v>
      </c>
      <c r="G174" s="2">
        <f t="shared" si="23"/>
        <v>-8.5265128291212022E-14</v>
      </c>
      <c r="H174" s="2">
        <f t="shared" si="19"/>
        <v>0</v>
      </c>
      <c r="I174" s="2">
        <v>0</v>
      </c>
    </row>
    <row r="175" spans="2:9" x14ac:dyDescent="0.2">
      <c r="B175" s="4">
        <f t="shared" ca="1" si="25"/>
        <v>44212</v>
      </c>
      <c r="C175">
        <f t="shared" si="25"/>
        <v>164</v>
      </c>
      <c r="D175">
        <f t="shared" ca="1" si="18"/>
        <v>7</v>
      </c>
      <c r="E175" s="2">
        <f t="shared" si="21"/>
        <v>0</v>
      </c>
      <c r="F175" s="2">
        <f t="shared" si="22"/>
        <v>0</v>
      </c>
      <c r="G175" s="2">
        <f t="shared" si="23"/>
        <v>-8.5265128291212022E-14</v>
      </c>
      <c r="H175" s="2">
        <f t="shared" si="19"/>
        <v>0</v>
      </c>
      <c r="I175" s="2">
        <v>0</v>
      </c>
    </row>
    <row r="176" spans="2:9" x14ac:dyDescent="0.2">
      <c r="B176" s="4">
        <f t="shared" ca="1" si="25"/>
        <v>44213</v>
      </c>
      <c r="C176">
        <f t="shared" si="25"/>
        <v>165</v>
      </c>
      <c r="D176">
        <f t="shared" ca="1" si="18"/>
        <v>1</v>
      </c>
      <c r="E176" s="2">
        <f t="shared" si="21"/>
        <v>0</v>
      </c>
      <c r="F176" s="2">
        <f t="shared" si="22"/>
        <v>0</v>
      </c>
      <c r="G176" s="2">
        <f t="shared" si="23"/>
        <v>-8.5265128291212022E-14</v>
      </c>
      <c r="H176" s="2">
        <f t="shared" si="19"/>
        <v>0</v>
      </c>
      <c r="I176" s="2">
        <v>0</v>
      </c>
    </row>
    <row r="177" spans="2:9" x14ac:dyDescent="0.2">
      <c r="B177" s="4">
        <f t="shared" ca="1" si="25"/>
        <v>44214</v>
      </c>
      <c r="C177">
        <f t="shared" si="25"/>
        <v>166</v>
      </c>
      <c r="D177">
        <f t="shared" ca="1" si="18"/>
        <v>2</v>
      </c>
      <c r="E177" s="2">
        <f t="shared" si="21"/>
        <v>0</v>
      </c>
      <c r="F177" s="2">
        <f t="shared" si="22"/>
        <v>0</v>
      </c>
      <c r="G177" s="2">
        <f t="shared" si="23"/>
        <v>-8.5265128291212022E-14</v>
      </c>
      <c r="H177" s="2">
        <f t="shared" si="19"/>
        <v>0</v>
      </c>
      <c r="I177" s="2">
        <v>0</v>
      </c>
    </row>
    <row r="178" spans="2:9" x14ac:dyDescent="0.2">
      <c r="B178" s="4">
        <f t="shared" ca="1" si="25"/>
        <v>44215</v>
      </c>
      <c r="C178">
        <f t="shared" si="25"/>
        <v>167</v>
      </c>
      <c r="D178">
        <f t="shared" ca="1" si="18"/>
        <v>3</v>
      </c>
      <c r="E178" s="2">
        <f t="shared" si="21"/>
        <v>0</v>
      </c>
      <c r="F178" s="2">
        <f t="shared" si="22"/>
        <v>0</v>
      </c>
      <c r="G178" s="2">
        <f t="shared" si="23"/>
        <v>-8.5265128291212022E-14</v>
      </c>
      <c r="H178" s="2">
        <f t="shared" si="19"/>
        <v>0</v>
      </c>
      <c r="I178" s="2">
        <v>0</v>
      </c>
    </row>
    <row r="179" spans="2:9" x14ac:dyDescent="0.2">
      <c r="B179" s="4">
        <f t="shared" ca="1" si="25"/>
        <v>44216</v>
      </c>
      <c r="C179">
        <f t="shared" si="25"/>
        <v>168</v>
      </c>
      <c r="D179">
        <f t="shared" ca="1" si="18"/>
        <v>4</v>
      </c>
      <c r="E179" s="2">
        <f t="shared" si="21"/>
        <v>0</v>
      </c>
      <c r="F179" s="2">
        <f t="shared" si="22"/>
        <v>0</v>
      </c>
      <c r="G179" s="2">
        <f t="shared" si="23"/>
        <v>-8.5265128291212022E-14</v>
      </c>
      <c r="H179" s="2">
        <f t="shared" si="19"/>
        <v>0</v>
      </c>
      <c r="I179" s="2">
        <v>0</v>
      </c>
    </row>
    <row r="180" spans="2:9" x14ac:dyDescent="0.2">
      <c r="B180" s="4">
        <f t="shared" ca="1" si="25"/>
        <v>44217</v>
      </c>
      <c r="C180">
        <f t="shared" si="25"/>
        <v>169</v>
      </c>
      <c r="D180">
        <f t="shared" ca="1" si="18"/>
        <v>5</v>
      </c>
      <c r="E180" s="2">
        <f t="shared" si="21"/>
        <v>0</v>
      </c>
      <c r="F180" s="2">
        <f t="shared" si="22"/>
        <v>0</v>
      </c>
      <c r="G180" s="2">
        <f t="shared" si="23"/>
        <v>-8.5265128291212022E-14</v>
      </c>
      <c r="H180" s="2">
        <f t="shared" si="19"/>
        <v>0</v>
      </c>
      <c r="I180" s="2">
        <v>0</v>
      </c>
    </row>
    <row r="181" spans="2:9" x14ac:dyDescent="0.2">
      <c r="B181" s="4">
        <f t="shared" ca="1" si="25"/>
        <v>44218</v>
      </c>
      <c r="C181">
        <f t="shared" si="25"/>
        <v>170</v>
      </c>
      <c r="D181">
        <f t="shared" ca="1" si="18"/>
        <v>6</v>
      </c>
      <c r="E181" s="2">
        <f t="shared" si="21"/>
        <v>0</v>
      </c>
      <c r="F181" s="2">
        <f t="shared" si="22"/>
        <v>0</v>
      </c>
      <c r="G181" s="2">
        <f t="shared" si="23"/>
        <v>-8.5265128291212022E-14</v>
      </c>
      <c r="H181" s="2">
        <f t="shared" si="19"/>
        <v>0</v>
      </c>
      <c r="I181" s="2">
        <v>0</v>
      </c>
    </row>
    <row r="182" spans="2:9" x14ac:dyDescent="0.2">
      <c r="B182" s="4">
        <f t="shared" ca="1" si="25"/>
        <v>44219</v>
      </c>
      <c r="C182">
        <f t="shared" si="25"/>
        <v>171</v>
      </c>
      <c r="D182">
        <f t="shared" ca="1" si="18"/>
        <v>7</v>
      </c>
      <c r="E182" s="2">
        <f t="shared" si="21"/>
        <v>0</v>
      </c>
      <c r="F182" s="2">
        <f t="shared" si="22"/>
        <v>0</v>
      </c>
      <c r="G182" s="2">
        <f t="shared" si="23"/>
        <v>-8.5265128291212022E-14</v>
      </c>
      <c r="H182" s="2">
        <f t="shared" si="19"/>
        <v>0</v>
      </c>
      <c r="I182" s="2">
        <v>0</v>
      </c>
    </row>
    <row r="183" spans="2:9" x14ac:dyDescent="0.2">
      <c r="B183" s="4">
        <f t="shared" ca="1" si="25"/>
        <v>44220</v>
      </c>
      <c r="C183">
        <f t="shared" si="25"/>
        <v>172</v>
      </c>
      <c r="D183">
        <f t="shared" ca="1" si="18"/>
        <v>1</v>
      </c>
      <c r="E183" s="2">
        <f t="shared" si="21"/>
        <v>0</v>
      </c>
      <c r="F183" s="2">
        <f t="shared" si="22"/>
        <v>0</v>
      </c>
      <c r="G183" s="2">
        <f t="shared" si="23"/>
        <v>-8.5265128291212022E-14</v>
      </c>
      <c r="H183" s="2">
        <f t="shared" si="19"/>
        <v>0</v>
      </c>
      <c r="I183" s="2">
        <v>0</v>
      </c>
    </row>
    <row r="184" spans="2:9" x14ac:dyDescent="0.2">
      <c r="B184" s="4">
        <f t="shared" ca="1" si="25"/>
        <v>44221</v>
      </c>
      <c r="C184">
        <f t="shared" si="25"/>
        <v>173</v>
      </c>
      <c r="D184">
        <f t="shared" ca="1" si="18"/>
        <v>2</v>
      </c>
      <c r="E184" s="2">
        <f t="shared" si="21"/>
        <v>0</v>
      </c>
      <c r="F184" s="2">
        <f t="shared" si="22"/>
        <v>0</v>
      </c>
      <c r="G184" s="2">
        <f t="shared" si="23"/>
        <v>-8.5265128291212022E-14</v>
      </c>
      <c r="H184" s="2">
        <f t="shared" si="19"/>
        <v>0</v>
      </c>
      <c r="I184" s="2">
        <v>0</v>
      </c>
    </row>
    <row r="185" spans="2:9" x14ac:dyDescent="0.2">
      <c r="B185" s="4">
        <f t="shared" ca="1" si="25"/>
        <v>44222</v>
      </c>
      <c r="C185">
        <f t="shared" si="25"/>
        <v>174</v>
      </c>
      <c r="D185">
        <f t="shared" ca="1" si="18"/>
        <v>3</v>
      </c>
      <c r="E185" s="2">
        <f t="shared" si="21"/>
        <v>0</v>
      </c>
      <c r="F185" s="2">
        <f t="shared" si="22"/>
        <v>0</v>
      </c>
      <c r="G185" s="2">
        <f t="shared" si="23"/>
        <v>-8.5265128291212022E-14</v>
      </c>
      <c r="H185" s="2">
        <f t="shared" si="19"/>
        <v>0</v>
      </c>
      <c r="I185" s="2">
        <v>0</v>
      </c>
    </row>
    <row r="186" spans="2:9" x14ac:dyDescent="0.2">
      <c r="B186" s="4">
        <f t="shared" ca="1" si="25"/>
        <v>44223</v>
      </c>
      <c r="C186">
        <f t="shared" si="25"/>
        <v>175</v>
      </c>
      <c r="D186">
        <f t="shared" ca="1" si="18"/>
        <v>4</v>
      </c>
      <c r="E186" s="2">
        <f t="shared" si="21"/>
        <v>0</v>
      </c>
      <c r="F186" s="2">
        <f t="shared" si="22"/>
        <v>0</v>
      </c>
      <c r="G186" s="2">
        <f t="shared" si="23"/>
        <v>-8.5265128291212022E-14</v>
      </c>
      <c r="H186" s="2">
        <f t="shared" si="19"/>
        <v>0</v>
      </c>
      <c r="I186" s="2">
        <v>0</v>
      </c>
    </row>
    <row r="187" spans="2:9" x14ac:dyDescent="0.2">
      <c r="B187" s="4">
        <f t="shared" ca="1" si="25"/>
        <v>44224</v>
      </c>
      <c r="C187">
        <f t="shared" si="25"/>
        <v>176</v>
      </c>
      <c r="D187">
        <f t="shared" ca="1" si="18"/>
        <v>5</v>
      </c>
      <c r="E187" s="2">
        <f t="shared" si="21"/>
        <v>0</v>
      </c>
      <c r="F187" s="2">
        <f t="shared" si="22"/>
        <v>0</v>
      </c>
      <c r="G187" s="2">
        <f t="shared" si="23"/>
        <v>-8.5265128291212022E-14</v>
      </c>
      <c r="H187" s="2">
        <f t="shared" si="19"/>
        <v>0</v>
      </c>
      <c r="I187" s="2">
        <v>0</v>
      </c>
    </row>
    <row r="188" spans="2:9" x14ac:dyDescent="0.2">
      <c r="B188" s="4">
        <f t="shared" ca="1" si="25"/>
        <v>44225</v>
      </c>
      <c r="C188">
        <f t="shared" si="25"/>
        <v>177</v>
      </c>
      <c r="D188">
        <f t="shared" ca="1" si="18"/>
        <v>6</v>
      </c>
      <c r="E188" s="2">
        <f t="shared" si="21"/>
        <v>0</v>
      </c>
      <c r="F188" s="2">
        <f t="shared" si="22"/>
        <v>0</v>
      </c>
      <c r="G188" s="2">
        <f t="shared" si="23"/>
        <v>-8.5265128291212022E-14</v>
      </c>
      <c r="H188" s="2">
        <f t="shared" si="19"/>
        <v>0</v>
      </c>
      <c r="I188" s="2">
        <v>0</v>
      </c>
    </row>
    <row r="189" spans="2:9" x14ac:dyDescent="0.2">
      <c r="B189" s="4">
        <f t="shared" ref="B189:C204" ca="1" si="26">B188+1</f>
        <v>44226</v>
      </c>
      <c r="C189">
        <f t="shared" si="26"/>
        <v>178</v>
      </c>
      <c r="D189">
        <f t="shared" ca="1" si="18"/>
        <v>7</v>
      </c>
      <c r="E189" s="2">
        <f t="shared" si="21"/>
        <v>0</v>
      </c>
      <c r="F189" s="2">
        <f t="shared" si="22"/>
        <v>0</v>
      </c>
      <c r="G189" s="2">
        <f t="shared" si="23"/>
        <v>-8.5265128291212022E-14</v>
      </c>
      <c r="H189" s="2">
        <f t="shared" si="19"/>
        <v>0</v>
      </c>
      <c r="I189" s="2">
        <v>0</v>
      </c>
    </row>
    <row r="190" spans="2:9" x14ac:dyDescent="0.2">
      <c r="B190" s="4">
        <f t="shared" ca="1" si="26"/>
        <v>44227</v>
      </c>
      <c r="C190">
        <f t="shared" si="26"/>
        <v>179</v>
      </c>
      <c r="D190">
        <f t="shared" ca="1" si="18"/>
        <v>1</v>
      </c>
      <c r="E190" s="2">
        <f t="shared" si="21"/>
        <v>0</v>
      </c>
      <c r="F190" s="2">
        <f t="shared" si="22"/>
        <v>0</v>
      </c>
      <c r="G190" s="2">
        <f t="shared" si="23"/>
        <v>-8.5265128291212022E-14</v>
      </c>
      <c r="H190" s="2">
        <f t="shared" si="19"/>
        <v>0</v>
      </c>
      <c r="I190" s="2">
        <v>0</v>
      </c>
    </row>
    <row r="191" spans="2:9" x14ac:dyDescent="0.2">
      <c r="B191" s="4">
        <f t="shared" ca="1" si="26"/>
        <v>44228</v>
      </c>
      <c r="C191">
        <f t="shared" si="26"/>
        <v>180</v>
      </c>
      <c r="D191">
        <f t="shared" ca="1" si="18"/>
        <v>2</v>
      </c>
      <c r="E191" s="2">
        <f t="shared" si="21"/>
        <v>0</v>
      </c>
      <c r="F191" s="2">
        <f t="shared" si="22"/>
        <v>0</v>
      </c>
      <c r="G191" s="2">
        <f t="shared" si="23"/>
        <v>-8.5265128291212022E-14</v>
      </c>
      <c r="H191" s="2">
        <f t="shared" si="19"/>
        <v>0</v>
      </c>
      <c r="I191" s="2">
        <v>0</v>
      </c>
    </row>
    <row r="192" spans="2:9" x14ac:dyDescent="0.2">
      <c r="B192" s="4">
        <f t="shared" ca="1" si="26"/>
        <v>44229</v>
      </c>
      <c r="C192">
        <f t="shared" si="26"/>
        <v>181</v>
      </c>
      <c r="D192">
        <f t="shared" ca="1" si="18"/>
        <v>3</v>
      </c>
      <c r="E192" s="2">
        <f t="shared" si="21"/>
        <v>0</v>
      </c>
      <c r="F192" s="2">
        <f t="shared" si="22"/>
        <v>0</v>
      </c>
      <c r="G192" s="2">
        <f t="shared" si="23"/>
        <v>-8.5265128291212022E-14</v>
      </c>
      <c r="H192" s="2">
        <f t="shared" si="19"/>
        <v>0</v>
      </c>
      <c r="I192" s="2">
        <v>0</v>
      </c>
    </row>
    <row r="193" spans="2:9" x14ac:dyDescent="0.2">
      <c r="B193" s="4">
        <f t="shared" ca="1" si="26"/>
        <v>44230</v>
      </c>
      <c r="C193">
        <f t="shared" si="26"/>
        <v>182</v>
      </c>
      <c r="D193">
        <f t="shared" ca="1" si="18"/>
        <v>4</v>
      </c>
      <c r="E193" s="2">
        <f t="shared" si="21"/>
        <v>0</v>
      </c>
      <c r="F193" s="2">
        <f t="shared" si="22"/>
        <v>0</v>
      </c>
      <c r="G193" s="2">
        <f t="shared" si="23"/>
        <v>-8.5265128291212022E-14</v>
      </c>
      <c r="H193" s="2">
        <f t="shared" si="19"/>
        <v>0</v>
      </c>
      <c r="I193" s="2">
        <v>0</v>
      </c>
    </row>
    <row r="194" spans="2:9" x14ac:dyDescent="0.2">
      <c r="B194" s="4">
        <f t="shared" ca="1" si="26"/>
        <v>44231</v>
      </c>
      <c r="C194">
        <f t="shared" si="26"/>
        <v>183</v>
      </c>
      <c r="D194">
        <f t="shared" ca="1" si="18"/>
        <v>5</v>
      </c>
      <c r="E194" s="2">
        <f t="shared" si="21"/>
        <v>0</v>
      </c>
      <c r="F194" s="2">
        <f t="shared" si="22"/>
        <v>0</v>
      </c>
      <c r="G194" s="2">
        <f t="shared" si="23"/>
        <v>-8.5265128291212022E-14</v>
      </c>
      <c r="H194" s="2">
        <f t="shared" si="19"/>
        <v>0</v>
      </c>
      <c r="I194" s="2">
        <v>0</v>
      </c>
    </row>
    <row r="195" spans="2:9" x14ac:dyDescent="0.2">
      <c r="B195" s="4">
        <f t="shared" ca="1" si="26"/>
        <v>44232</v>
      </c>
      <c r="C195">
        <f t="shared" si="26"/>
        <v>184</v>
      </c>
      <c r="D195">
        <f t="shared" ca="1" si="18"/>
        <v>6</v>
      </c>
      <c r="E195" s="2">
        <f t="shared" si="21"/>
        <v>0</v>
      </c>
      <c r="F195" s="2">
        <f t="shared" si="22"/>
        <v>0</v>
      </c>
      <c r="G195" s="2">
        <f t="shared" si="23"/>
        <v>-8.5265128291212022E-14</v>
      </c>
      <c r="H195" s="2">
        <f t="shared" si="19"/>
        <v>0</v>
      </c>
      <c r="I195" s="2">
        <v>0</v>
      </c>
    </row>
    <row r="196" spans="2:9" x14ac:dyDescent="0.2">
      <c r="B196" s="4">
        <f t="shared" ca="1" si="26"/>
        <v>44233</v>
      </c>
      <c r="C196">
        <f t="shared" si="26"/>
        <v>185</v>
      </c>
      <c r="D196">
        <f t="shared" ca="1" si="18"/>
        <v>7</v>
      </c>
      <c r="E196" s="2">
        <f t="shared" si="21"/>
        <v>0</v>
      </c>
      <c r="F196" s="2">
        <f t="shared" si="22"/>
        <v>0</v>
      </c>
      <c r="G196" s="2">
        <f t="shared" si="23"/>
        <v>-8.5265128291212022E-14</v>
      </c>
      <c r="H196" s="2">
        <f t="shared" si="19"/>
        <v>0</v>
      </c>
      <c r="I196" s="2">
        <v>0</v>
      </c>
    </row>
    <row r="197" spans="2:9" x14ac:dyDescent="0.2">
      <c r="B197" s="4">
        <f t="shared" ca="1" si="26"/>
        <v>44234</v>
      </c>
      <c r="C197">
        <f t="shared" si="26"/>
        <v>186</v>
      </c>
      <c r="D197">
        <f t="shared" ca="1" si="18"/>
        <v>1</v>
      </c>
      <c r="E197" s="2">
        <f t="shared" si="21"/>
        <v>0</v>
      </c>
      <c r="F197" s="2">
        <f t="shared" si="22"/>
        <v>0</v>
      </c>
      <c r="G197" s="2">
        <f t="shared" si="23"/>
        <v>-8.5265128291212022E-14</v>
      </c>
      <c r="H197" s="2">
        <f t="shared" si="19"/>
        <v>0</v>
      </c>
      <c r="I197" s="2">
        <v>0</v>
      </c>
    </row>
    <row r="198" spans="2:9" x14ac:dyDescent="0.2">
      <c r="B198" s="4">
        <f t="shared" ca="1" si="26"/>
        <v>44235</v>
      </c>
      <c r="C198">
        <f t="shared" si="26"/>
        <v>187</v>
      </c>
      <c r="D198">
        <f t="shared" ca="1" si="18"/>
        <v>2</v>
      </c>
      <c r="E198" s="2">
        <f t="shared" si="21"/>
        <v>0</v>
      </c>
      <c r="F198" s="2">
        <f t="shared" si="22"/>
        <v>0</v>
      </c>
      <c r="G198" s="2">
        <f t="shared" si="23"/>
        <v>-8.5265128291212022E-14</v>
      </c>
      <c r="H198" s="2">
        <f t="shared" si="19"/>
        <v>0</v>
      </c>
      <c r="I198" s="2">
        <v>0</v>
      </c>
    </row>
    <row r="199" spans="2:9" x14ac:dyDescent="0.2">
      <c r="B199" s="4">
        <f t="shared" ca="1" si="26"/>
        <v>44236</v>
      </c>
      <c r="C199">
        <f t="shared" si="26"/>
        <v>188</v>
      </c>
      <c r="D199">
        <f t="shared" ca="1" si="18"/>
        <v>3</v>
      </c>
      <c r="E199" s="2">
        <f t="shared" si="21"/>
        <v>0</v>
      </c>
      <c r="F199" s="2">
        <f t="shared" si="22"/>
        <v>0</v>
      </c>
      <c r="G199" s="2">
        <f t="shared" si="23"/>
        <v>-8.5265128291212022E-14</v>
      </c>
      <c r="H199" s="2">
        <f t="shared" si="19"/>
        <v>0</v>
      </c>
      <c r="I199" s="2">
        <v>0</v>
      </c>
    </row>
    <row r="200" spans="2:9" x14ac:dyDescent="0.2">
      <c r="B200" s="4">
        <f t="shared" ca="1" si="26"/>
        <v>44237</v>
      </c>
      <c r="C200">
        <f t="shared" si="26"/>
        <v>189</v>
      </c>
      <c r="D200">
        <f t="shared" ca="1" si="18"/>
        <v>4</v>
      </c>
      <c r="E200" s="2">
        <f t="shared" si="21"/>
        <v>0</v>
      </c>
      <c r="F200" s="2">
        <f t="shared" si="22"/>
        <v>0</v>
      </c>
      <c r="G200" s="2">
        <f t="shared" si="23"/>
        <v>-8.5265128291212022E-14</v>
      </c>
      <c r="H200" s="2">
        <f t="shared" si="19"/>
        <v>0</v>
      </c>
      <c r="I200" s="2">
        <v>0</v>
      </c>
    </row>
    <row r="201" spans="2:9" x14ac:dyDescent="0.2">
      <c r="B201" s="4">
        <f t="shared" ca="1" si="26"/>
        <v>44238</v>
      </c>
      <c r="C201">
        <f t="shared" si="26"/>
        <v>190</v>
      </c>
      <c r="D201">
        <f t="shared" ca="1" si="18"/>
        <v>5</v>
      </c>
      <c r="E201" s="2">
        <f t="shared" si="21"/>
        <v>0</v>
      </c>
      <c r="F201" s="2">
        <f t="shared" si="22"/>
        <v>0</v>
      </c>
      <c r="G201" s="2">
        <f t="shared" si="23"/>
        <v>-8.5265128291212022E-14</v>
      </c>
      <c r="H201" s="2">
        <f t="shared" si="19"/>
        <v>0</v>
      </c>
      <c r="I201" s="2">
        <v>0</v>
      </c>
    </row>
    <row r="202" spans="2:9" x14ac:dyDescent="0.2">
      <c r="B202" s="4">
        <f t="shared" ca="1" si="26"/>
        <v>44239</v>
      </c>
      <c r="C202">
        <f t="shared" si="26"/>
        <v>191</v>
      </c>
      <c r="D202">
        <f t="shared" ca="1" si="18"/>
        <v>6</v>
      </c>
      <c r="E202" s="2">
        <f t="shared" si="21"/>
        <v>0</v>
      </c>
      <c r="F202" s="2">
        <f t="shared" si="22"/>
        <v>0</v>
      </c>
      <c r="G202" s="2">
        <f t="shared" si="23"/>
        <v>-8.5265128291212022E-14</v>
      </c>
      <c r="H202" s="2">
        <f t="shared" si="19"/>
        <v>0</v>
      </c>
      <c r="I202" s="2">
        <v>0</v>
      </c>
    </row>
    <row r="203" spans="2:9" x14ac:dyDescent="0.2">
      <c r="B203" s="4">
        <f t="shared" ca="1" si="26"/>
        <v>44240</v>
      </c>
      <c r="C203">
        <f t="shared" si="26"/>
        <v>192</v>
      </c>
      <c r="D203">
        <f t="shared" ca="1" si="18"/>
        <v>7</v>
      </c>
      <c r="E203" s="2">
        <f t="shared" si="21"/>
        <v>0</v>
      </c>
      <c r="F203" s="2">
        <f t="shared" si="22"/>
        <v>0</v>
      </c>
      <c r="G203" s="2">
        <f t="shared" si="23"/>
        <v>-8.5265128291212022E-14</v>
      </c>
      <c r="H203" s="2">
        <f t="shared" si="19"/>
        <v>0</v>
      </c>
      <c r="I203" s="2">
        <v>0</v>
      </c>
    </row>
    <row r="204" spans="2:9" x14ac:dyDescent="0.2">
      <c r="B204" s="4">
        <f t="shared" ca="1" si="26"/>
        <v>44241</v>
      </c>
      <c r="C204">
        <f t="shared" si="26"/>
        <v>193</v>
      </c>
      <c r="D204">
        <f t="shared" ref="D204:D211" ca="1" si="27">WEEKDAY(B204,1)</f>
        <v>1</v>
      </c>
      <c r="E204" s="2">
        <f t="shared" si="21"/>
        <v>0</v>
      </c>
      <c r="F204" s="2">
        <f t="shared" si="22"/>
        <v>0</v>
      </c>
      <c r="G204" s="2">
        <f t="shared" si="23"/>
        <v>-8.5265128291212022E-14</v>
      </c>
      <c r="H204" s="2">
        <f t="shared" ref="H204:H211" si="28">IF(C204&gt;$C$7,0,(G204)*$C$5/365)</f>
        <v>0</v>
      </c>
      <c r="I204" s="2">
        <v>0</v>
      </c>
    </row>
    <row r="205" spans="2:9" x14ac:dyDescent="0.2">
      <c r="B205" s="4">
        <f t="shared" ref="B205:C211" ca="1" si="29">B204+1</f>
        <v>44242</v>
      </c>
      <c r="C205">
        <f t="shared" si="29"/>
        <v>194</v>
      </c>
      <c r="D205">
        <f t="shared" ca="1" si="27"/>
        <v>2</v>
      </c>
      <c r="E205" s="2">
        <f t="shared" ref="E205:E211" si="30">IF(C205&gt;$C$7,0,G204+H204+I204)</f>
        <v>0</v>
      </c>
      <c r="F205" s="2">
        <f t="shared" ref="F205:F211" si="31">IF(C205&gt;$C$7,0,IF(ROUND(E205,0)&gt;0,IF(C205=0,0,IF(MOD(C205,$C$3)&gt;0,0,$C$8)),0))</f>
        <v>0</v>
      </c>
      <c r="G205" s="2">
        <f t="shared" ref="G205:G211" si="32">IF(C205&gt;$C$7,G204,E205-F205)</f>
        <v>-8.5265128291212022E-14</v>
      </c>
      <c r="H205" s="2">
        <f t="shared" si="28"/>
        <v>0</v>
      </c>
      <c r="I205" s="2">
        <v>0</v>
      </c>
    </row>
    <row r="206" spans="2:9" x14ac:dyDescent="0.2">
      <c r="B206" s="4">
        <f t="shared" ca="1" si="29"/>
        <v>44243</v>
      </c>
      <c r="C206">
        <f t="shared" si="29"/>
        <v>195</v>
      </c>
      <c r="D206">
        <f t="shared" ca="1" si="27"/>
        <v>3</v>
      </c>
      <c r="E206" s="2">
        <f t="shared" si="30"/>
        <v>0</v>
      </c>
      <c r="F206" s="2">
        <f t="shared" si="31"/>
        <v>0</v>
      </c>
      <c r="G206" s="2">
        <f t="shared" si="32"/>
        <v>-8.5265128291212022E-14</v>
      </c>
      <c r="H206" s="2">
        <f t="shared" si="28"/>
        <v>0</v>
      </c>
      <c r="I206" s="2">
        <v>0</v>
      </c>
    </row>
    <row r="207" spans="2:9" x14ac:dyDescent="0.2">
      <c r="B207" s="4">
        <f t="shared" ca="1" si="29"/>
        <v>44244</v>
      </c>
      <c r="C207">
        <f t="shared" si="29"/>
        <v>196</v>
      </c>
      <c r="D207">
        <f t="shared" ca="1" si="27"/>
        <v>4</v>
      </c>
      <c r="E207" s="2">
        <f t="shared" si="30"/>
        <v>0</v>
      </c>
      <c r="F207" s="2">
        <f t="shared" si="31"/>
        <v>0</v>
      </c>
      <c r="G207" s="2">
        <f t="shared" si="32"/>
        <v>-8.5265128291212022E-14</v>
      </c>
      <c r="H207" s="2">
        <f t="shared" si="28"/>
        <v>0</v>
      </c>
      <c r="I207" s="2">
        <v>0</v>
      </c>
    </row>
    <row r="208" spans="2:9" x14ac:dyDescent="0.2">
      <c r="B208" s="4">
        <f t="shared" ca="1" si="29"/>
        <v>44245</v>
      </c>
      <c r="C208">
        <f t="shared" si="29"/>
        <v>197</v>
      </c>
      <c r="D208">
        <f t="shared" ca="1" si="27"/>
        <v>5</v>
      </c>
      <c r="E208" s="2">
        <f t="shared" si="30"/>
        <v>0</v>
      </c>
      <c r="F208" s="2">
        <f t="shared" si="31"/>
        <v>0</v>
      </c>
      <c r="G208" s="2">
        <f t="shared" si="32"/>
        <v>-8.5265128291212022E-14</v>
      </c>
      <c r="H208" s="2">
        <f t="shared" si="28"/>
        <v>0</v>
      </c>
      <c r="I208" s="2">
        <v>0</v>
      </c>
    </row>
    <row r="209" spans="2:9" x14ac:dyDescent="0.2">
      <c r="B209" s="4">
        <f t="shared" ca="1" si="29"/>
        <v>44246</v>
      </c>
      <c r="C209">
        <f t="shared" si="29"/>
        <v>198</v>
      </c>
      <c r="D209">
        <f t="shared" ca="1" si="27"/>
        <v>6</v>
      </c>
      <c r="E209" s="2">
        <f t="shared" si="30"/>
        <v>0</v>
      </c>
      <c r="F209" s="2">
        <f t="shared" si="31"/>
        <v>0</v>
      </c>
      <c r="G209" s="2">
        <f t="shared" si="32"/>
        <v>-8.5265128291212022E-14</v>
      </c>
      <c r="H209" s="2">
        <f t="shared" si="28"/>
        <v>0</v>
      </c>
      <c r="I209" s="2">
        <v>0</v>
      </c>
    </row>
    <row r="210" spans="2:9" x14ac:dyDescent="0.2">
      <c r="B210" s="4">
        <f t="shared" ca="1" si="29"/>
        <v>44247</v>
      </c>
      <c r="C210">
        <f t="shared" si="29"/>
        <v>199</v>
      </c>
      <c r="D210">
        <f t="shared" ca="1" si="27"/>
        <v>7</v>
      </c>
      <c r="E210" s="2">
        <f t="shared" si="30"/>
        <v>0</v>
      </c>
      <c r="F210" s="2">
        <f t="shared" si="31"/>
        <v>0</v>
      </c>
      <c r="G210" s="2">
        <f t="shared" si="32"/>
        <v>-8.5265128291212022E-14</v>
      </c>
      <c r="H210" s="2">
        <f t="shared" si="28"/>
        <v>0</v>
      </c>
      <c r="I210" s="2">
        <v>0</v>
      </c>
    </row>
    <row r="211" spans="2:9" x14ac:dyDescent="0.2">
      <c r="B211" s="4">
        <f t="shared" ca="1" si="29"/>
        <v>44248</v>
      </c>
      <c r="C211">
        <f t="shared" si="29"/>
        <v>200</v>
      </c>
      <c r="D211">
        <f t="shared" ca="1" si="27"/>
        <v>1</v>
      </c>
      <c r="E211" s="2">
        <f t="shared" si="30"/>
        <v>0</v>
      </c>
      <c r="F211" s="2">
        <f t="shared" si="31"/>
        <v>0</v>
      </c>
      <c r="G211" s="2">
        <f t="shared" si="32"/>
        <v>-8.5265128291212022E-14</v>
      </c>
      <c r="H211" s="2">
        <f t="shared" si="28"/>
        <v>0</v>
      </c>
      <c r="I211" s="2">
        <v>0</v>
      </c>
    </row>
  </sheetData>
  <mergeCells count="2">
    <mergeCell ref="H2:I4"/>
    <mergeCell ref="E7:F8"/>
  </mergeCells>
  <conditionalFormatting sqref="E7">
    <cfRule type="cellIs" dxfId="85" priority="3" operator="equal">
      <formula>"No RESET Required"</formula>
    </cfRule>
    <cfRule type="cellIs" dxfId="84" priority="4" operator="equal">
      <formula>"RESET"</formula>
    </cfRule>
  </conditionalFormatting>
  <conditionalFormatting sqref="B11:I211">
    <cfRule type="expression" dxfId="83" priority="1">
      <formula>$C11=$C$7</formula>
    </cfRule>
    <cfRule type="expression" dxfId="82" priority="2">
      <formula>$C11&gt;$C$7</formula>
    </cfRule>
  </conditionalFormatting>
  <hyperlinks>
    <hyperlink ref="H2:I4" location="Summary!A1" display="Return to Home" xr:uid="{0CE3F6F7-B4CE-49F4-8F42-9F04B301E32E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215900</xdr:colOff>
                    <xdr:row>5</xdr:row>
                    <xdr:rowOff>76200</xdr:rowOff>
                  </from>
                  <to>
                    <xdr:col>8</xdr:col>
                    <xdr:colOff>1562100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05CF-D04A-4875-861D-179D603CDDF4}">
  <sheetPr codeName="Sheet22"/>
  <dimension ref="B2:L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4.1640625" bestFit="1" customWidth="1"/>
    <col min="9" max="9" width="13" bestFit="1" customWidth="1"/>
    <col min="10" max="10" width="9.1640625" bestFit="1" customWidth="1"/>
  </cols>
  <sheetData>
    <row r="2" spans="2:12" x14ac:dyDescent="0.2">
      <c r="B2" s="1" t="s">
        <v>0</v>
      </c>
      <c r="C2" s="13">
        <v>250</v>
      </c>
      <c r="E2" s="1" t="s">
        <v>1</v>
      </c>
      <c r="F2" s="16">
        <f ca="1">TODAY()-1</f>
        <v>44048</v>
      </c>
      <c r="H2" s="1" t="s">
        <v>16</v>
      </c>
      <c r="I2" s="10">
        <f ca="1">COUNTIF($F$11:$F$210,"&gt;0")</f>
        <v>2</v>
      </c>
    </row>
    <row r="3" spans="2:12" ht="16" thickBot="1" x14ac:dyDescent="0.25">
      <c r="B3" s="1" t="s">
        <v>2</v>
      </c>
      <c r="C3" s="14">
        <f ca="1">C7/I2</f>
        <v>30.5</v>
      </c>
      <c r="E3" s="1" t="s">
        <v>3</v>
      </c>
      <c r="F3" s="15">
        <f ca="1">SUM(F12:F211)</f>
        <v>256.11525716015285</v>
      </c>
    </row>
    <row r="4" spans="2:12" ht="15" customHeight="1" x14ac:dyDescent="0.2">
      <c r="B4" s="1" t="s">
        <v>17</v>
      </c>
      <c r="C4" s="11">
        <v>62</v>
      </c>
      <c r="E4" s="1" t="s">
        <v>5</v>
      </c>
      <c r="F4" s="15">
        <f ca="1">SUM(H11:H211)</f>
        <v>6.0485970247276226</v>
      </c>
      <c r="H4" s="23" t="s">
        <v>34</v>
      </c>
      <c r="I4" s="24"/>
    </row>
    <row r="5" spans="2:12" ht="14.5" customHeight="1" x14ac:dyDescent="0.2">
      <c r="B5" s="1" t="s">
        <v>6</v>
      </c>
      <c r="C5" s="12">
        <v>0.19</v>
      </c>
      <c r="E5" s="1" t="s">
        <v>7</v>
      </c>
      <c r="F5" s="15">
        <f ca="1">SUM(G12:G211)</f>
        <v>11360.4122936517</v>
      </c>
      <c r="H5" s="25"/>
      <c r="I5" s="26"/>
    </row>
    <row r="6" spans="2:12" ht="15" customHeight="1" thickBot="1" x14ac:dyDescent="0.25">
      <c r="B6" s="1" t="s">
        <v>8</v>
      </c>
      <c r="C6" s="13">
        <v>20</v>
      </c>
      <c r="H6" s="27"/>
      <c r="I6" s="28"/>
    </row>
    <row r="7" spans="2:12" ht="14.5" customHeight="1" x14ac:dyDescent="0.2">
      <c r="B7" s="1" t="s">
        <v>9</v>
      </c>
      <c r="C7" s="10">
        <f ca="1">DATE(YEAR($F$2+$C$4),MONTH($F$2+$C$4),DAY($F$2)) - $F$2</f>
        <v>61</v>
      </c>
      <c r="E7" s="29" t="str">
        <f ca="1">IF(ROUND(G211,2)&lt;&gt;0,"RESET","No RESET Required")</f>
        <v>RESET</v>
      </c>
      <c r="F7" s="30"/>
    </row>
    <row r="8" spans="2:12" ht="15" customHeight="1" thickBot="1" x14ac:dyDescent="0.25">
      <c r="B8" s="1" t="s">
        <v>10</v>
      </c>
      <c r="C8" s="8">
        <v>128.05762858007643</v>
      </c>
      <c r="E8" s="31"/>
      <c r="F8" s="32"/>
    </row>
    <row r="9" spans="2:12" x14ac:dyDescent="0.2">
      <c r="C9" s="2"/>
      <c r="F9" s="3"/>
      <c r="G9" s="3"/>
      <c r="H9" s="3"/>
      <c r="I9" s="3"/>
      <c r="J9" s="3"/>
    </row>
    <row r="10" spans="2:12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12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>I11+$C$2</f>
        <v>250</v>
      </c>
      <c r="H11" s="2">
        <f t="shared" ref="H11:H75" ca="1" si="0">IF(C11&gt;$C$7,0,(G11)*$C$5/365)</f>
        <v>0.13013698630136986</v>
      </c>
      <c r="I11" s="2">
        <v>0</v>
      </c>
    </row>
    <row r="12" spans="2:12" x14ac:dyDescent="0.2">
      <c r="B12" s="4">
        <f ca="1">B11+1</f>
        <v>44049</v>
      </c>
      <c r="C12">
        <f>C11+1</f>
        <v>1</v>
      </c>
      <c r="D12">
        <f t="shared" ref="D12:D75" ca="1" si="1">WEEKDAY(B12,1)</f>
        <v>5</v>
      </c>
      <c r="E12" s="2">
        <f ca="1">IF(C12&gt;$C$7,0,G11+H11+I11)</f>
        <v>250.13013698630138</v>
      </c>
      <c r="F12" s="2">
        <f ca="1">IF(C12&gt;$C$7,0,IF(ROUND(E12,0)&gt;0,IF(C12=0,0,IF(DAY($F$2)&lt;&gt;DAY(B12),0,$C$8)),0))</f>
        <v>0</v>
      </c>
      <c r="G12" s="2">
        <f ca="1">IF(C12&gt;$C$7,G11,E12-F12)</f>
        <v>250.13013698630138</v>
      </c>
      <c r="H12" s="2">
        <f t="shared" ca="1" si="0"/>
        <v>0.13020472884218429</v>
      </c>
      <c r="I12" s="2">
        <v>0</v>
      </c>
      <c r="L12" s="22"/>
    </row>
    <row r="13" spans="2:12" x14ac:dyDescent="0.2">
      <c r="B13" s="4">
        <f t="shared" ref="B13:C28" ca="1" si="2">B12+1</f>
        <v>44050</v>
      </c>
      <c r="C13">
        <f t="shared" si="2"/>
        <v>2</v>
      </c>
      <c r="D13">
        <f t="shared" ca="1" si="1"/>
        <v>6</v>
      </c>
      <c r="E13" s="2">
        <f t="shared" ref="E13:E76" ca="1" si="3">IF(C13&gt;$C$7,0,G12+H12+I12)</f>
        <v>250.26034171514357</v>
      </c>
      <c r="F13" s="2">
        <f t="shared" ref="F13:F76" ca="1" si="4">IF(C13&gt;$C$7,0,IF(ROUND(E13,0)&gt;0,IF(C13=0,0,IF(DAY($F$2)&lt;&gt;DAY(B13),0,$C$8)),0))</f>
        <v>0</v>
      </c>
      <c r="G13" s="2">
        <f t="shared" ref="G13:G76" ca="1" si="5">IF(C13&gt;$C$7,G12,E13-F13)</f>
        <v>250.26034171514357</v>
      </c>
      <c r="H13" s="2">
        <f t="shared" ca="1" si="0"/>
        <v>0.13027250664623913</v>
      </c>
      <c r="I13" s="2">
        <v>0</v>
      </c>
    </row>
    <row r="14" spans="2:12" x14ac:dyDescent="0.2">
      <c r="B14" s="4">
        <f t="shared" ca="1" si="2"/>
        <v>44051</v>
      </c>
      <c r="C14">
        <f t="shared" si="2"/>
        <v>3</v>
      </c>
      <c r="D14">
        <f t="shared" ca="1" si="1"/>
        <v>7</v>
      </c>
      <c r="E14" s="2">
        <f t="shared" ca="1" si="3"/>
        <v>250.3906142217898</v>
      </c>
      <c r="F14" s="2">
        <f t="shared" ca="1" si="4"/>
        <v>0</v>
      </c>
      <c r="G14" s="2">
        <f t="shared" ca="1" si="5"/>
        <v>250.3906142217898</v>
      </c>
      <c r="H14" s="2">
        <f t="shared" ca="1" si="0"/>
        <v>0.13034031973189059</v>
      </c>
      <c r="I14" s="2">
        <v>0</v>
      </c>
    </row>
    <row r="15" spans="2:12" x14ac:dyDescent="0.2">
      <c r="B15" s="4">
        <f t="shared" ca="1" si="2"/>
        <v>44052</v>
      </c>
      <c r="C15">
        <f t="shared" si="2"/>
        <v>4</v>
      </c>
      <c r="D15">
        <f t="shared" ca="1" si="1"/>
        <v>1</v>
      </c>
      <c r="E15" s="2">
        <f t="shared" ca="1" si="3"/>
        <v>250.52095454152169</v>
      </c>
      <c r="F15" s="2">
        <f t="shared" ca="1" si="4"/>
        <v>0</v>
      </c>
      <c r="G15" s="2">
        <f t="shared" ca="1" si="5"/>
        <v>250.52095454152169</v>
      </c>
      <c r="H15" s="2">
        <f t="shared" ca="1" si="0"/>
        <v>0.13040816811750444</v>
      </c>
      <c r="I15" s="2">
        <v>0</v>
      </c>
    </row>
    <row r="16" spans="2:12" x14ac:dyDescent="0.2">
      <c r="B16" s="4">
        <f t="shared" ca="1" si="2"/>
        <v>44053</v>
      </c>
      <c r="C16">
        <f t="shared" si="2"/>
        <v>5</v>
      </c>
      <c r="D16">
        <f t="shared" ca="1" si="1"/>
        <v>2</v>
      </c>
      <c r="E16" s="2">
        <f t="shared" ca="1" si="3"/>
        <v>250.65136270963919</v>
      </c>
      <c r="F16" s="2">
        <f t="shared" ca="1" si="4"/>
        <v>0</v>
      </c>
      <c r="G16" s="2">
        <f t="shared" ca="1" si="5"/>
        <v>250.65136270963919</v>
      </c>
      <c r="H16" s="2">
        <f t="shared" ca="1" si="0"/>
        <v>0.13047605182145602</v>
      </c>
      <c r="I16" s="2">
        <v>0</v>
      </c>
    </row>
    <row r="17" spans="2:9" x14ac:dyDescent="0.2">
      <c r="B17" s="4">
        <f t="shared" ca="1" si="2"/>
        <v>44054</v>
      </c>
      <c r="C17">
        <f t="shared" si="2"/>
        <v>6</v>
      </c>
      <c r="D17">
        <f t="shared" ca="1" si="1"/>
        <v>3</v>
      </c>
      <c r="E17" s="2">
        <f t="shared" ca="1" si="3"/>
        <v>250.78183876146065</v>
      </c>
      <c r="F17" s="2">
        <f t="shared" ca="1" si="4"/>
        <v>0</v>
      </c>
      <c r="G17" s="2">
        <f t="shared" ca="1" si="5"/>
        <v>250.78183876146065</v>
      </c>
      <c r="H17" s="2">
        <f t="shared" ca="1" si="0"/>
        <v>0.13054397086213018</v>
      </c>
      <c r="I17" s="2">
        <v>0</v>
      </c>
    </row>
    <row r="18" spans="2:9" x14ac:dyDescent="0.2">
      <c r="B18" s="4">
        <f t="shared" ca="1" si="2"/>
        <v>44055</v>
      </c>
      <c r="C18">
        <f t="shared" si="2"/>
        <v>7</v>
      </c>
      <c r="D18">
        <f t="shared" ca="1" si="1"/>
        <v>4</v>
      </c>
      <c r="E18" s="2">
        <f t="shared" ca="1" si="3"/>
        <v>250.91238273232278</v>
      </c>
      <c r="F18" s="2">
        <f t="shared" ca="1" si="4"/>
        <v>0</v>
      </c>
      <c r="G18" s="2">
        <f t="shared" ca="1" si="5"/>
        <v>250.91238273232278</v>
      </c>
      <c r="H18" s="2">
        <f t="shared" ca="1" si="0"/>
        <v>0.13061192525792145</v>
      </c>
      <c r="I18" s="2">
        <v>0</v>
      </c>
    </row>
    <row r="19" spans="2:9" x14ac:dyDescent="0.2">
      <c r="B19" s="4">
        <f t="shared" ca="1" si="2"/>
        <v>44056</v>
      </c>
      <c r="C19">
        <f t="shared" si="2"/>
        <v>8</v>
      </c>
      <c r="D19">
        <f t="shared" ca="1" si="1"/>
        <v>5</v>
      </c>
      <c r="E19" s="2">
        <f t="shared" ca="1" si="3"/>
        <v>251.04299465758069</v>
      </c>
      <c r="F19" s="2">
        <f t="shared" ca="1" si="4"/>
        <v>0</v>
      </c>
      <c r="G19" s="2">
        <f t="shared" ca="1" si="5"/>
        <v>251.04299465758069</v>
      </c>
      <c r="H19" s="2">
        <f t="shared" ca="1" si="0"/>
        <v>0.13067991502723378</v>
      </c>
      <c r="I19" s="2">
        <v>0</v>
      </c>
    </row>
    <row r="20" spans="2:9" x14ac:dyDescent="0.2">
      <c r="B20" s="4">
        <f t="shared" ca="1" si="2"/>
        <v>44057</v>
      </c>
      <c r="C20">
        <f t="shared" si="2"/>
        <v>9</v>
      </c>
      <c r="D20">
        <f t="shared" ca="1" si="1"/>
        <v>6</v>
      </c>
      <c r="E20" s="2">
        <f t="shared" ca="1" si="3"/>
        <v>251.17367457260792</v>
      </c>
      <c r="F20" s="2">
        <f t="shared" ca="1" si="4"/>
        <v>0</v>
      </c>
      <c r="G20" s="2">
        <f t="shared" ca="1" si="5"/>
        <v>251.17367457260792</v>
      </c>
      <c r="H20" s="2">
        <f t="shared" ca="1" si="0"/>
        <v>0.13074794018848085</v>
      </c>
      <c r="I20" s="2">
        <v>0</v>
      </c>
    </row>
    <row r="21" spans="2:9" x14ac:dyDescent="0.2">
      <c r="B21" s="4">
        <f t="shared" ca="1" si="2"/>
        <v>44058</v>
      </c>
      <c r="C21">
        <f t="shared" si="2"/>
        <v>10</v>
      </c>
      <c r="D21">
        <f t="shared" ca="1" si="1"/>
        <v>7</v>
      </c>
      <c r="E21" s="2">
        <f t="shared" ca="1" si="3"/>
        <v>251.30442251279641</v>
      </c>
      <c r="F21" s="2">
        <f t="shared" ca="1" si="4"/>
        <v>0</v>
      </c>
      <c r="G21" s="2">
        <f t="shared" ca="1" si="5"/>
        <v>251.30442251279641</v>
      </c>
      <c r="H21" s="2">
        <f t="shared" ca="1" si="0"/>
        <v>0.13081600076008579</v>
      </c>
      <c r="I21" s="2">
        <v>0</v>
      </c>
    </row>
    <row r="22" spans="2:9" x14ac:dyDescent="0.2">
      <c r="B22" s="4">
        <f t="shared" ca="1" si="2"/>
        <v>44059</v>
      </c>
      <c r="C22">
        <f t="shared" si="2"/>
        <v>11</v>
      </c>
      <c r="D22">
        <f t="shared" ca="1" si="1"/>
        <v>1</v>
      </c>
      <c r="E22" s="2">
        <f t="shared" ca="1" si="3"/>
        <v>251.4352385135565</v>
      </c>
      <c r="F22" s="2">
        <f t="shared" ca="1" si="4"/>
        <v>0</v>
      </c>
      <c r="G22" s="2">
        <f t="shared" ca="1" si="5"/>
        <v>251.4352385135565</v>
      </c>
      <c r="H22" s="2">
        <f t="shared" ca="1" si="0"/>
        <v>0.13088409676048149</v>
      </c>
      <c r="I22" s="2">
        <v>0</v>
      </c>
    </row>
    <row r="23" spans="2:9" x14ac:dyDescent="0.2">
      <c r="B23" s="4">
        <f t="shared" ca="1" si="2"/>
        <v>44060</v>
      </c>
      <c r="C23">
        <f t="shared" si="2"/>
        <v>12</v>
      </c>
      <c r="D23">
        <f t="shared" ca="1" si="1"/>
        <v>2</v>
      </c>
      <c r="E23" s="2">
        <f t="shared" ca="1" si="3"/>
        <v>251.56612261031697</v>
      </c>
      <c r="F23" s="2">
        <f t="shared" ca="1" si="4"/>
        <v>0</v>
      </c>
      <c r="G23" s="2">
        <f t="shared" ca="1" si="5"/>
        <v>251.56612261031697</v>
      </c>
      <c r="H23" s="2">
        <f t="shared" ca="1" si="0"/>
        <v>0.1309522282081102</v>
      </c>
      <c r="I23" s="2">
        <v>0</v>
      </c>
    </row>
    <row r="24" spans="2:9" x14ac:dyDescent="0.2">
      <c r="B24" s="4">
        <f t="shared" ca="1" si="2"/>
        <v>44061</v>
      </c>
      <c r="C24">
        <f t="shared" si="2"/>
        <v>13</v>
      </c>
      <c r="D24">
        <f t="shared" ca="1" si="1"/>
        <v>3</v>
      </c>
      <c r="E24" s="2">
        <f t="shared" ca="1" si="3"/>
        <v>251.69707483852508</v>
      </c>
      <c r="F24" s="2">
        <f t="shared" ca="1" si="4"/>
        <v>0</v>
      </c>
      <c r="G24" s="2">
        <f t="shared" ca="1" si="5"/>
        <v>251.69707483852508</v>
      </c>
      <c r="H24" s="2">
        <f t="shared" ca="1" si="0"/>
        <v>0.13102039512142402</v>
      </c>
      <c r="I24" s="2">
        <v>0</v>
      </c>
    </row>
    <row r="25" spans="2:9" x14ac:dyDescent="0.2">
      <c r="B25" s="4">
        <f t="shared" ca="1" si="2"/>
        <v>44062</v>
      </c>
      <c r="C25">
        <f t="shared" si="2"/>
        <v>14</v>
      </c>
      <c r="D25">
        <f t="shared" ca="1" si="1"/>
        <v>4</v>
      </c>
      <c r="E25" s="2">
        <f t="shared" ca="1" si="3"/>
        <v>251.82809523364651</v>
      </c>
      <c r="F25" s="2">
        <f t="shared" ca="1" si="4"/>
        <v>0</v>
      </c>
      <c r="G25" s="2">
        <f t="shared" ca="1" si="5"/>
        <v>251.82809523364651</v>
      </c>
      <c r="H25" s="2">
        <f t="shared" ca="1" si="0"/>
        <v>0.13108859751888449</v>
      </c>
      <c r="I25" s="2">
        <v>0</v>
      </c>
    </row>
    <row r="26" spans="2:9" x14ac:dyDescent="0.2">
      <c r="B26" s="4">
        <f t="shared" ca="1" si="2"/>
        <v>44063</v>
      </c>
      <c r="C26">
        <f t="shared" si="2"/>
        <v>15</v>
      </c>
      <c r="D26">
        <f t="shared" ca="1" si="1"/>
        <v>5</v>
      </c>
      <c r="E26" s="2">
        <f t="shared" ca="1" si="3"/>
        <v>251.9591838311654</v>
      </c>
      <c r="F26" s="2">
        <f t="shared" ca="1" si="4"/>
        <v>0</v>
      </c>
      <c r="G26" s="2">
        <f t="shared" ca="1" si="5"/>
        <v>251.9591838311654</v>
      </c>
      <c r="H26" s="2">
        <f t="shared" ca="1" si="0"/>
        <v>0.13115683541896281</v>
      </c>
      <c r="I26" s="2">
        <v>0</v>
      </c>
    </row>
    <row r="27" spans="2:9" x14ac:dyDescent="0.2">
      <c r="B27" s="4">
        <f t="shared" ca="1" si="2"/>
        <v>44064</v>
      </c>
      <c r="C27">
        <f t="shared" si="2"/>
        <v>16</v>
      </c>
      <c r="D27">
        <f t="shared" ca="1" si="1"/>
        <v>6</v>
      </c>
      <c r="E27" s="2">
        <f t="shared" ca="1" si="3"/>
        <v>252.09034066658435</v>
      </c>
      <c r="F27" s="2">
        <f t="shared" ca="1" si="4"/>
        <v>0</v>
      </c>
      <c r="G27" s="2">
        <f t="shared" ca="1" si="5"/>
        <v>252.09034066658435</v>
      </c>
      <c r="H27" s="2">
        <f t="shared" ca="1" si="0"/>
        <v>0.1312251088401398</v>
      </c>
      <c r="I27" s="2">
        <v>0</v>
      </c>
    </row>
    <row r="28" spans="2:9" x14ac:dyDescent="0.2">
      <c r="B28" s="4">
        <f t="shared" ca="1" si="2"/>
        <v>44065</v>
      </c>
      <c r="C28">
        <f t="shared" si="2"/>
        <v>17</v>
      </c>
      <c r="D28">
        <f t="shared" ca="1" si="1"/>
        <v>7</v>
      </c>
      <c r="E28" s="2">
        <f t="shared" ca="1" si="3"/>
        <v>252.22156577542449</v>
      </c>
      <c r="F28" s="2">
        <f t="shared" ca="1" si="4"/>
        <v>0</v>
      </c>
      <c r="G28" s="2">
        <f t="shared" ca="1" si="5"/>
        <v>252.22156577542449</v>
      </c>
      <c r="H28" s="2">
        <f t="shared" ca="1" si="0"/>
        <v>0.13129341780090589</v>
      </c>
      <c r="I28" s="2">
        <v>0</v>
      </c>
    </row>
    <row r="29" spans="2:9" x14ac:dyDescent="0.2">
      <c r="B29" s="4">
        <f t="shared" ref="B29:C44" ca="1" si="6">B28+1</f>
        <v>44066</v>
      </c>
      <c r="C29">
        <f t="shared" si="6"/>
        <v>18</v>
      </c>
      <c r="D29">
        <f t="shared" ca="1" si="1"/>
        <v>1</v>
      </c>
      <c r="E29" s="2">
        <f t="shared" ca="1" si="3"/>
        <v>252.35285919322541</v>
      </c>
      <c r="F29" s="2">
        <f t="shared" ca="1" si="4"/>
        <v>0</v>
      </c>
      <c r="G29" s="2">
        <f t="shared" ca="1" si="5"/>
        <v>252.35285919322541</v>
      </c>
      <c r="H29" s="2">
        <f t="shared" ca="1" si="0"/>
        <v>0.13136176231976118</v>
      </c>
      <c r="I29" s="2">
        <v>0</v>
      </c>
    </row>
    <row r="30" spans="2:9" x14ac:dyDescent="0.2">
      <c r="B30" s="4">
        <f t="shared" ca="1" si="6"/>
        <v>44067</v>
      </c>
      <c r="C30">
        <f t="shared" si="6"/>
        <v>19</v>
      </c>
      <c r="D30">
        <f t="shared" ca="1" si="1"/>
        <v>2</v>
      </c>
      <c r="E30" s="2">
        <f t="shared" ca="1" si="3"/>
        <v>252.48422095554517</v>
      </c>
      <c r="F30" s="2">
        <f t="shared" ca="1" si="4"/>
        <v>0</v>
      </c>
      <c r="G30" s="2">
        <f t="shared" ca="1" si="5"/>
        <v>252.48422095554517</v>
      </c>
      <c r="H30" s="2">
        <f t="shared" ca="1" si="0"/>
        <v>0.13143014241521531</v>
      </c>
      <c r="I30" s="2">
        <v>0</v>
      </c>
    </row>
    <row r="31" spans="2:9" x14ac:dyDescent="0.2">
      <c r="B31" s="4">
        <f t="shared" ca="1" si="6"/>
        <v>44068</v>
      </c>
      <c r="C31">
        <f t="shared" si="6"/>
        <v>20</v>
      </c>
      <c r="D31">
        <f t="shared" ca="1" si="1"/>
        <v>3</v>
      </c>
      <c r="E31" s="2">
        <f t="shared" ca="1" si="3"/>
        <v>252.61565109796038</v>
      </c>
      <c r="F31" s="2">
        <f t="shared" ca="1" si="4"/>
        <v>0</v>
      </c>
      <c r="G31" s="2">
        <f t="shared" ca="1" si="5"/>
        <v>252.61565109796038</v>
      </c>
      <c r="H31" s="2">
        <f t="shared" ca="1" si="0"/>
        <v>0.13149855810578759</v>
      </c>
      <c r="I31" s="2">
        <v>0</v>
      </c>
    </row>
    <row r="32" spans="2:9" x14ac:dyDescent="0.2">
      <c r="B32" s="4">
        <f t="shared" ca="1" si="6"/>
        <v>44069</v>
      </c>
      <c r="C32">
        <f t="shared" si="6"/>
        <v>21</v>
      </c>
      <c r="D32">
        <f t="shared" ca="1" si="1"/>
        <v>4</v>
      </c>
      <c r="E32" s="2">
        <f t="shared" ca="1" si="3"/>
        <v>252.74714965606617</v>
      </c>
      <c r="F32" s="2">
        <f t="shared" ca="1" si="4"/>
        <v>0</v>
      </c>
      <c r="G32" s="2">
        <f t="shared" ca="1" si="5"/>
        <v>252.74714965606617</v>
      </c>
      <c r="H32" s="2">
        <f t="shared" ca="1" si="0"/>
        <v>0.13156700941000704</v>
      </c>
      <c r="I32" s="2">
        <v>0</v>
      </c>
    </row>
    <row r="33" spans="2:9" x14ac:dyDescent="0.2">
      <c r="B33" s="4">
        <f t="shared" ca="1" si="6"/>
        <v>44070</v>
      </c>
      <c r="C33">
        <f t="shared" si="6"/>
        <v>22</v>
      </c>
      <c r="D33">
        <f t="shared" ca="1" si="1"/>
        <v>5</v>
      </c>
      <c r="E33" s="2">
        <f t="shared" ca="1" si="3"/>
        <v>252.87871666547619</v>
      </c>
      <c r="F33" s="2">
        <f t="shared" ca="1" si="4"/>
        <v>0</v>
      </c>
      <c r="G33" s="2">
        <f t="shared" ca="1" si="5"/>
        <v>252.87871666547619</v>
      </c>
      <c r="H33" s="2">
        <f t="shared" ca="1" si="0"/>
        <v>0.13163549634641225</v>
      </c>
      <c r="I33" s="2">
        <v>0</v>
      </c>
    </row>
    <row r="34" spans="2:9" x14ac:dyDescent="0.2">
      <c r="B34" s="4">
        <f t="shared" ca="1" si="6"/>
        <v>44071</v>
      </c>
      <c r="C34">
        <f t="shared" si="6"/>
        <v>23</v>
      </c>
      <c r="D34">
        <f t="shared" ca="1" si="1"/>
        <v>6</v>
      </c>
      <c r="E34" s="2">
        <f t="shared" ca="1" si="3"/>
        <v>253.0103521618226</v>
      </c>
      <c r="F34" s="2">
        <f t="shared" ca="1" si="4"/>
        <v>0</v>
      </c>
      <c r="G34" s="2">
        <f t="shared" ca="1" si="5"/>
        <v>253.0103521618226</v>
      </c>
      <c r="H34" s="2">
        <f t="shared" ca="1" si="0"/>
        <v>0.13170401893355149</v>
      </c>
      <c r="I34" s="2">
        <v>0</v>
      </c>
    </row>
    <row r="35" spans="2:9" x14ac:dyDescent="0.2">
      <c r="B35" s="4">
        <f t="shared" ca="1" si="6"/>
        <v>44072</v>
      </c>
      <c r="C35">
        <f t="shared" si="6"/>
        <v>24</v>
      </c>
      <c r="D35">
        <f t="shared" ca="1" si="1"/>
        <v>7</v>
      </c>
      <c r="E35" s="2">
        <f t="shared" ca="1" si="3"/>
        <v>253.14205618075616</v>
      </c>
      <c r="F35" s="2">
        <f t="shared" ca="1" si="4"/>
        <v>0</v>
      </c>
      <c r="G35" s="2">
        <f t="shared" ca="1" si="5"/>
        <v>253.14205618075616</v>
      </c>
      <c r="H35" s="2">
        <f t="shared" ca="1" si="0"/>
        <v>0.13177257718998267</v>
      </c>
      <c r="I35" s="2">
        <v>0</v>
      </c>
    </row>
    <row r="36" spans="2:9" x14ac:dyDescent="0.2">
      <c r="B36" s="4">
        <f t="shared" ca="1" si="6"/>
        <v>44073</v>
      </c>
      <c r="C36">
        <f t="shared" si="6"/>
        <v>25</v>
      </c>
      <c r="D36">
        <f t="shared" ca="1" si="1"/>
        <v>1</v>
      </c>
      <c r="E36" s="2">
        <f t="shared" ca="1" si="3"/>
        <v>253.27382875794615</v>
      </c>
      <c r="F36" s="2">
        <f t="shared" ca="1" si="4"/>
        <v>0</v>
      </c>
      <c r="G36" s="2">
        <f t="shared" ca="1" si="5"/>
        <v>253.27382875794615</v>
      </c>
      <c r="H36" s="2">
        <f t="shared" ca="1" si="0"/>
        <v>0.13184117113427335</v>
      </c>
      <c r="I36" s="2">
        <v>0</v>
      </c>
    </row>
    <row r="37" spans="2:9" x14ac:dyDescent="0.2">
      <c r="B37" s="4">
        <f t="shared" ca="1" si="6"/>
        <v>44074</v>
      </c>
      <c r="C37">
        <f t="shared" si="6"/>
        <v>26</v>
      </c>
      <c r="D37">
        <f t="shared" ca="1" si="1"/>
        <v>2</v>
      </c>
      <c r="E37" s="2">
        <f t="shared" ca="1" si="3"/>
        <v>253.40566992908043</v>
      </c>
      <c r="F37" s="2">
        <f t="shared" ca="1" si="4"/>
        <v>0</v>
      </c>
      <c r="G37" s="2">
        <f t="shared" ca="1" si="5"/>
        <v>253.40566992908043</v>
      </c>
      <c r="H37" s="2">
        <f t="shared" ca="1" si="0"/>
        <v>0.13190980078500078</v>
      </c>
      <c r="I37" s="2">
        <v>0</v>
      </c>
    </row>
    <row r="38" spans="2:9" x14ac:dyDescent="0.2">
      <c r="B38" s="4">
        <f t="shared" ca="1" si="6"/>
        <v>44075</v>
      </c>
      <c r="C38">
        <f t="shared" si="6"/>
        <v>27</v>
      </c>
      <c r="D38">
        <f t="shared" ca="1" si="1"/>
        <v>3</v>
      </c>
      <c r="E38" s="2">
        <f t="shared" ca="1" si="3"/>
        <v>253.53757972986543</v>
      </c>
      <c r="F38" s="2">
        <f t="shared" ca="1" si="4"/>
        <v>0</v>
      </c>
      <c r="G38" s="2">
        <f t="shared" ca="1" si="5"/>
        <v>253.53757972986543</v>
      </c>
      <c r="H38" s="2">
        <f t="shared" ca="1" si="0"/>
        <v>0.13197846616075187</v>
      </c>
      <c r="I38" s="2">
        <v>0</v>
      </c>
    </row>
    <row r="39" spans="2:9" x14ac:dyDescent="0.2">
      <c r="B39" s="4">
        <f t="shared" ca="1" si="6"/>
        <v>44076</v>
      </c>
      <c r="C39">
        <f t="shared" si="6"/>
        <v>28</v>
      </c>
      <c r="D39">
        <f t="shared" ca="1" si="1"/>
        <v>4</v>
      </c>
      <c r="E39" s="2">
        <f t="shared" ca="1" si="3"/>
        <v>253.66955819602617</v>
      </c>
      <c r="F39" s="2">
        <f t="shared" ca="1" si="4"/>
        <v>0</v>
      </c>
      <c r="G39" s="2">
        <f t="shared" ca="1" si="5"/>
        <v>253.66955819602617</v>
      </c>
      <c r="H39" s="2">
        <f t="shared" ca="1" si="0"/>
        <v>0.13204716728012322</v>
      </c>
      <c r="I39" s="2">
        <v>0</v>
      </c>
    </row>
    <row r="40" spans="2:9" x14ac:dyDescent="0.2">
      <c r="B40" s="4">
        <f t="shared" ca="1" si="6"/>
        <v>44077</v>
      </c>
      <c r="C40">
        <f t="shared" si="6"/>
        <v>29</v>
      </c>
      <c r="D40">
        <f t="shared" ca="1" si="1"/>
        <v>5</v>
      </c>
      <c r="E40" s="2">
        <f t="shared" ca="1" si="3"/>
        <v>253.80160536330629</v>
      </c>
      <c r="F40" s="2">
        <f t="shared" ca="1" si="4"/>
        <v>0</v>
      </c>
      <c r="G40" s="2">
        <f t="shared" ca="1" si="5"/>
        <v>253.80160536330629</v>
      </c>
      <c r="H40" s="2">
        <f t="shared" ca="1" si="0"/>
        <v>0.13211590416172109</v>
      </c>
      <c r="I40" s="2">
        <v>0</v>
      </c>
    </row>
    <row r="41" spans="2:9" x14ac:dyDescent="0.2">
      <c r="B41" s="4">
        <f t="shared" ca="1" si="6"/>
        <v>44078</v>
      </c>
      <c r="C41">
        <f t="shared" si="6"/>
        <v>30</v>
      </c>
      <c r="D41">
        <f t="shared" ca="1" si="1"/>
        <v>6</v>
      </c>
      <c r="E41" s="2">
        <f t="shared" ca="1" si="3"/>
        <v>253.933721267468</v>
      </c>
      <c r="F41" s="2">
        <f t="shared" ca="1" si="4"/>
        <v>0</v>
      </c>
      <c r="G41" s="2">
        <f t="shared" ca="1" si="5"/>
        <v>253.933721267468</v>
      </c>
      <c r="H41" s="2">
        <f t="shared" ca="1" si="0"/>
        <v>0.13218467682416143</v>
      </c>
      <c r="I41" s="2">
        <v>0</v>
      </c>
    </row>
    <row r="42" spans="2:9" x14ac:dyDescent="0.2">
      <c r="B42" s="4">
        <f t="shared" ca="1" si="6"/>
        <v>44079</v>
      </c>
      <c r="C42">
        <f t="shared" si="6"/>
        <v>31</v>
      </c>
      <c r="D42">
        <f t="shared" ca="1" si="1"/>
        <v>7</v>
      </c>
      <c r="E42" s="2">
        <f t="shared" ca="1" si="3"/>
        <v>254.06590594429215</v>
      </c>
      <c r="F42" s="2">
        <f t="shared" ca="1" si="4"/>
        <v>128.05762858007643</v>
      </c>
      <c r="G42" s="2">
        <f t="shared" ca="1" si="5"/>
        <v>126.00827736421573</v>
      </c>
      <c r="H42" s="2">
        <f t="shared" ca="1" si="0"/>
        <v>6.5593349860824629E-2</v>
      </c>
      <c r="I42" s="2">
        <v>0</v>
      </c>
    </row>
    <row r="43" spans="2:9" x14ac:dyDescent="0.2">
      <c r="B43" s="4">
        <f t="shared" ca="1" si="6"/>
        <v>44080</v>
      </c>
      <c r="C43">
        <f t="shared" si="6"/>
        <v>32</v>
      </c>
      <c r="D43">
        <f t="shared" ca="1" si="1"/>
        <v>1</v>
      </c>
      <c r="E43" s="2">
        <f t="shared" ca="1" si="3"/>
        <v>126.07387071407655</v>
      </c>
      <c r="F43" s="2">
        <f t="shared" ca="1" si="4"/>
        <v>0</v>
      </c>
      <c r="G43" s="2">
        <f t="shared" ca="1" si="5"/>
        <v>126.07387071407655</v>
      </c>
      <c r="H43" s="2">
        <f t="shared" ca="1" si="0"/>
        <v>6.5627494344313822E-2</v>
      </c>
      <c r="I43" s="2">
        <v>0</v>
      </c>
    </row>
    <row r="44" spans="2:9" x14ac:dyDescent="0.2">
      <c r="B44" s="4">
        <f t="shared" ca="1" si="6"/>
        <v>44081</v>
      </c>
      <c r="C44">
        <f t="shared" si="6"/>
        <v>33</v>
      </c>
      <c r="D44">
        <f t="shared" ca="1" si="1"/>
        <v>2</v>
      </c>
      <c r="E44" s="2">
        <f t="shared" ca="1" si="3"/>
        <v>126.13949820842086</v>
      </c>
      <c r="F44" s="2">
        <f t="shared" ca="1" si="4"/>
        <v>0</v>
      </c>
      <c r="G44" s="2">
        <f t="shared" ca="1" si="5"/>
        <v>126.13949820842086</v>
      </c>
      <c r="H44" s="2">
        <f t="shared" ca="1" si="0"/>
        <v>6.5661656601643734E-2</v>
      </c>
      <c r="I44" s="2">
        <v>0</v>
      </c>
    </row>
    <row r="45" spans="2:9" x14ac:dyDescent="0.2">
      <c r="B45" s="4">
        <f t="shared" ref="B45:C60" ca="1" si="7">B44+1</f>
        <v>44082</v>
      </c>
      <c r="C45">
        <f t="shared" si="7"/>
        <v>34</v>
      </c>
      <c r="D45">
        <f t="shared" ca="1" si="1"/>
        <v>3</v>
      </c>
      <c r="E45" s="2">
        <f t="shared" ca="1" si="3"/>
        <v>126.20515986502251</v>
      </c>
      <c r="F45" s="2">
        <f t="shared" ca="1" si="4"/>
        <v>0</v>
      </c>
      <c r="G45" s="2">
        <f t="shared" ca="1" si="5"/>
        <v>126.20515986502251</v>
      </c>
      <c r="H45" s="2">
        <f t="shared" ca="1" si="0"/>
        <v>6.5695836642066505E-2</v>
      </c>
      <c r="I45" s="2">
        <v>0</v>
      </c>
    </row>
    <row r="46" spans="2:9" x14ac:dyDescent="0.2">
      <c r="B46" s="4">
        <f t="shared" ca="1" si="7"/>
        <v>44083</v>
      </c>
      <c r="C46">
        <f t="shared" si="7"/>
        <v>35</v>
      </c>
      <c r="D46">
        <f t="shared" ca="1" si="1"/>
        <v>4</v>
      </c>
      <c r="E46" s="2">
        <f t="shared" ca="1" si="3"/>
        <v>126.27085570166457</v>
      </c>
      <c r="F46" s="2">
        <f t="shared" ca="1" si="4"/>
        <v>0</v>
      </c>
      <c r="G46" s="2">
        <f t="shared" ca="1" si="5"/>
        <v>126.27085570166457</v>
      </c>
      <c r="H46" s="2">
        <f t="shared" ca="1" si="0"/>
        <v>6.5730034474839091E-2</v>
      </c>
      <c r="I46" s="2">
        <v>0</v>
      </c>
    </row>
    <row r="47" spans="2:9" x14ac:dyDescent="0.2">
      <c r="B47" s="4">
        <f t="shared" ca="1" si="7"/>
        <v>44084</v>
      </c>
      <c r="C47">
        <f t="shared" si="7"/>
        <v>36</v>
      </c>
      <c r="D47">
        <f t="shared" ca="1" si="1"/>
        <v>5</v>
      </c>
      <c r="E47" s="2">
        <f t="shared" ca="1" si="3"/>
        <v>126.33658573613941</v>
      </c>
      <c r="F47" s="2">
        <f t="shared" ca="1" si="4"/>
        <v>0</v>
      </c>
      <c r="G47" s="2">
        <f t="shared" ca="1" si="5"/>
        <v>126.33658573613941</v>
      </c>
      <c r="H47" s="2">
        <f t="shared" ca="1" si="0"/>
        <v>6.5764250109223252E-2</v>
      </c>
      <c r="I47" s="2">
        <v>0</v>
      </c>
    </row>
    <row r="48" spans="2:9" x14ac:dyDescent="0.2">
      <c r="B48" s="4">
        <f t="shared" ca="1" si="7"/>
        <v>44085</v>
      </c>
      <c r="C48">
        <f t="shared" si="7"/>
        <v>37</v>
      </c>
      <c r="D48">
        <f t="shared" ca="1" si="1"/>
        <v>6</v>
      </c>
      <c r="E48" s="2">
        <f t="shared" ca="1" si="3"/>
        <v>126.40234998624864</v>
      </c>
      <c r="F48" s="2">
        <f t="shared" ca="1" si="4"/>
        <v>0</v>
      </c>
      <c r="G48" s="2">
        <f t="shared" ca="1" si="5"/>
        <v>126.40234998624864</v>
      </c>
      <c r="H48" s="2">
        <f t="shared" ca="1" si="0"/>
        <v>6.5798483554485601E-2</v>
      </c>
      <c r="I48" s="2">
        <v>0</v>
      </c>
    </row>
    <row r="49" spans="2:10" x14ac:dyDescent="0.2">
      <c r="B49" s="4">
        <f t="shared" ca="1" si="7"/>
        <v>44086</v>
      </c>
      <c r="C49">
        <f t="shared" si="7"/>
        <v>38</v>
      </c>
      <c r="D49">
        <f t="shared" ca="1" si="1"/>
        <v>7</v>
      </c>
      <c r="E49" s="2">
        <f t="shared" ca="1" si="3"/>
        <v>126.46814846980313</v>
      </c>
      <c r="F49" s="2">
        <f t="shared" ca="1" si="4"/>
        <v>0</v>
      </c>
      <c r="G49" s="2">
        <f t="shared" ca="1" si="5"/>
        <v>126.46814846980313</v>
      </c>
      <c r="H49" s="2">
        <f t="shared" ca="1" si="0"/>
        <v>6.5832734819897515E-2</v>
      </c>
      <c r="I49" s="2">
        <v>0</v>
      </c>
    </row>
    <row r="50" spans="2:10" x14ac:dyDescent="0.2">
      <c r="B50" s="4">
        <f t="shared" ca="1" si="7"/>
        <v>44087</v>
      </c>
      <c r="C50">
        <f t="shared" si="7"/>
        <v>39</v>
      </c>
      <c r="D50">
        <f t="shared" ca="1" si="1"/>
        <v>1</v>
      </c>
      <c r="E50" s="2">
        <f t="shared" ca="1" si="3"/>
        <v>126.53398120462302</v>
      </c>
      <c r="F50" s="2">
        <f t="shared" ca="1" si="4"/>
        <v>0</v>
      </c>
      <c r="G50" s="2">
        <f t="shared" ca="1" si="5"/>
        <v>126.53398120462302</v>
      </c>
      <c r="H50" s="2">
        <f t="shared" ca="1" si="0"/>
        <v>6.5867003914735267E-2</v>
      </c>
      <c r="I50" s="2">
        <v>0</v>
      </c>
    </row>
    <row r="51" spans="2:10" x14ac:dyDescent="0.2">
      <c r="B51" s="4">
        <f t="shared" ca="1" si="7"/>
        <v>44088</v>
      </c>
      <c r="C51">
        <f t="shared" si="7"/>
        <v>40</v>
      </c>
      <c r="D51">
        <f t="shared" ca="1" si="1"/>
        <v>2</v>
      </c>
      <c r="E51" s="2">
        <f t="shared" ca="1" si="3"/>
        <v>126.59984820853775</v>
      </c>
      <c r="F51" s="2">
        <f t="shared" ca="1" si="4"/>
        <v>0</v>
      </c>
      <c r="G51" s="2">
        <f t="shared" ca="1" si="5"/>
        <v>126.59984820853775</v>
      </c>
      <c r="H51" s="2">
        <f t="shared" ca="1" si="0"/>
        <v>6.590129084827992E-2</v>
      </c>
      <c r="I51" s="2">
        <v>0</v>
      </c>
    </row>
    <row r="52" spans="2:10" x14ac:dyDescent="0.2">
      <c r="B52" s="4">
        <f t="shared" ca="1" si="7"/>
        <v>44089</v>
      </c>
      <c r="C52">
        <f t="shared" si="7"/>
        <v>41</v>
      </c>
      <c r="D52">
        <f t="shared" ca="1" si="1"/>
        <v>3</v>
      </c>
      <c r="E52" s="2">
        <f t="shared" ca="1" si="3"/>
        <v>126.66574949938602</v>
      </c>
      <c r="F52" s="2">
        <f t="shared" ca="1" si="4"/>
        <v>0</v>
      </c>
      <c r="G52" s="2">
        <f t="shared" ca="1" si="5"/>
        <v>126.66574949938602</v>
      </c>
      <c r="H52" s="2">
        <f t="shared" ca="1" si="0"/>
        <v>6.5935595629817378E-2</v>
      </c>
      <c r="I52" s="2">
        <v>0</v>
      </c>
    </row>
    <row r="53" spans="2:10" x14ac:dyDescent="0.2">
      <c r="B53" s="4">
        <f t="shared" ca="1" si="7"/>
        <v>44090</v>
      </c>
      <c r="C53">
        <f t="shared" si="7"/>
        <v>42</v>
      </c>
      <c r="D53">
        <f t="shared" ca="1" si="1"/>
        <v>4</v>
      </c>
      <c r="E53" s="2">
        <f t="shared" ca="1" si="3"/>
        <v>126.73168509501585</v>
      </c>
      <c r="F53" s="2">
        <f t="shared" ca="1" si="4"/>
        <v>0</v>
      </c>
      <c r="G53" s="2">
        <f t="shared" ca="1" si="5"/>
        <v>126.73168509501585</v>
      </c>
      <c r="H53" s="2">
        <f t="shared" ca="1" si="0"/>
        <v>6.5969918268638392E-2</v>
      </c>
      <c r="I53" s="2">
        <v>0</v>
      </c>
      <c r="J53" s="5"/>
    </row>
    <row r="54" spans="2:10" x14ac:dyDescent="0.2">
      <c r="B54" s="4">
        <f t="shared" ca="1" si="7"/>
        <v>44091</v>
      </c>
      <c r="C54">
        <f t="shared" si="7"/>
        <v>43</v>
      </c>
      <c r="D54">
        <f t="shared" ca="1" si="1"/>
        <v>5</v>
      </c>
      <c r="E54" s="2">
        <f t="shared" ca="1" si="3"/>
        <v>126.79765501328448</v>
      </c>
      <c r="F54" s="2">
        <f t="shared" ca="1" si="4"/>
        <v>0</v>
      </c>
      <c r="G54" s="2">
        <f t="shared" ca="1" si="5"/>
        <v>126.79765501328448</v>
      </c>
      <c r="H54" s="2">
        <f t="shared" ca="1" si="0"/>
        <v>6.6004258774038496E-2</v>
      </c>
      <c r="I54" s="2">
        <v>0</v>
      </c>
    </row>
    <row r="55" spans="2:10" x14ac:dyDescent="0.2">
      <c r="B55" s="4">
        <f t="shared" ca="1" si="7"/>
        <v>44092</v>
      </c>
      <c r="C55">
        <f t="shared" si="7"/>
        <v>44</v>
      </c>
      <c r="D55">
        <f t="shared" ca="1" si="1"/>
        <v>6</v>
      </c>
      <c r="E55" s="2">
        <f t="shared" ca="1" si="3"/>
        <v>126.86365927205853</v>
      </c>
      <c r="F55" s="2">
        <f t="shared" ca="1" si="4"/>
        <v>0</v>
      </c>
      <c r="G55" s="2">
        <f t="shared" ca="1" si="5"/>
        <v>126.86365927205853</v>
      </c>
      <c r="H55" s="2">
        <f t="shared" ca="1" si="0"/>
        <v>6.6038617155318141E-2</v>
      </c>
      <c r="I55" s="2">
        <v>0</v>
      </c>
    </row>
    <row r="56" spans="2:10" x14ac:dyDescent="0.2">
      <c r="B56" s="4">
        <f t="shared" ca="1" si="7"/>
        <v>44093</v>
      </c>
      <c r="C56">
        <f t="shared" si="7"/>
        <v>45</v>
      </c>
      <c r="D56">
        <f t="shared" ca="1" si="1"/>
        <v>7</v>
      </c>
      <c r="E56" s="2">
        <f t="shared" ca="1" si="3"/>
        <v>126.92969788921384</v>
      </c>
      <c r="F56" s="2">
        <f t="shared" ca="1" si="4"/>
        <v>0</v>
      </c>
      <c r="G56" s="2">
        <f t="shared" ca="1" si="5"/>
        <v>126.92969788921384</v>
      </c>
      <c r="H56" s="2">
        <f t="shared" ca="1" si="0"/>
        <v>6.607299342178255E-2</v>
      </c>
      <c r="I56" s="2">
        <v>0</v>
      </c>
    </row>
    <row r="57" spans="2:10" x14ac:dyDescent="0.2">
      <c r="B57" s="4">
        <f t="shared" ca="1" si="7"/>
        <v>44094</v>
      </c>
      <c r="C57">
        <f t="shared" si="7"/>
        <v>46</v>
      </c>
      <c r="D57">
        <f t="shared" ca="1" si="1"/>
        <v>1</v>
      </c>
      <c r="E57" s="2">
        <f t="shared" ca="1" si="3"/>
        <v>126.99577088263563</v>
      </c>
      <c r="F57" s="2">
        <f t="shared" ca="1" si="4"/>
        <v>0</v>
      </c>
      <c r="G57" s="2">
        <f t="shared" ca="1" si="5"/>
        <v>126.99577088263563</v>
      </c>
      <c r="H57" s="2">
        <f t="shared" ca="1" si="0"/>
        <v>6.6107387582741831E-2</v>
      </c>
      <c r="I57" s="2">
        <v>0</v>
      </c>
    </row>
    <row r="58" spans="2:10" x14ac:dyDescent="0.2">
      <c r="B58" s="4">
        <f t="shared" ca="1" si="7"/>
        <v>44095</v>
      </c>
      <c r="C58">
        <f t="shared" si="7"/>
        <v>47</v>
      </c>
      <c r="D58">
        <f t="shared" ca="1" si="1"/>
        <v>2</v>
      </c>
      <c r="E58" s="2">
        <f t="shared" ca="1" si="3"/>
        <v>127.06187827021837</v>
      </c>
      <c r="F58" s="2">
        <f t="shared" ca="1" si="4"/>
        <v>0</v>
      </c>
      <c r="G58" s="2">
        <f t="shared" ca="1" si="5"/>
        <v>127.06187827021837</v>
      </c>
      <c r="H58" s="2">
        <f t="shared" ca="1" si="0"/>
        <v>6.6141799647510935E-2</v>
      </c>
      <c r="I58" s="2">
        <v>0</v>
      </c>
    </row>
    <row r="59" spans="2:10" x14ac:dyDescent="0.2">
      <c r="B59" s="4">
        <f t="shared" ca="1" si="7"/>
        <v>44096</v>
      </c>
      <c r="C59">
        <f t="shared" si="7"/>
        <v>48</v>
      </c>
      <c r="D59">
        <f t="shared" ca="1" si="1"/>
        <v>3</v>
      </c>
      <c r="E59" s="2">
        <f t="shared" ca="1" si="3"/>
        <v>127.12802006986588</v>
      </c>
      <c r="F59" s="2">
        <f t="shared" ca="1" si="4"/>
        <v>0</v>
      </c>
      <c r="G59" s="2">
        <f t="shared" ca="1" si="5"/>
        <v>127.12802006986588</v>
      </c>
      <c r="H59" s="2">
        <f t="shared" ca="1" si="0"/>
        <v>6.6176229625409644E-2</v>
      </c>
      <c r="I59" s="2">
        <v>0</v>
      </c>
    </row>
    <row r="60" spans="2:10" x14ac:dyDescent="0.2">
      <c r="B60" s="4">
        <f t="shared" ca="1" si="7"/>
        <v>44097</v>
      </c>
      <c r="C60">
        <f t="shared" si="7"/>
        <v>49</v>
      </c>
      <c r="D60">
        <f t="shared" ca="1" si="1"/>
        <v>4</v>
      </c>
      <c r="E60" s="2">
        <f t="shared" ca="1" si="3"/>
        <v>127.1941962994913</v>
      </c>
      <c r="F60" s="2">
        <f t="shared" ca="1" si="4"/>
        <v>0</v>
      </c>
      <c r="G60" s="2">
        <f t="shared" ca="1" si="5"/>
        <v>127.1941962994913</v>
      </c>
      <c r="H60" s="2">
        <f t="shared" ca="1" si="0"/>
        <v>6.6210677525762596E-2</v>
      </c>
      <c r="I60" s="2">
        <v>0</v>
      </c>
    </row>
    <row r="61" spans="2:10" x14ac:dyDescent="0.2">
      <c r="B61" s="4">
        <f t="shared" ref="B61:C76" ca="1" si="8">B60+1</f>
        <v>44098</v>
      </c>
      <c r="C61">
        <f t="shared" si="8"/>
        <v>50</v>
      </c>
      <c r="D61">
        <f t="shared" ca="1" si="1"/>
        <v>5</v>
      </c>
      <c r="E61" s="2">
        <f t="shared" ca="1" si="3"/>
        <v>127.26040697701706</v>
      </c>
      <c r="F61" s="2">
        <f t="shared" ca="1" si="4"/>
        <v>0</v>
      </c>
      <c r="G61" s="2">
        <f t="shared" ca="1" si="5"/>
        <v>127.26040697701706</v>
      </c>
      <c r="H61" s="2">
        <f t="shared" ca="1" si="0"/>
        <v>6.6245143357899286E-2</v>
      </c>
      <c r="I61" s="2">
        <v>0</v>
      </c>
    </row>
    <row r="62" spans="2:10" x14ac:dyDescent="0.2">
      <c r="B62" s="4">
        <f t="shared" ca="1" si="8"/>
        <v>44099</v>
      </c>
      <c r="C62">
        <f t="shared" si="8"/>
        <v>51</v>
      </c>
      <c r="D62">
        <f t="shared" ca="1" si="1"/>
        <v>6</v>
      </c>
      <c r="E62" s="2">
        <f t="shared" ca="1" si="3"/>
        <v>127.32665212037496</v>
      </c>
      <c r="F62" s="2">
        <f t="shared" ca="1" si="4"/>
        <v>0</v>
      </c>
      <c r="G62" s="2">
        <f t="shared" ca="1" si="5"/>
        <v>127.32665212037496</v>
      </c>
      <c r="H62" s="2">
        <f t="shared" ca="1" si="0"/>
        <v>6.6279627131154095E-2</v>
      </c>
      <c r="I62" s="2">
        <v>0</v>
      </c>
    </row>
    <row r="63" spans="2:10" x14ac:dyDescent="0.2">
      <c r="B63" s="4">
        <f t="shared" ca="1" si="8"/>
        <v>44100</v>
      </c>
      <c r="C63">
        <f t="shared" si="8"/>
        <v>52</v>
      </c>
      <c r="D63">
        <f t="shared" ca="1" si="1"/>
        <v>7</v>
      </c>
      <c r="E63" s="2">
        <f t="shared" ca="1" si="3"/>
        <v>127.39293174750611</v>
      </c>
      <c r="F63" s="2">
        <f t="shared" ca="1" si="4"/>
        <v>0</v>
      </c>
      <c r="G63" s="2">
        <f t="shared" ca="1" si="5"/>
        <v>127.39293174750611</v>
      </c>
      <c r="H63" s="2">
        <f t="shared" ca="1" si="0"/>
        <v>6.6314128854866192E-2</v>
      </c>
      <c r="I63" s="2">
        <v>0</v>
      </c>
    </row>
    <row r="64" spans="2:10" x14ac:dyDescent="0.2">
      <c r="B64" s="4">
        <f t="shared" ca="1" si="8"/>
        <v>44101</v>
      </c>
      <c r="C64">
        <f t="shared" si="8"/>
        <v>53</v>
      </c>
      <c r="D64">
        <f t="shared" ca="1" si="1"/>
        <v>1</v>
      </c>
      <c r="E64" s="2">
        <f t="shared" ca="1" si="3"/>
        <v>127.45924587636098</v>
      </c>
      <c r="F64" s="2">
        <f t="shared" ca="1" si="4"/>
        <v>0</v>
      </c>
      <c r="G64" s="2">
        <f t="shared" ca="1" si="5"/>
        <v>127.45924587636098</v>
      </c>
      <c r="H64" s="2">
        <f t="shared" ca="1" si="0"/>
        <v>6.6348648538379684E-2</v>
      </c>
      <c r="I64" s="2">
        <v>0</v>
      </c>
    </row>
    <row r="65" spans="2:9" x14ac:dyDescent="0.2">
      <c r="B65" s="4">
        <f t="shared" ca="1" si="8"/>
        <v>44102</v>
      </c>
      <c r="C65">
        <f t="shared" si="8"/>
        <v>54</v>
      </c>
      <c r="D65">
        <f t="shared" ca="1" si="1"/>
        <v>2</v>
      </c>
      <c r="E65" s="2">
        <f t="shared" ca="1" si="3"/>
        <v>127.52559452489936</v>
      </c>
      <c r="F65" s="2">
        <f t="shared" ca="1" si="4"/>
        <v>0</v>
      </c>
      <c r="G65" s="2">
        <f t="shared" ca="1" si="5"/>
        <v>127.52559452489936</v>
      </c>
      <c r="H65" s="2">
        <f t="shared" ca="1" si="0"/>
        <v>6.6383186191043511E-2</v>
      </c>
      <c r="I65" s="2">
        <v>0</v>
      </c>
    </row>
    <row r="66" spans="2:9" x14ac:dyDescent="0.2">
      <c r="B66" s="4">
        <f t="shared" ca="1" si="8"/>
        <v>44103</v>
      </c>
      <c r="C66">
        <f t="shared" si="8"/>
        <v>55</v>
      </c>
      <c r="D66">
        <f t="shared" ca="1" si="1"/>
        <v>3</v>
      </c>
      <c r="E66" s="2">
        <f t="shared" ca="1" si="3"/>
        <v>127.59197771109041</v>
      </c>
      <c r="F66" s="2">
        <f t="shared" ca="1" si="4"/>
        <v>0</v>
      </c>
      <c r="G66" s="2">
        <f t="shared" ca="1" si="5"/>
        <v>127.59197771109041</v>
      </c>
      <c r="H66" s="2">
        <f t="shared" ca="1" si="0"/>
        <v>6.641774182221144E-2</v>
      </c>
      <c r="I66" s="2">
        <v>0</v>
      </c>
    </row>
    <row r="67" spans="2:9" x14ac:dyDescent="0.2">
      <c r="B67" s="4">
        <f t="shared" ca="1" si="8"/>
        <v>44104</v>
      </c>
      <c r="C67">
        <f t="shared" si="8"/>
        <v>56</v>
      </c>
      <c r="D67">
        <f t="shared" ca="1" si="1"/>
        <v>4</v>
      </c>
      <c r="E67" s="2">
        <f t="shared" ca="1" si="3"/>
        <v>127.65839545291261</v>
      </c>
      <c r="F67" s="2">
        <f t="shared" ca="1" si="4"/>
        <v>0</v>
      </c>
      <c r="G67" s="2">
        <f t="shared" ca="1" si="5"/>
        <v>127.65839545291261</v>
      </c>
      <c r="H67" s="2">
        <f t="shared" ca="1" si="0"/>
        <v>6.6452315441242193E-2</v>
      </c>
      <c r="I67" s="2">
        <v>0</v>
      </c>
    </row>
    <row r="68" spans="2:9" x14ac:dyDescent="0.2">
      <c r="B68" s="4">
        <f t="shared" ca="1" si="8"/>
        <v>44105</v>
      </c>
      <c r="C68">
        <f t="shared" si="8"/>
        <v>57</v>
      </c>
      <c r="D68">
        <f t="shared" ca="1" si="1"/>
        <v>5</v>
      </c>
      <c r="E68" s="2">
        <f t="shared" ca="1" si="3"/>
        <v>127.72484776835385</v>
      </c>
      <c r="F68" s="2">
        <f t="shared" ca="1" si="4"/>
        <v>0</v>
      </c>
      <c r="G68" s="2">
        <f t="shared" ca="1" si="5"/>
        <v>127.72484776835385</v>
      </c>
      <c r="H68" s="2">
        <f t="shared" ca="1" si="0"/>
        <v>6.6486907057499267E-2</v>
      </c>
      <c r="I68" s="2">
        <v>0</v>
      </c>
    </row>
    <row r="69" spans="2:9" x14ac:dyDescent="0.2">
      <c r="B69" s="4">
        <f t="shared" ca="1" si="8"/>
        <v>44106</v>
      </c>
      <c r="C69">
        <f t="shared" si="8"/>
        <v>58</v>
      </c>
      <c r="D69">
        <f t="shared" ca="1" si="1"/>
        <v>6</v>
      </c>
      <c r="E69" s="2">
        <f t="shared" ca="1" si="3"/>
        <v>127.79133467541135</v>
      </c>
      <c r="F69" s="2">
        <f t="shared" ca="1" si="4"/>
        <v>0</v>
      </c>
      <c r="G69" s="2">
        <f t="shared" ca="1" si="5"/>
        <v>127.79133467541135</v>
      </c>
      <c r="H69" s="2">
        <f t="shared" ca="1" si="0"/>
        <v>6.6521516680351112E-2</v>
      </c>
      <c r="I69" s="2">
        <v>0</v>
      </c>
    </row>
    <row r="70" spans="2:9" x14ac:dyDescent="0.2">
      <c r="B70" s="4">
        <f t="shared" ca="1" si="8"/>
        <v>44107</v>
      </c>
      <c r="C70">
        <f t="shared" si="8"/>
        <v>59</v>
      </c>
      <c r="D70">
        <f t="shared" ca="1" si="1"/>
        <v>7</v>
      </c>
      <c r="E70" s="2">
        <f t="shared" ca="1" si="3"/>
        <v>127.8578561920917</v>
      </c>
      <c r="F70" s="2">
        <f t="shared" ca="1" si="4"/>
        <v>0</v>
      </c>
      <c r="G70" s="2">
        <f t="shared" ca="1" si="5"/>
        <v>127.8578561920917</v>
      </c>
      <c r="H70" s="2">
        <f t="shared" ca="1" si="0"/>
        <v>6.6556144319171021E-2</v>
      </c>
      <c r="I70" s="2">
        <v>0</v>
      </c>
    </row>
    <row r="71" spans="2:9" x14ac:dyDescent="0.2">
      <c r="B71" s="4">
        <f t="shared" ca="1" si="8"/>
        <v>44108</v>
      </c>
      <c r="C71">
        <f t="shared" si="8"/>
        <v>60</v>
      </c>
      <c r="D71">
        <f t="shared" ca="1" si="1"/>
        <v>1</v>
      </c>
      <c r="E71" s="2">
        <f t="shared" ca="1" si="3"/>
        <v>127.92441233641087</v>
      </c>
      <c r="F71" s="2">
        <f t="shared" ca="1" si="4"/>
        <v>0</v>
      </c>
      <c r="G71" s="2">
        <f t="shared" ca="1" si="5"/>
        <v>127.92441233641087</v>
      </c>
      <c r="H71" s="2">
        <f t="shared" ca="1" si="0"/>
        <v>6.6590789983337173E-2</v>
      </c>
      <c r="I71" s="2">
        <v>0</v>
      </c>
    </row>
    <row r="72" spans="2:9" x14ac:dyDescent="0.2">
      <c r="B72" s="4">
        <f t="shared" ca="1" si="8"/>
        <v>44109</v>
      </c>
      <c r="C72">
        <f t="shared" si="8"/>
        <v>61</v>
      </c>
      <c r="D72">
        <f t="shared" ca="1" si="1"/>
        <v>2</v>
      </c>
      <c r="E72" s="2">
        <f t="shared" ca="1" si="3"/>
        <v>127.9910031263942</v>
      </c>
      <c r="F72" s="2">
        <f t="shared" ca="1" si="4"/>
        <v>128.05762858007643</v>
      </c>
      <c r="G72" s="2">
        <f t="shared" ca="1" si="5"/>
        <v>-6.6625453682220837E-2</v>
      </c>
      <c r="H72" s="2">
        <f t="shared" ca="1" si="0"/>
        <v>-3.46817430126629E-5</v>
      </c>
      <c r="I72" s="2">
        <v>0</v>
      </c>
    </row>
    <row r="73" spans="2:9" x14ac:dyDescent="0.2">
      <c r="B73" s="4">
        <f t="shared" ca="1" si="8"/>
        <v>44110</v>
      </c>
      <c r="C73">
        <f t="shared" si="8"/>
        <v>62</v>
      </c>
      <c r="D73">
        <f t="shared" ca="1" si="1"/>
        <v>3</v>
      </c>
      <c r="E73" s="2">
        <f t="shared" ca="1" si="3"/>
        <v>0</v>
      </c>
      <c r="F73" s="2">
        <f t="shared" ca="1" si="4"/>
        <v>0</v>
      </c>
      <c r="G73" s="2">
        <f t="shared" ca="1" si="5"/>
        <v>-6.6625453682220837E-2</v>
      </c>
      <c r="H73" s="2">
        <f t="shared" ca="1" si="0"/>
        <v>0</v>
      </c>
      <c r="I73" s="2">
        <v>0</v>
      </c>
    </row>
    <row r="74" spans="2:9" x14ac:dyDescent="0.2">
      <c r="B74" s="4">
        <f t="shared" ca="1" si="8"/>
        <v>44111</v>
      </c>
      <c r="C74">
        <f t="shared" si="8"/>
        <v>63</v>
      </c>
      <c r="D74">
        <f t="shared" ca="1" si="1"/>
        <v>4</v>
      </c>
      <c r="E74" s="2">
        <f t="shared" ca="1" si="3"/>
        <v>0</v>
      </c>
      <c r="F74" s="2">
        <f t="shared" ca="1" si="4"/>
        <v>0</v>
      </c>
      <c r="G74" s="2">
        <f t="shared" ca="1" si="5"/>
        <v>-6.6625453682220837E-2</v>
      </c>
      <c r="H74" s="2">
        <f t="shared" ca="1" si="0"/>
        <v>0</v>
      </c>
      <c r="I74" s="2">
        <v>0</v>
      </c>
    </row>
    <row r="75" spans="2:9" x14ac:dyDescent="0.2">
      <c r="B75" s="4">
        <f t="shared" ca="1" si="8"/>
        <v>44112</v>
      </c>
      <c r="C75">
        <f t="shared" si="8"/>
        <v>64</v>
      </c>
      <c r="D75">
        <f t="shared" ca="1" si="1"/>
        <v>5</v>
      </c>
      <c r="E75" s="2">
        <f t="shared" ca="1" si="3"/>
        <v>0</v>
      </c>
      <c r="F75" s="2">
        <f t="shared" ca="1" si="4"/>
        <v>0</v>
      </c>
      <c r="G75" s="2">
        <f t="shared" ca="1" si="5"/>
        <v>-6.6625453682220837E-2</v>
      </c>
      <c r="H75" s="2">
        <f t="shared" ca="1" si="0"/>
        <v>0</v>
      </c>
      <c r="I75" s="2">
        <v>0</v>
      </c>
    </row>
    <row r="76" spans="2:9" x14ac:dyDescent="0.2">
      <c r="B76" s="4">
        <f t="shared" ca="1" si="8"/>
        <v>44113</v>
      </c>
      <c r="C76">
        <f t="shared" si="8"/>
        <v>65</v>
      </c>
      <c r="D76">
        <f t="shared" ref="D76:D139" ca="1" si="9">WEEKDAY(B76,1)</f>
        <v>6</v>
      </c>
      <c r="E76" s="2">
        <f t="shared" ca="1" si="3"/>
        <v>0</v>
      </c>
      <c r="F76" s="2">
        <f t="shared" ca="1" si="4"/>
        <v>0</v>
      </c>
      <c r="G76" s="2">
        <f t="shared" ca="1" si="5"/>
        <v>-6.6625453682220837E-2</v>
      </c>
      <c r="H76" s="2">
        <f t="shared" ref="H76:H139" ca="1" si="10">IF(C76&gt;$C$7,0,(G76)*$C$5/365)</f>
        <v>0</v>
      </c>
      <c r="I76" s="2">
        <v>0</v>
      </c>
    </row>
    <row r="77" spans="2:9" x14ac:dyDescent="0.2">
      <c r="B77" s="4">
        <f t="shared" ref="B77:C92" ca="1" si="11">B76+1</f>
        <v>44114</v>
      </c>
      <c r="C77">
        <f t="shared" si="11"/>
        <v>66</v>
      </c>
      <c r="D77">
        <f t="shared" ca="1" si="9"/>
        <v>7</v>
      </c>
      <c r="E77" s="2">
        <f t="shared" ref="E77:E140" ca="1" si="12">IF(C77&gt;$C$7,0,G76+H76+I76)</f>
        <v>0</v>
      </c>
      <c r="F77" s="2">
        <f t="shared" ref="F77:F140" ca="1" si="13">IF(C77&gt;$C$7,0,IF(ROUND(E77,0)&gt;0,IF(C77=0,0,IF(DAY($F$2)&lt;&gt;DAY(B77),0,$C$8)),0))</f>
        <v>0</v>
      </c>
      <c r="G77" s="2">
        <f t="shared" ref="G77:G140" ca="1" si="14">IF(C77&gt;$C$7,G76,E77-F77)</f>
        <v>-6.6625453682220837E-2</v>
      </c>
      <c r="H77" s="2">
        <f t="shared" ca="1" si="10"/>
        <v>0</v>
      </c>
      <c r="I77" s="2">
        <v>0</v>
      </c>
    </row>
    <row r="78" spans="2:9" x14ac:dyDescent="0.2">
      <c r="B78" s="4">
        <f t="shared" ca="1" si="11"/>
        <v>44115</v>
      </c>
      <c r="C78">
        <f t="shared" si="11"/>
        <v>67</v>
      </c>
      <c r="D78">
        <f t="shared" ca="1" si="9"/>
        <v>1</v>
      </c>
      <c r="E78" s="2">
        <f t="shared" ca="1" si="12"/>
        <v>0</v>
      </c>
      <c r="F78" s="2">
        <f t="shared" ca="1" si="13"/>
        <v>0</v>
      </c>
      <c r="G78" s="2">
        <f t="shared" ca="1" si="14"/>
        <v>-6.6625453682220837E-2</v>
      </c>
      <c r="H78" s="2">
        <f t="shared" ca="1" si="10"/>
        <v>0</v>
      </c>
      <c r="I78" s="2">
        <v>0</v>
      </c>
    </row>
    <row r="79" spans="2:9" x14ac:dyDescent="0.2">
      <c r="B79" s="4">
        <f t="shared" ca="1" si="11"/>
        <v>44116</v>
      </c>
      <c r="C79">
        <f t="shared" si="11"/>
        <v>68</v>
      </c>
      <c r="D79">
        <f t="shared" ca="1" si="9"/>
        <v>2</v>
      </c>
      <c r="E79" s="2">
        <f t="shared" ca="1" si="12"/>
        <v>0</v>
      </c>
      <c r="F79" s="2">
        <f t="shared" ca="1" si="13"/>
        <v>0</v>
      </c>
      <c r="G79" s="2">
        <f t="shared" ca="1" si="14"/>
        <v>-6.6625453682220837E-2</v>
      </c>
      <c r="H79" s="2">
        <f t="shared" ca="1" si="10"/>
        <v>0</v>
      </c>
      <c r="I79" s="2">
        <v>0</v>
      </c>
    </row>
    <row r="80" spans="2:9" x14ac:dyDescent="0.2">
      <c r="B80" s="4">
        <f t="shared" ca="1" si="11"/>
        <v>44117</v>
      </c>
      <c r="C80">
        <f t="shared" si="11"/>
        <v>69</v>
      </c>
      <c r="D80">
        <f t="shared" ca="1" si="9"/>
        <v>3</v>
      </c>
      <c r="E80" s="2">
        <f t="shared" ca="1" si="12"/>
        <v>0</v>
      </c>
      <c r="F80" s="2">
        <f t="shared" ca="1" si="13"/>
        <v>0</v>
      </c>
      <c r="G80" s="2">
        <f t="shared" ca="1" si="14"/>
        <v>-6.6625453682220837E-2</v>
      </c>
      <c r="H80" s="2">
        <f t="shared" ca="1" si="10"/>
        <v>0</v>
      </c>
      <c r="I80" s="2">
        <v>0</v>
      </c>
    </row>
    <row r="81" spans="2:9" x14ac:dyDescent="0.2">
      <c r="B81" s="4">
        <f t="shared" ca="1" si="11"/>
        <v>44118</v>
      </c>
      <c r="C81">
        <f t="shared" si="11"/>
        <v>70</v>
      </c>
      <c r="D81">
        <f t="shared" ca="1" si="9"/>
        <v>4</v>
      </c>
      <c r="E81" s="2">
        <f t="shared" ca="1" si="12"/>
        <v>0</v>
      </c>
      <c r="F81" s="2">
        <f t="shared" ca="1" si="13"/>
        <v>0</v>
      </c>
      <c r="G81" s="2">
        <f t="shared" ca="1" si="14"/>
        <v>-6.6625453682220837E-2</v>
      </c>
      <c r="H81" s="2">
        <f t="shared" ca="1" si="10"/>
        <v>0</v>
      </c>
      <c r="I81" s="2">
        <v>0</v>
      </c>
    </row>
    <row r="82" spans="2:9" x14ac:dyDescent="0.2">
      <c r="B82" s="4">
        <f t="shared" ca="1" si="11"/>
        <v>44119</v>
      </c>
      <c r="C82">
        <f t="shared" si="11"/>
        <v>71</v>
      </c>
      <c r="D82">
        <f t="shared" ca="1" si="9"/>
        <v>5</v>
      </c>
      <c r="E82" s="2">
        <f t="shared" ca="1" si="12"/>
        <v>0</v>
      </c>
      <c r="F82" s="2">
        <f t="shared" ca="1" si="13"/>
        <v>0</v>
      </c>
      <c r="G82" s="2">
        <f t="shared" ca="1" si="14"/>
        <v>-6.6625453682220837E-2</v>
      </c>
      <c r="H82" s="2">
        <f t="shared" ca="1" si="10"/>
        <v>0</v>
      </c>
      <c r="I82" s="2">
        <v>0</v>
      </c>
    </row>
    <row r="83" spans="2:9" x14ac:dyDescent="0.2">
      <c r="B83" s="4">
        <f t="shared" ca="1" si="11"/>
        <v>44120</v>
      </c>
      <c r="C83">
        <f t="shared" si="11"/>
        <v>72</v>
      </c>
      <c r="D83">
        <f t="shared" ca="1" si="9"/>
        <v>6</v>
      </c>
      <c r="E83" s="2">
        <f t="shared" ca="1" si="12"/>
        <v>0</v>
      </c>
      <c r="F83" s="2">
        <f t="shared" ca="1" si="13"/>
        <v>0</v>
      </c>
      <c r="G83" s="2">
        <f t="shared" ca="1" si="14"/>
        <v>-6.6625453682220837E-2</v>
      </c>
      <c r="H83" s="2">
        <f t="shared" ca="1" si="10"/>
        <v>0</v>
      </c>
      <c r="I83" s="2">
        <v>0</v>
      </c>
    </row>
    <row r="84" spans="2:9" x14ac:dyDescent="0.2">
      <c r="B84" s="4">
        <f t="shared" ca="1" si="11"/>
        <v>44121</v>
      </c>
      <c r="C84">
        <f t="shared" si="11"/>
        <v>73</v>
      </c>
      <c r="D84">
        <f t="shared" ca="1" si="9"/>
        <v>7</v>
      </c>
      <c r="E84" s="2">
        <f t="shared" ca="1" si="12"/>
        <v>0</v>
      </c>
      <c r="F84" s="2">
        <f t="shared" ca="1" si="13"/>
        <v>0</v>
      </c>
      <c r="G84" s="2">
        <f t="shared" ca="1" si="14"/>
        <v>-6.6625453682220837E-2</v>
      </c>
      <c r="H84" s="2">
        <f t="shared" ca="1" si="10"/>
        <v>0</v>
      </c>
      <c r="I84" s="2">
        <v>0</v>
      </c>
    </row>
    <row r="85" spans="2:9" x14ac:dyDescent="0.2">
      <c r="B85" s="4">
        <f t="shared" ca="1" si="11"/>
        <v>44122</v>
      </c>
      <c r="C85">
        <f t="shared" si="11"/>
        <v>74</v>
      </c>
      <c r="D85">
        <f t="shared" ca="1" si="9"/>
        <v>1</v>
      </c>
      <c r="E85" s="2">
        <f t="shared" ca="1" si="12"/>
        <v>0</v>
      </c>
      <c r="F85" s="2">
        <f t="shared" ca="1" si="13"/>
        <v>0</v>
      </c>
      <c r="G85" s="2">
        <f t="shared" ca="1" si="14"/>
        <v>-6.6625453682220837E-2</v>
      </c>
      <c r="H85" s="2">
        <f t="shared" ca="1" si="10"/>
        <v>0</v>
      </c>
      <c r="I85" s="2">
        <v>0</v>
      </c>
    </row>
    <row r="86" spans="2:9" x14ac:dyDescent="0.2">
      <c r="B86" s="4">
        <f t="shared" ca="1" si="11"/>
        <v>44123</v>
      </c>
      <c r="C86">
        <f t="shared" si="11"/>
        <v>75</v>
      </c>
      <c r="D86">
        <f t="shared" ca="1" si="9"/>
        <v>2</v>
      </c>
      <c r="E86" s="2">
        <f t="shared" ca="1" si="12"/>
        <v>0</v>
      </c>
      <c r="F86" s="2">
        <f t="shared" ca="1" si="13"/>
        <v>0</v>
      </c>
      <c r="G86" s="2">
        <f t="shared" ca="1" si="14"/>
        <v>-6.6625453682220837E-2</v>
      </c>
      <c r="H86" s="2">
        <f t="shared" ca="1" si="10"/>
        <v>0</v>
      </c>
      <c r="I86" s="2">
        <v>0</v>
      </c>
    </row>
    <row r="87" spans="2:9" x14ac:dyDescent="0.2">
      <c r="B87" s="4">
        <f t="shared" ca="1" si="11"/>
        <v>44124</v>
      </c>
      <c r="C87">
        <f t="shared" si="11"/>
        <v>76</v>
      </c>
      <c r="D87">
        <f t="shared" ca="1" si="9"/>
        <v>3</v>
      </c>
      <c r="E87" s="2">
        <f t="shared" ca="1" si="12"/>
        <v>0</v>
      </c>
      <c r="F87" s="2">
        <f t="shared" ca="1" si="13"/>
        <v>0</v>
      </c>
      <c r="G87" s="2">
        <f t="shared" ca="1" si="14"/>
        <v>-6.6625453682220837E-2</v>
      </c>
      <c r="H87" s="2">
        <f t="shared" ca="1" si="10"/>
        <v>0</v>
      </c>
      <c r="I87" s="2">
        <v>0</v>
      </c>
    </row>
    <row r="88" spans="2:9" x14ac:dyDescent="0.2">
      <c r="B88" s="4">
        <f t="shared" ca="1" si="11"/>
        <v>44125</v>
      </c>
      <c r="C88">
        <f t="shared" si="11"/>
        <v>77</v>
      </c>
      <c r="D88">
        <f t="shared" ca="1" si="9"/>
        <v>4</v>
      </c>
      <c r="E88" s="2">
        <f t="shared" ca="1" si="12"/>
        <v>0</v>
      </c>
      <c r="F88" s="2">
        <f t="shared" ca="1" si="13"/>
        <v>0</v>
      </c>
      <c r="G88" s="2">
        <f t="shared" ca="1" si="14"/>
        <v>-6.6625453682220837E-2</v>
      </c>
      <c r="H88" s="2">
        <f t="shared" ca="1" si="10"/>
        <v>0</v>
      </c>
      <c r="I88" s="2">
        <v>0</v>
      </c>
    </row>
    <row r="89" spans="2:9" x14ac:dyDescent="0.2">
      <c r="B89" s="4">
        <f t="shared" ca="1" si="11"/>
        <v>44126</v>
      </c>
      <c r="C89">
        <f t="shared" si="11"/>
        <v>78</v>
      </c>
      <c r="D89">
        <f t="shared" ca="1" si="9"/>
        <v>5</v>
      </c>
      <c r="E89" s="2">
        <f t="shared" ca="1" si="12"/>
        <v>0</v>
      </c>
      <c r="F89" s="2">
        <f t="shared" ca="1" si="13"/>
        <v>0</v>
      </c>
      <c r="G89" s="2">
        <f t="shared" ca="1" si="14"/>
        <v>-6.6625453682220837E-2</v>
      </c>
      <c r="H89" s="2">
        <f t="shared" ca="1" si="10"/>
        <v>0</v>
      </c>
      <c r="I89" s="2">
        <v>0</v>
      </c>
    </row>
    <row r="90" spans="2:9" x14ac:dyDescent="0.2">
      <c r="B90" s="4">
        <f t="shared" ca="1" si="11"/>
        <v>44127</v>
      </c>
      <c r="C90">
        <f t="shared" si="11"/>
        <v>79</v>
      </c>
      <c r="D90">
        <f t="shared" ca="1" si="9"/>
        <v>6</v>
      </c>
      <c r="E90" s="2">
        <f t="shared" ca="1" si="12"/>
        <v>0</v>
      </c>
      <c r="F90" s="2">
        <f t="shared" ca="1" si="13"/>
        <v>0</v>
      </c>
      <c r="G90" s="2">
        <f t="shared" ca="1" si="14"/>
        <v>-6.6625453682220837E-2</v>
      </c>
      <c r="H90" s="2">
        <f t="shared" ca="1" si="10"/>
        <v>0</v>
      </c>
      <c r="I90" s="2">
        <v>0</v>
      </c>
    </row>
    <row r="91" spans="2:9" x14ac:dyDescent="0.2">
      <c r="B91" s="4">
        <f t="shared" ca="1" si="11"/>
        <v>44128</v>
      </c>
      <c r="C91">
        <f t="shared" si="11"/>
        <v>80</v>
      </c>
      <c r="D91">
        <f t="shared" ca="1" si="9"/>
        <v>7</v>
      </c>
      <c r="E91" s="2">
        <f t="shared" ca="1" si="12"/>
        <v>0</v>
      </c>
      <c r="F91" s="2">
        <f t="shared" ca="1" si="13"/>
        <v>0</v>
      </c>
      <c r="G91" s="2">
        <f t="shared" ca="1" si="14"/>
        <v>-6.6625453682220837E-2</v>
      </c>
      <c r="H91" s="2">
        <f t="shared" ca="1" si="10"/>
        <v>0</v>
      </c>
      <c r="I91" s="2">
        <v>0</v>
      </c>
    </row>
    <row r="92" spans="2:9" x14ac:dyDescent="0.2">
      <c r="B92" s="4">
        <f t="shared" ca="1" si="11"/>
        <v>44129</v>
      </c>
      <c r="C92">
        <f t="shared" si="11"/>
        <v>81</v>
      </c>
      <c r="D92">
        <f t="shared" ca="1" si="9"/>
        <v>1</v>
      </c>
      <c r="E92" s="2">
        <f t="shared" ca="1" si="12"/>
        <v>0</v>
      </c>
      <c r="F92" s="2">
        <f t="shared" ca="1" si="13"/>
        <v>0</v>
      </c>
      <c r="G92" s="2">
        <f t="shared" ca="1" si="14"/>
        <v>-6.6625453682220837E-2</v>
      </c>
      <c r="H92" s="2">
        <f t="shared" ca="1" si="10"/>
        <v>0</v>
      </c>
      <c r="I92" s="2">
        <v>0</v>
      </c>
    </row>
    <row r="93" spans="2:9" x14ac:dyDescent="0.2">
      <c r="B93" s="4">
        <f t="shared" ref="B93:C108" ca="1" si="15">B92+1</f>
        <v>44130</v>
      </c>
      <c r="C93">
        <f t="shared" si="15"/>
        <v>82</v>
      </c>
      <c r="D93">
        <f t="shared" ca="1" si="9"/>
        <v>2</v>
      </c>
      <c r="E93" s="2">
        <f t="shared" ca="1" si="12"/>
        <v>0</v>
      </c>
      <c r="F93" s="2">
        <f t="shared" ca="1" si="13"/>
        <v>0</v>
      </c>
      <c r="G93" s="2">
        <f t="shared" ca="1" si="14"/>
        <v>-6.6625453682220837E-2</v>
      </c>
      <c r="H93" s="2">
        <f t="shared" ca="1" si="10"/>
        <v>0</v>
      </c>
      <c r="I93" s="2">
        <v>0</v>
      </c>
    </row>
    <row r="94" spans="2:9" x14ac:dyDescent="0.2">
      <c r="B94" s="4">
        <f t="shared" ca="1" si="15"/>
        <v>44131</v>
      </c>
      <c r="C94">
        <f t="shared" si="15"/>
        <v>83</v>
      </c>
      <c r="D94">
        <f t="shared" ca="1" si="9"/>
        <v>3</v>
      </c>
      <c r="E94" s="2">
        <f t="shared" ca="1" si="12"/>
        <v>0</v>
      </c>
      <c r="F94" s="2">
        <f t="shared" ca="1" si="13"/>
        <v>0</v>
      </c>
      <c r="G94" s="2">
        <f t="shared" ca="1" si="14"/>
        <v>-6.6625453682220837E-2</v>
      </c>
      <c r="H94" s="2">
        <f t="shared" ca="1" si="10"/>
        <v>0</v>
      </c>
      <c r="I94" s="2">
        <v>0</v>
      </c>
    </row>
    <row r="95" spans="2:9" x14ac:dyDescent="0.2">
      <c r="B95" s="4">
        <f t="shared" ca="1" si="15"/>
        <v>44132</v>
      </c>
      <c r="C95">
        <f t="shared" si="15"/>
        <v>84</v>
      </c>
      <c r="D95">
        <f t="shared" ca="1" si="9"/>
        <v>4</v>
      </c>
      <c r="E95" s="2">
        <f t="shared" ca="1" si="12"/>
        <v>0</v>
      </c>
      <c r="F95" s="2">
        <f t="shared" ca="1" si="13"/>
        <v>0</v>
      </c>
      <c r="G95" s="2">
        <f t="shared" ca="1" si="14"/>
        <v>-6.6625453682220837E-2</v>
      </c>
      <c r="H95" s="2">
        <f t="shared" ca="1" si="10"/>
        <v>0</v>
      </c>
      <c r="I95" s="2">
        <v>0</v>
      </c>
    </row>
    <row r="96" spans="2:9" x14ac:dyDescent="0.2">
      <c r="B96" s="4">
        <f t="shared" ca="1" si="15"/>
        <v>44133</v>
      </c>
      <c r="C96">
        <f t="shared" si="15"/>
        <v>85</v>
      </c>
      <c r="D96">
        <f t="shared" ca="1" si="9"/>
        <v>5</v>
      </c>
      <c r="E96" s="2">
        <f t="shared" ca="1" si="12"/>
        <v>0</v>
      </c>
      <c r="F96" s="2">
        <f t="shared" ca="1" si="13"/>
        <v>0</v>
      </c>
      <c r="G96" s="2">
        <f t="shared" ca="1" si="14"/>
        <v>-6.6625453682220837E-2</v>
      </c>
      <c r="H96" s="2">
        <f t="shared" ca="1" si="10"/>
        <v>0</v>
      </c>
      <c r="I96" s="2">
        <v>0</v>
      </c>
    </row>
    <row r="97" spans="2:9" x14ac:dyDescent="0.2">
      <c r="B97" s="4">
        <f t="shared" ca="1" si="15"/>
        <v>44134</v>
      </c>
      <c r="C97">
        <f t="shared" si="15"/>
        <v>86</v>
      </c>
      <c r="D97">
        <f t="shared" ca="1" si="9"/>
        <v>6</v>
      </c>
      <c r="E97" s="2">
        <f t="shared" ca="1" si="12"/>
        <v>0</v>
      </c>
      <c r="F97" s="2">
        <f t="shared" ca="1" si="13"/>
        <v>0</v>
      </c>
      <c r="G97" s="2">
        <f t="shared" ca="1" si="14"/>
        <v>-6.6625453682220837E-2</v>
      </c>
      <c r="H97" s="2">
        <f t="shared" ca="1" si="10"/>
        <v>0</v>
      </c>
      <c r="I97" s="2">
        <v>0</v>
      </c>
    </row>
    <row r="98" spans="2:9" x14ac:dyDescent="0.2">
      <c r="B98" s="4">
        <f t="shared" ca="1" si="15"/>
        <v>44135</v>
      </c>
      <c r="C98">
        <f t="shared" si="15"/>
        <v>87</v>
      </c>
      <c r="D98">
        <f t="shared" ca="1" si="9"/>
        <v>7</v>
      </c>
      <c r="E98" s="2">
        <f t="shared" ca="1" si="12"/>
        <v>0</v>
      </c>
      <c r="F98" s="2">
        <f t="shared" ca="1" si="13"/>
        <v>0</v>
      </c>
      <c r="G98" s="2">
        <f t="shared" ca="1" si="14"/>
        <v>-6.6625453682220837E-2</v>
      </c>
      <c r="H98" s="2">
        <f t="shared" ca="1" si="10"/>
        <v>0</v>
      </c>
      <c r="I98" s="2">
        <v>0</v>
      </c>
    </row>
    <row r="99" spans="2:9" x14ac:dyDescent="0.2">
      <c r="B99" s="4">
        <f t="shared" ca="1" si="15"/>
        <v>44136</v>
      </c>
      <c r="C99">
        <f t="shared" si="15"/>
        <v>88</v>
      </c>
      <c r="D99">
        <f t="shared" ca="1" si="9"/>
        <v>1</v>
      </c>
      <c r="E99" s="2">
        <f t="shared" ca="1" si="12"/>
        <v>0</v>
      </c>
      <c r="F99" s="2">
        <f t="shared" ca="1" si="13"/>
        <v>0</v>
      </c>
      <c r="G99" s="2">
        <f t="shared" ca="1" si="14"/>
        <v>-6.6625453682220837E-2</v>
      </c>
      <c r="H99" s="2">
        <f t="shared" ca="1" si="10"/>
        <v>0</v>
      </c>
      <c r="I99" s="2">
        <v>0</v>
      </c>
    </row>
    <row r="100" spans="2:9" x14ac:dyDescent="0.2">
      <c r="B100" s="4">
        <f t="shared" ca="1" si="15"/>
        <v>44137</v>
      </c>
      <c r="C100">
        <f t="shared" si="15"/>
        <v>89</v>
      </c>
      <c r="D100">
        <f t="shared" ca="1" si="9"/>
        <v>2</v>
      </c>
      <c r="E100" s="2">
        <f t="shared" ca="1" si="12"/>
        <v>0</v>
      </c>
      <c r="F100" s="2">
        <f t="shared" ca="1" si="13"/>
        <v>0</v>
      </c>
      <c r="G100" s="2">
        <f t="shared" ca="1" si="14"/>
        <v>-6.6625453682220837E-2</v>
      </c>
      <c r="H100" s="2">
        <f t="shared" ca="1" si="10"/>
        <v>0</v>
      </c>
      <c r="I100" s="2">
        <v>0</v>
      </c>
    </row>
    <row r="101" spans="2:9" x14ac:dyDescent="0.2">
      <c r="B101" s="4">
        <f t="shared" ca="1" si="15"/>
        <v>44138</v>
      </c>
      <c r="C101">
        <f t="shared" si="15"/>
        <v>90</v>
      </c>
      <c r="D101">
        <f t="shared" ca="1" si="9"/>
        <v>3</v>
      </c>
      <c r="E101" s="2">
        <f t="shared" ca="1" si="12"/>
        <v>0</v>
      </c>
      <c r="F101" s="2">
        <f t="shared" ca="1" si="13"/>
        <v>0</v>
      </c>
      <c r="G101" s="2">
        <f t="shared" ca="1" si="14"/>
        <v>-6.6625453682220837E-2</v>
      </c>
      <c r="H101" s="2">
        <f t="shared" ca="1" si="10"/>
        <v>0</v>
      </c>
      <c r="I101" s="2">
        <v>0</v>
      </c>
    </row>
    <row r="102" spans="2:9" x14ac:dyDescent="0.2">
      <c r="B102" s="4">
        <f t="shared" ca="1" si="15"/>
        <v>44139</v>
      </c>
      <c r="C102">
        <f t="shared" si="15"/>
        <v>91</v>
      </c>
      <c r="D102">
        <f t="shared" ca="1" si="9"/>
        <v>4</v>
      </c>
      <c r="E102" s="2">
        <f t="shared" ca="1" si="12"/>
        <v>0</v>
      </c>
      <c r="F102" s="2">
        <f t="shared" ca="1" si="13"/>
        <v>0</v>
      </c>
      <c r="G102" s="2">
        <f t="shared" ca="1" si="14"/>
        <v>-6.6625453682220837E-2</v>
      </c>
      <c r="H102" s="2">
        <f t="shared" ca="1" si="10"/>
        <v>0</v>
      </c>
      <c r="I102" s="2">
        <v>0</v>
      </c>
    </row>
    <row r="103" spans="2:9" x14ac:dyDescent="0.2">
      <c r="B103" s="4">
        <f t="shared" ca="1" si="15"/>
        <v>44140</v>
      </c>
      <c r="C103">
        <f t="shared" si="15"/>
        <v>92</v>
      </c>
      <c r="D103">
        <f t="shared" ca="1" si="9"/>
        <v>5</v>
      </c>
      <c r="E103" s="2">
        <f t="shared" ca="1" si="12"/>
        <v>0</v>
      </c>
      <c r="F103" s="2">
        <f t="shared" ca="1" si="13"/>
        <v>0</v>
      </c>
      <c r="G103" s="2">
        <f t="shared" ca="1" si="14"/>
        <v>-6.6625453682220837E-2</v>
      </c>
      <c r="H103" s="2">
        <f t="shared" ca="1" si="10"/>
        <v>0</v>
      </c>
      <c r="I103" s="2">
        <v>0</v>
      </c>
    </row>
    <row r="104" spans="2:9" x14ac:dyDescent="0.2">
      <c r="B104" s="4">
        <f t="shared" ca="1" si="15"/>
        <v>44141</v>
      </c>
      <c r="C104">
        <f t="shared" si="15"/>
        <v>93</v>
      </c>
      <c r="D104">
        <f t="shared" ca="1" si="9"/>
        <v>6</v>
      </c>
      <c r="E104" s="2">
        <f t="shared" ca="1" si="12"/>
        <v>0</v>
      </c>
      <c r="F104" s="2">
        <f t="shared" ca="1" si="13"/>
        <v>0</v>
      </c>
      <c r="G104" s="2">
        <f t="shared" ca="1" si="14"/>
        <v>-6.6625453682220837E-2</v>
      </c>
      <c r="H104" s="2">
        <f t="shared" ca="1" si="10"/>
        <v>0</v>
      </c>
      <c r="I104" s="2">
        <v>0</v>
      </c>
    </row>
    <row r="105" spans="2:9" x14ac:dyDescent="0.2">
      <c r="B105" s="4">
        <f t="shared" ca="1" si="15"/>
        <v>44142</v>
      </c>
      <c r="C105">
        <f t="shared" si="15"/>
        <v>94</v>
      </c>
      <c r="D105">
        <f t="shared" ca="1" si="9"/>
        <v>7</v>
      </c>
      <c r="E105" s="2">
        <f t="shared" ca="1" si="12"/>
        <v>0</v>
      </c>
      <c r="F105" s="2">
        <f t="shared" ca="1" si="13"/>
        <v>0</v>
      </c>
      <c r="G105" s="2">
        <f t="shared" ca="1" si="14"/>
        <v>-6.6625453682220837E-2</v>
      </c>
      <c r="H105" s="2">
        <f t="shared" ca="1" si="10"/>
        <v>0</v>
      </c>
      <c r="I105" s="2">
        <v>0</v>
      </c>
    </row>
    <row r="106" spans="2:9" x14ac:dyDescent="0.2">
      <c r="B106" s="4">
        <f t="shared" ca="1" si="15"/>
        <v>44143</v>
      </c>
      <c r="C106">
        <f t="shared" si="15"/>
        <v>95</v>
      </c>
      <c r="D106">
        <f t="shared" ca="1" si="9"/>
        <v>1</v>
      </c>
      <c r="E106" s="2">
        <f t="shared" ca="1" si="12"/>
        <v>0</v>
      </c>
      <c r="F106" s="2">
        <f t="shared" ca="1" si="13"/>
        <v>0</v>
      </c>
      <c r="G106" s="2">
        <f t="shared" ca="1" si="14"/>
        <v>-6.6625453682220837E-2</v>
      </c>
      <c r="H106" s="2">
        <f t="shared" ca="1" si="10"/>
        <v>0</v>
      </c>
      <c r="I106" s="2">
        <v>0</v>
      </c>
    </row>
    <row r="107" spans="2:9" x14ac:dyDescent="0.2">
      <c r="B107" s="4">
        <f t="shared" ca="1" si="15"/>
        <v>44144</v>
      </c>
      <c r="C107">
        <f t="shared" si="15"/>
        <v>96</v>
      </c>
      <c r="D107">
        <f t="shared" ca="1" si="9"/>
        <v>2</v>
      </c>
      <c r="E107" s="2">
        <f t="shared" ca="1" si="12"/>
        <v>0</v>
      </c>
      <c r="F107" s="2">
        <f t="shared" ca="1" si="13"/>
        <v>0</v>
      </c>
      <c r="G107" s="2">
        <f t="shared" ca="1" si="14"/>
        <v>-6.6625453682220837E-2</v>
      </c>
      <c r="H107" s="2">
        <f t="shared" ca="1" si="10"/>
        <v>0</v>
      </c>
      <c r="I107" s="2">
        <v>0</v>
      </c>
    </row>
    <row r="108" spans="2:9" x14ac:dyDescent="0.2">
      <c r="B108" s="4">
        <f t="shared" ca="1" si="15"/>
        <v>44145</v>
      </c>
      <c r="C108">
        <f t="shared" si="15"/>
        <v>97</v>
      </c>
      <c r="D108">
        <f t="shared" ca="1" si="9"/>
        <v>3</v>
      </c>
      <c r="E108" s="2">
        <f t="shared" ca="1" si="12"/>
        <v>0</v>
      </c>
      <c r="F108" s="2">
        <f t="shared" ca="1" si="13"/>
        <v>0</v>
      </c>
      <c r="G108" s="2">
        <f t="shared" ca="1" si="14"/>
        <v>-6.6625453682220837E-2</v>
      </c>
      <c r="H108" s="2">
        <f t="shared" ca="1" si="10"/>
        <v>0</v>
      </c>
      <c r="I108" s="2">
        <v>0</v>
      </c>
    </row>
    <row r="109" spans="2:9" x14ac:dyDescent="0.2">
      <c r="B109" s="4">
        <f t="shared" ref="B109:C124" ca="1" si="16">B108+1</f>
        <v>44146</v>
      </c>
      <c r="C109">
        <f t="shared" si="16"/>
        <v>98</v>
      </c>
      <c r="D109">
        <f t="shared" ca="1" si="9"/>
        <v>4</v>
      </c>
      <c r="E109" s="2">
        <f t="shared" ca="1" si="12"/>
        <v>0</v>
      </c>
      <c r="F109" s="2">
        <f t="shared" ca="1" si="13"/>
        <v>0</v>
      </c>
      <c r="G109" s="2">
        <f t="shared" ca="1" si="14"/>
        <v>-6.6625453682220837E-2</v>
      </c>
      <c r="H109" s="2">
        <f t="shared" ca="1" si="10"/>
        <v>0</v>
      </c>
      <c r="I109" s="2">
        <v>0</v>
      </c>
    </row>
    <row r="110" spans="2:9" x14ac:dyDescent="0.2">
      <c r="B110" s="4">
        <f t="shared" ca="1" si="16"/>
        <v>44147</v>
      </c>
      <c r="C110">
        <f t="shared" si="16"/>
        <v>99</v>
      </c>
      <c r="D110">
        <f t="shared" ca="1" si="9"/>
        <v>5</v>
      </c>
      <c r="E110" s="2">
        <f t="shared" ca="1" si="12"/>
        <v>0</v>
      </c>
      <c r="F110" s="2">
        <f t="shared" ca="1" si="13"/>
        <v>0</v>
      </c>
      <c r="G110" s="2">
        <f t="shared" ca="1" si="14"/>
        <v>-6.6625453682220837E-2</v>
      </c>
      <c r="H110" s="2">
        <f t="shared" ca="1" si="10"/>
        <v>0</v>
      </c>
      <c r="I110" s="2">
        <v>0</v>
      </c>
    </row>
    <row r="111" spans="2:9" x14ac:dyDescent="0.2">
      <c r="B111" s="4">
        <f t="shared" ca="1" si="16"/>
        <v>44148</v>
      </c>
      <c r="C111">
        <f t="shared" si="16"/>
        <v>100</v>
      </c>
      <c r="D111">
        <f t="shared" ca="1" si="9"/>
        <v>6</v>
      </c>
      <c r="E111" s="2">
        <f t="shared" ca="1" si="12"/>
        <v>0</v>
      </c>
      <c r="F111" s="2">
        <f t="shared" ca="1" si="13"/>
        <v>0</v>
      </c>
      <c r="G111" s="2">
        <f t="shared" ca="1" si="14"/>
        <v>-6.6625453682220837E-2</v>
      </c>
      <c r="H111" s="2">
        <f t="shared" ca="1" si="10"/>
        <v>0</v>
      </c>
      <c r="I111" s="2">
        <v>0</v>
      </c>
    </row>
    <row r="112" spans="2:9" x14ac:dyDescent="0.2">
      <c r="B112" s="4">
        <f t="shared" ca="1" si="16"/>
        <v>44149</v>
      </c>
      <c r="C112">
        <f t="shared" si="16"/>
        <v>101</v>
      </c>
      <c r="D112">
        <f t="shared" ca="1" si="9"/>
        <v>7</v>
      </c>
      <c r="E112" s="2">
        <f t="shared" ca="1" si="12"/>
        <v>0</v>
      </c>
      <c r="F112" s="2">
        <f t="shared" ca="1" si="13"/>
        <v>0</v>
      </c>
      <c r="G112" s="2">
        <f t="shared" ca="1" si="14"/>
        <v>-6.6625453682220837E-2</v>
      </c>
      <c r="H112" s="2">
        <f t="shared" ca="1" si="10"/>
        <v>0</v>
      </c>
      <c r="I112" s="2">
        <v>0</v>
      </c>
    </row>
    <row r="113" spans="2:9" x14ac:dyDescent="0.2">
      <c r="B113" s="4">
        <f t="shared" ca="1" si="16"/>
        <v>44150</v>
      </c>
      <c r="C113">
        <f t="shared" si="16"/>
        <v>102</v>
      </c>
      <c r="D113">
        <f t="shared" ca="1" si="9"/>
        <v>1</v>
      </c>
      <c r="E113" s="2">
        <f t="shared" ca="1" si="12"/>
        <v>0</v>
      </c>
      <c r="F113" s="2">
        <f t="shared" ca="1" si="13"/>
        <v>0</v>
      </c>
      <c r="G113" s="2">
        <f t="shared" ca="1" si="14"/>
        <v>-6.6625453682220837E-2</v>
      </c>
      <c r="H113" s="2">
        <f t="shared" ca="1" si="10"/>
        <v>0</v>
      </c>
      <c r="I113" s="2">
        <v>0</v>
      </c>
    </row>
    <row r="114" spans="2:9" x14ac:dyDescent="0.2">
      <c r="B114" s="4">
        <f t="shared" ca="1" si="16"/>
        <v>44151</v>
      </c>
      <c r="C114">
        <f t="shared" si="16"/>
        <v>103</v>
      </c>
      <c r="D114">
        <f t="shared" ca="1" si="9"/>
        <v>2</v>
      </c>
      <c r="E114" s="2">
        <f t="shared" ca="1" si="12"/>
        <v>0</v>
      </c>
      <c r="F114" s="2">
        <f t="shared" ca="1" si="13"/>
        <v>0</v>
      </c>
      <c r="G114" s="2">
        <f t="shared" ca="1" si="14"/>
        <v>-6.6625453682220837E-2</v>
      </c>
      <c r="H114" s="2">
        <f t="shared" ca="1" si="10"/>
        <v>0</v>
      </c>
      <c r="I114" s="2">
        <v>0</v>
      </c>
    </row>
    <row r="115" spans="2:9" x14ac:dyDescent="0.2">
      <c r="B115" s="4">
        <f t="shared" ca="1" si="16"/>
        <v>44152</v>
      </c>
      <c r="C115">
        <f t="shared" si="16"/>
        <v>104</v>
      </c>
      <c r="D115">
        <f t="shared" ca="1" si="9"/>
        <v>3</v>
      </c>
      <c r="E115" s="2">
        <f t="shared" ca="1" si="12"/>
        <v>0</v>
      </c>
      <c r="F115" s="2">
        <f t="shared" ca="1" si="13"/>
        <v>0</v>
      </c>
      <c r="G115" s="2">
        <f t="shared" ca="1" si="14"/>
        <v>-6.6625453682220837E-2</v>
      </c>
      <c r="H115" s="2">
        <f t="shared" ca="1" si="10"/>
        <v>0</v>
      </c>
      <c r="I115" s="2">
        <v>0</v>
      </c>
    </row>
    <row r="116" spans="2:9" x14ac:dyDescent="0.2">
      <c r="B116" s="4">
        <f t="shared" ca="1" si="16"/>
        <v>44153</v>
      </c>
      <c r="C116">
        <f t="shared" si="16"/>
        <v>105</v>
      </c>
      <c r="D116">
        <f t="shared" ca="1" si="9"/>
        <v>4</v>
      </c>
      <c r="E116" s="2">
        <f t="shared" ca="1" si="12"/>
        <v>0</v>
      </c>
      <c r="F116" s="2">
        <f t="shared" ca="1" si="13"/>
        <v>0</v>
      </c>
      <c r="G116" s="2">
        <f t="shared" ca="1" si="14"/>
        <v>-6.6625453682220837E-2</v>
      </c>
      <c r="H116" s="2">
        <f t="shared" ca="1" si="10"/>
        <v>0</v>
      </c>
      <c r="I116" s="2">
        <v>0</v>
      </c>
    </row>
    <row r="117" spans="2:9" x14ac:dyDescent="0.2">
      <c r="B117" s="4">
        <f t="shared" ca="1" si="16"/>
        <v>44154</v>
      </c>
      <c r="C117">
        <f t="shared" si="16"/>
        <v>106</v>
      </c>
      <c r="D117">
        <f t="shared" ca="1" si="9"/>
        <v>5</v>
      </c>
      <c r="E117" s="2">
        <f t="shared" ca="1" si="12"/>
        <v>0</v>
      </c>
      <c r="F117" s="2">
        <f t="shared" ca="1" si="13"/>
        <v>0</v>
      </c>
      <c r="G117" s="2">
        <f t="shared" ca="1" si="14"/>
        <v>-6.6625453682220837E-2</v>
      </c>
      <c r="H117" s="2">
        <f t="shared" ca="1" si="10"/>
        <v>0</v>
      </c>
      <c r="I117" s="2">
        <v>0</v>
      </c>
    </row>
    <row r="118" spans="2:9" x14ac:dyDescent="0.2">
      <c r="B118" s="4">
        <f t="shared" ca="1" si="16"/>
        <v>44155</v>
      </c>
      <c r="C118">
        <f t="shared" si="16"/>
        <v>107</v>
      </c>
      <c r="D118">
        <f t="shared" ca="1" si="9"/>
        <v>6</v>
      </c>
      <c r="E118" s="2">
        <f t="shared" ca="1" si="12"/>
        <v>0</v>
      </c>
      <c r="F118" s="2">
        <f t="shared" ca="1" si="13"/>
        <v>0</v>
      </c>
      <c r="G118" s="2">
        <f t="shared" ca="1" si="14"/>
        <v>-6.6625453682220837E-2</v>
      </c>
      <c r="H118" s="2">
        <f t="shared" ca="1" si="10"/>
        <v>0</v>
      </c>
      <c r="I118" s="2">
        <v>0</v>
      </c>
    </row>
    <row r="119" spans="2:9" x14ac:dyDescent="0.2">
      <c r="B119" s="4">
        <f t="shared" ca="1" si="16"/>
        <v>44156</v>
      </c>
      <c r="C119">
        <f t="shared" si="16"/>
        <v>108</v>
      </c>
      <c r="D119">
        <f t="shared" ca="1" si="9"/>
        <v>7</v>
      </c>
      <c r="E119" s="2">
        <f t="shared" ca="1" si="12"/>
        <v>0</v>
      </c>
      <c r="F119" s="2">
        <f t="shared" ca="1" si="13"/>
        <v>0</v>
      </c>
      <c r="G119" s="2">
        <f t="shared" ca="1" si="14"/>
        <v>-6.6625453682220837E-2</v>
      </c>
      <c r="H119" s="2">
        <f t="shared" ca="1" si="10"/>
        <v>0</v>
      </c>
      <c r="I119" s="2">
        <v>0</v>
      </c>
    </row>
    <row r="120" spans="2:9" x14ac:dyDescent="0.2">
      <c r="B120" s="4">
        <f t="shared" ca="1" si="16"/>
        <v>44157</v>
      </c>
      <c r="C120">
        <f t="shared" si="16"/>
        <v>109</v>
      </c>
      <c r="D120">
        <f t="shared" ca="1" si="9"/>
        <v>1</v>
      </c>
      <c r="E120" s="2">
        <f t="shared" ca="1" si="12"/>
        <v>0</v>
      </c>
      <c r="F120" s="2">
        <f t="shared" ca="1" si="13"/>
        <v>0</v>
      </c>
      <c r="G120" s="2">
        <f t="shared" ca="1" si="14"/>
        <v>-6.6625453682220837E-2</v>
      </c>
      <c r="H120" s="2">
        <f t="shared" ca="1" si="10"/>
        <v>0</v>
      </c>
      <c r="I120" s="2">
        <v>0</v>
      </c>
    </row>
    <row r="121" spans="2:9" x14ac:dyDescent="0.2">
      <c r="B121" s="4">
        <f t="shared" ca="1" si="16"/>
        <v>44158</v>
      </c>
      <c r="C121">
        <f t="shared" si="16"/>
        <v>110</v>
      </c>
      <c r="D121">
        <f t="shared" ca="1" si="9"/>
        <v>2</v>
      </c>
      <c r="E121" s="2">
        <f t="shared" ca="1" si="12"/>
        <v>0</v>
      </c>
      <c r="F121" s="2">
        <f t="shared" ca="1" si="13"/>
        <v>0</v>
      </c>
      <c r="G121" s="2">
        <f t="shared" ca="1" si="14"/>
        <v>-6.6625453682220837E-2</v>
      </c>
      <c r="H121" s="2">
        <f t="shared" ca="1" si="10"/>
        <v>0</v>
      </c>
      <c r="I121" s="2">
        <v>0</v>
      </c>
    </row>
    <row r="122" spans="2:9" x14ac:dyDescent="0.2">
      <c r="B122" s="4">
        <f t="shared" ca="1" si="16"/>
        <v>44159</v>
      </c>
      <c r="C122">
        <f t="shared" si="16"/>
        <v>111</v>
      </c>
      <c r="D122">
        <f t="shared" ca="1" si="9"/>
        <v>3</v>
      </c>
      <c r="E122" s="2">
        <f t="shared" ca="1" si="12"/>
        <v>0</v>
      </c>
      <c r="F122" s="2">
        <f t="shared" ca="1" si="13"/>
        <v>0</v>
      </c>
      <c r="G122" s="2">
        <f t="shared" ca="1" si="14"/>
        <v>-6.6625453682220837E-2</v>
      </c>
      <c r="H122" s="2">
        <f t="shared" ca="1" si="10"/>
        <v>0</v>
      </c>
      <c r="I122" s="2">
        <v>0</v>
      </c>
    </row>
    <row r="123" spans="2:9" x14ac:dyDescent="0.2">
      <c r="B123" s="4">
        <f t="shared" ca="1" si="16"/>
        <v>44160</v>
      </c>
      <c r="C123">
        <f t="shared" si="16"/>
        <v>112</v>
      </c>
      <c r="D123">
        <f t="shared" ca="1" si="9"/>
        <v>4</v>
      </c>
      <c r="E123" s="2">
        <f t="shared" ca="1" si="12"/>
        <v>0</v>
      </c>
      <c r="F123" s="2">
        <f t="shared" ca="1" si="13"/>
        <v>0</v>
      </c>
      <c r="G123" s="2">
        <f t="shared" ca="1" si="14"/>
        <v>-6.6625453682220837E-2</v>
      </c>
      <c r="H123" s="2">
        <f t="shared" ca="1" si="10"/>
        <v>0</v>
      </c>
      <c r="I123" s="2">
        <v>0</v>
      </c>
    </row>
    <row r="124" spans="2:9" x14ac:dyDescent="0.2">
      <c r="B124" s="4">
        <f t="shared" ca="1" si="16"/>
        <v>44161</v>
      </c>
      <c r="C124">
        <f t="shared" si="16"/>
        <v>113</v>
      </c>
      <c r="D124">
        <f t="shared" ca="1" si="9"/>
        <v>5</v>
      </c>
      <c r="E124" s="2">
        <f t="shared" ca="1" si="12"/>
        <v>0</v>
      </c>
      <c r="F124" s="2">
        <f t="shared" ca="1" si="13"/>
        <v>0</v>
      </c>
      <c r="G124" s="2">
        <f t="shared" ca="1" si="14"/>
        <v>-6.6625453682220837E-2</v>
      </c>
      <c r="H124" s="2">
        <f t="shared" ca="1" si="10"/>
        <v>0</v>
      </c>
      <c r="I124" s="2">
        <v>0</v>
      </c>
    </row>
    <row r="125" spans="2:9" x14ac:dyDescent="0.2">
      <c r="B125" s="4">
        <f t="shared" ref="B125:C140" ca="1" si="17">B124+1</f>
        <v>44162</v>
      </c>
      <c r="C125">
        <f t="shared" si="17"/>
        <v>114</v>
      </c>
      <c r="D125">
        <f t="shared" ca="1" si="9"/>
        <v>6</v>
      </c>
      <c r="E125" s="2">
        <f t="shared" ca="1" si="12"/>
        <v>0</v>
      </c>
      <c r="F125" s="2">
        <f t="shared" ca="1" si="13"/>
        <v>0</v>
      </c>
      <c r="G125" s="2">
        <f t="shared" ca="1" si="14"/>
        <v>-6.6625453682220837E-2</v>
      </c>
      <c r="H125" s="2">
        <f t="shared" ca="1" si="10"/>
        <v>0</v>
      </c>
      <c r="I125" s="2">
        <v>0</v>
      </c>
    </row>
    <row r="126" spans="2:9" x14ac:dyDescent="0.2">
      <c r="B126" s="4">
        <f t="shared" ca="1" si="17"/>
        <v>44163</v>
      </c>
      <c r="C126">
        <f t="shared" si="17"/>
        <v>115</v>
      </c>
      <c r="D126">
        <f t="shared" ca="1" si="9"/>
        <v>7</v>
      </c>
      <c r="E126" s="2">
        <f t="shared" ca="1" si="12"/>
        <v>0</v>
      </c>
      <c r="F126" s="2">
        <f t="shared" ca="1" si="13"/>
        <v>0</v>
      </c>
      <c r="G126" s="2">
        <f t="shared" ca="1" si="14"/>
        <v>-6.6625453682220837E-2</v>
      </c>
      <c r="H126" s="2">
        <f t="shared" ca="1" si="10"/>
        <v>0</v>
      </c>
      <c r="I126" s="2">
        <v>0</v>
      </c>
    </row>
    <row r="127" spans="2:9" x14ac:dyDescent="0.2">
      <c r="B127" s="4">
        <f t="shared" ca="1" si="17"/>
        <v>44164</v>
      </c>
      <c r="C127">
        <f t="shared" si="17"/>
        <v>116</v>
      </c>
      <c r="D127">
        <f t="shared" ca="1" si="9"/>
        <v>1</v>
      </c>
      <c r="E127" s="2">
        <f t="shared" ca="1" si="12"/>
        <v>0</v>
      </c>
      <c r="F127" s="2">
        <f t="shared" ca="1" si="13"/>
        <v>0</v>
      </c>
      <c r="G127" s="2">
        <f t="shared" ca="1" si="14"/>
        <v>-6.6625453682220837E-2</v>
      </c>
      <c r="H127" s="2">
        <f t="shared" ca="1" si="10"/>
        <v>0</v>
      </c>
      <c r="I127" s="2">
        <v>0</v>
      </c>
    </row>
    <row r="128" spans="2:9" x14ac:dyDescent="0.2">
      <c r="B128" s="4">
        <f t="shared" ca="1" si="17"/>
        <v>44165</v>
      </c>
      <c r="C128">
        <f t="shared" si="17"/>
        <v>117</v>
      </c>
      <c r="D128">
        <f t="shared" ca="1" si="9"/>
        <v>2</v>
      </c>
      <c r="E128" s="2">
        <f t="shared" ca="1" si="12"/>
        <v>0</v>
      </c>
      <c r="F128" s="2">
        <f t="shared" ca="1" si="13"/>
        <v>0</v>
      </c>
      <c r="G128" s="2">
        <f t="shared" ca="1" si="14"/>
        <v>-6.6625453682220837E-2</v>
      </c>
      <c r="H128" s="2">
        <f t="shared" ca="1" si="10"/>
        <v>0</v>
      </c>
      <c r="I128" s="2">
        <v>0</v>
      </c>
    </row>
    <row r="129" spans="2:9" x14ac:dyDescent="0.2">
      <c r="B129" s="4">
        <f t="shared" ca="1" si="17"/>
        <v>44166</v>
      </c>
      <c r="C129">
        <f t="shared" si="17"/>
        <v>118</v>
      </c>
      <c r="D129">
        <f t="shared" ca="1" si="9"/>
        <v>3</v>
      </c>
      <c r="E129" s="2">
        <f t="shared" ca="1" si="12"/>
        <v>0</v>
      </c>
      <c r="F129" s="2">
        <f t="shared" ca="1" si="13"/>
        <v>0</v>
      </c>
      <c r="G129" s="2">
        <f t="shared" ca="1" si="14"/>
        <v>-6.6625453682220837E-2</v>
      </c>
      <c r="H129" s="2">
        <f t="shared" ca="1" si="10"/>
        <v>0</v>
      </c>
      <c r="I129" s="2">
        <v>0</v>
      </c>
    </row>
    <row r="130" spans="2:9" x14ac:dyDescent="0.2">
      <c r="B130" s="4">
        <f t="shared" ca="1" si="17"/>
        <v>44167</v>
      </c>
      <c r="C130">
        <f t="shared" si="17"/>
        <v>119</v>
      </c>
      <c r="D130">
        <f t="shared" ca="1" si="9"/>
        <v>4</v>
      </c>
      <c r="E130" s="2">
        <f t="shared" ca="1" si="12"/>
        <v>0</v>
      </c>
      <c r="F130" s="2">
        <f t="shared" ca="1" si="13"/>
        <v>0</v>
      </c>
      <c r="G130" s="2">
        <f t="shared" ca="1" si="14"/>
        <v>-6.6625453682220837E-2</v>
      </c>
      <c r="H130" s="2">
        <f t="shared" ca="1" si="10"/>
        <v>0</v>
      </c>
      <c r="I130" s="2">
        <v>0</v>
      </c>
    </row>
    <row r="131" spans="2:9" x14ac:dyDescent="0.2">
      <c r="B131" s="4">
        <f t="shared" ca="1" si="17"/>
        <v>44168</v>
      </c>
      <c r="C131">
        <f t="shared" si="17"/>
        <v>120</v>
      </c>
      <c r="D131">
        <f t="shared" ca="1" si="9"/>
        <v>5</v>
      </c>
      <c r="E131" s="2">
        <f t="shared" ca="1" si="12"/>
        <v>0</v>
      </c>
      <c r="F131" s="2">
        <f t="shared" ca="1" si="13"/>
        <v>0</v>
      </c>
      <c r="G131" s="2">
        <f t="shared" ca="1" si="14"/>
        <v>-6.6625453682220837E-2</v>
      </c>
      <c r="H131" s="2">
        <f t="shared" ca="1" si="10"/>
        <v>0</v>
      </c>
      <c r="I131" s="2">
        <v>0</v>
      </c>
    </row>
    <row r="132" spans="2:9" x14ac:dyDescent="0.2">
      <c r="B132" s="4">
        <f t="shared" ca="1" si="17"/>
        <v>44169</v>
      </c>
      <c r="C132">
        <f t="shared" si="17"/>
        <v>121</v>
      </c>
      <c r="D132">
        <f t="shared" ca="1" si="9"/>
        <v>6</v>
      </c>
      <c r="E132" s="2">
        <f t="shared" ca="1" si="12"/>
        <v>0</v>
      </c>
      <c r="F132" s="2">
        <f t="shared" ca="1" si="13"/>
        <v>0</v>
      </c>
      <c r="G132" s="2">
        <f t="shared" ca="1" si="14"/>
        <v>-6.6625453682220837E-2</v>
      </c>
      <c r="H132" s="2">
        <f t="shared" ca="1" si="10"/>
        <v>0</v>
      </c>
      <c r="I132" s="2">
        <v>0</v>
      </c>
    </row>
    <row r="133" spans="2:9" x14ac:dyDescent="0.2">
      <c r="B133" s="4">
        <f t="shared" ca="1" si="17"/>
        <v>44170</v>
      </c>
      <c r="C133">
        <f t="shared" si="17"/>
        <v>122</v>
      </c>
      <c r="D133">
        <f t="shared" ca="1" si="9"/>
        <v>7</v>
      </c>
      <c r="E133" s="2">
        <f t="shared" ca="1" si="12"/>
        <v>0</v>
      </c>
      <c r="F133" s="2">
        <f t="shared" ca="1" si="13"/>
        <v>0</v>
      </c>
      <c r="G133" s="2">
        <f t="shared" ca="1" si="14"/>
        <v>-6.6625453682220837E-2</v>
      </c>
      <c r="H133" s="2">
        <f t="shared" ca="1" si="10"/>
        <v>0</v>
      </c>
      <c r="I133" s="2">
        <v>0</v>
      </c>
    </row>
    <row r="134" spans="2:9" x14ac:dyDescent="0.2">
      <c r="B134" s="4">
        <f t="shared" ca="1" si="17"/>
        <v>44171</v>
      </c>
      <c r="C134">
        <f t="shared" si="17"/>
        <v>123</v>
      </c>
      <c r="D134">
        <f t="shared" ca="1" si="9"/>
        <v>1</v>
      </c>
      <c r="E134" s="2">
        <f t="shared" ca="1" si="12"/>
        <v>0</v>
      </c>
      <c r="F134" s="2">
        <f t="shared" ca="1" si="13"/>
        <v>0</v>
      </c>
      <c r="G134" s="2">
        <f t="shared" ca="1" si="14"/>
        <v>-6.6625453682220837E-2</v>
      </c>
      <c r="H134" s="2">
        <f t="shared" ca="1" si="10"/>
        <v>0</v>
      </c>
      <c r="I134" s="2">
        <v>0</v>
      </c>
    </row>
    <row r="135" spans="2:9" x14ac:dyDescent="0.2">
      <c r="B135" s="4">
        <f t="shared" ca="1" si="17"/>
        <v>44172</v>
      </c>
      <c r="C135">
        <f t="shared" si="17"/>
        <v>124</v>
      </c>
      <c r="D135">
        <f t="shared" ca="1" si="9"/>
        <v>2</v>
      </c>
      <c r="E135" s="2">
        <f t="shared" ca="1" si="12"/>
        <v>0</v>
      </c>
      <c r="F135" s="2">
        <f t="shared" ca="1" si="13"/>
        <v>0</v>
      </c>
      <c r="G135" s="2">
        <f t="shared" ca="1" si="14"/>
        <v>-6.6625453682220837E-2</v>
      </c>
      <c r="H135" s="2">
        <f t="shared" ca="1" si="10"/>
        <v>0</v>
      </c>
      <c r="I135" s="2">
        <v>0</v>
      </c>
    </row>
    <row r="136" spans="2:9" x14ac:dyDescent="0.2">
      <c r="B136" s="4">
        <f t="shared" ca="1" si="17"/>
        <v>44173</v>
      </c>
      <c r="C136">
        <f t="shared" si="17"/>
        <v>125</v>
      </c>
      <c r="D136">
        <f t="shared" ca="1" si="9"/>
        <v>3</v>
      </c>
      <c r="E136" s="2">
        <f t="shared" ca="1" si="12"/>
        <v>0</v>
      </c>
      <c r="F136" s="2">
        <f t="shared" ca="1" si="13"/>
        <v>0</v>
      </c>
      <c r="G136" s="2">
        <f t="shared" ca="1" si="14"/>
        <v>-6.6625453682220837E-2</v>
      </c>
      <c r="H136" s="2">
        <f t="shared" ca="1" si="10"/>
        <v>0</v>
      </c>
      <c r="I136" s="2">
        <v>0</v>
      </c>
    </row>
    <row r="137" spans="2:9" x14ac:dyDescent="0.2">
      <c r="B137" s="4">
        <f t="shared" ca="1" si="17"/>
        <v>44174</v>
      </c>
      <c r="C137">
        <f t="shared" si="17"/>
        <v>126</v>
      </c>
      <c r="D137">
        <f t="shared" ca="1" si="9"/>
        <v>4</v>
      </c>
      <c r="E137" s="2">
        <f t="shared" ca="1" si="12"/>
        <v>0</v>
      </c>
      <c r="F137" s="2">
        <f t="shared" ca="1" si="13"/>
        <v>0</v>
      </c>
      <c r="G137" s="2">
        <f t="shared" ca="1" si="14"/>
        <v>-6.6625453682220837E-2</v>
      </c>
      <c r="H137" s="2">
        <f t="shared" ca="1" si="10"/>
        <v>0</v>
      </c>
      <c r="I137" s="2">
        <v>0</v>
      </c>
    </row>
    <row r="138" spans="2:9" x14ac:dyDescent="0.2">
      <c r="B138" s="4">
        <f t="shared" ca="1" si="17"/>
        <v>44175</v>
      </c>
      <c r="C138">
        <f t="shared" si="17"/>
        <v>127</v>
      </c>
      <c r="D138">
        <f t="shared" ca="1" si="9"/>
        <v>5</v>
      </c>
      <c r="E138" s="2">
        <f t="shared" ca="1" si="12"/>
        <v>0</v>
      </c>
      <c r="F138" s="2">
        <f t="shared" ca="1" si="13"/>
        <v>0</v>
      </c>
      <c r="G138" s="2">
        <f t="shared" ca="1" si="14"/>
        <v>-6.6625453682220837E-2</v>
      </c>
      <c r="H138" s="2">
        <f t="shared" ca="1" si="10"/>
        <v>0</v>
      </c>
      <c r="I138" s="2">
        <v>0</v>
      </c>
    </row>
    <row r="139" spans="2:9" x14ac:dyDescent="0.2">
      <c r="B139" s="4">
        <f t="shared" ca="1" si="17"/>
        <v>44176</v>
      </c>
      <c r="C139">
        <f t="shared" si="17"/>
        <v>128</v>
      </c>
      <c r="D139">
        <f t="shared" ca="1" si="9"/>
        <v>6</v>
      </c>
      <c r="E139" s="2">
        <f t="shared" ca="1" si="12"/>
        <v>0</v>
      </c>
      <c r="F139" s="2">
        <f t="shared" ca="1" si="13"/>
        <v>0</v>
      </c>
      <c r="G139" s="2">
        <f t="shared" ca="1" si="14"/>
        <v>-6.6625453682220837E-2</v>
      </c>
      <c r="H139" s="2">
        <f t="shared" ca="1" si="10"/>
        <v>0</v>
      </c>
      <c r="I139" s="2">
        <v>0</v>
      </c>
    </row>
    <row r="140" spans="2:9" x14ac:dyDescent="0.2">
      <c r="B140" s="4">
        <f t="shared" ca="1" si="17"/>
        <v>44177</v>
      </c>
      <c r="C140">
        <f t="shared" si="17"/>
        <v>129</v>
      </c>
      <c r="D140">
        <f t="shared" ref="D140:D203" ca="1" si="18">WEEKDAY(B140,1)</f>
        <v>7</v>
      </c>
      <c r="E140" s="2">
        <f t="shared" ca="1" si="12"/>
        <v>0</v>
      </c>
      <c r="F140" s="2">
        <f t="shared" ca="1" si="13"/>
        <v>0</v>
      </c>
      <c r="G140" s="2">
        <f t="shared" ca="1" si="14"/>
        <v>-6.6625453682220837E-2</v>
      </c>
      <c r="H140" s="2">
        <f t="shared" ref="H140:H203" ca="1" si="19">IF(C140&gt;$C$7,0,(G140)*$C$5/365)</f>
        <v>0</v>
      </c>
      <c r="I140" s="2">
        <v>0</v>
      </c>
    </row>
    <row r="141" spans="2:9" x14ac:dyDescent="0.2">
      <c r="B141" s="4">
        <f t="shared" ref="B141:C156" ca="1" si="20">B140+1</f>
        <v>44178</v>
      </c>
      <c r="C141">
        <f t="shared" si="20"/>
        <v>130</v>
      </c>
      <c r="D141">
        <f t="shared" ca="1" si="18"/>
        <v>1</v>
      </c>
      <c r="E141" s="2">
        <f t="shared" ref="E141:E204" ca="1" si="21">IF(C141&gt;$C$7,0,G140+H140+I140)</f>
        <v>0</v>
      </c>
      <c r="F141" s="2">
        <f t="shared" ref="F141:F204" ca="1" si="22">IF(C141&gt;$C$7,0,IF(ROUND(E141,0)&gt;0,IF(C141=0,0,IF(DAY($F$2)&lt;&gt;DAY(B141),0,$C$8)),0))</f>
        <v>0</v>
      </c>
      <c r="G141" s="2">
        <f t="shared" ref="G141:G204" ca="1" si="23">IF(C141&gt;$C$7,G140,E141-F141)</f>
        <v>-6.6625453682220837E-2</v>
      </c>
      <c r="H141" s="2">
        <f t="shared" ca="1" si="19"/>
        <v>0</v>
      </c>
      <c r="I141" s="2">
        <v>0</v>
      </c>
    </row>
    <row r="142" spans="2:9" x14ac:dyDescent="0.2">
      <c r="B142" s="4">
        <f t="shared" ca="1" si="20"/>
        <v>44179</v>
      </c>
      <c r="C142">
        <f t="shared" si="20"/>
        <v>131</v>
      </c>
      <c r="D142">
        <f t="shared" ca="1" si="18"/>
        <v>2</v>
      </c>
      <c r="E142" s="2">
        <f t="shared" ca="1" si="21"/>
        <v>0</v>
      </c>
      <c r="F142" s="2">
        <f t="shared" ca="1" si="22"/>
        <v>0</v>
      </c>
      <c r="G142" s="2">
        <f t="shared" ca="1" si="23"/>
        <v>-6.6625453682220837E-2</v>
      </c>
      <c r="H142" s="2">
        <f t="shared" ca="1" si="19"/>
        <v>0</v>
      </c>
      <c r="I142" s="2">
        <v>0</v>
      </c>
    </row>
    <row r="143" spans="2:9" x14ac:dyDescent="0.2">
      <c r="B143" s="4">
        <f t="shared" ca="1" si="20"/>
        <v>44180</v>
      </c>
      <c r="C143">
        <f t="shared" si="20"/>
        <v>132</v>
      </c>
      <c r="D143">
        <f t="shared" ca="1" si="18"/>
        <v>3</v>
      </c>
      <c r="E143" s="2">
        <f t="shared" ca="1" si="21"/>
        <v>0</v>
      </c>
      <c r="F143" s="2">
        <f t="shared" ca="1" si="22"/>
        <v>0</v>
      </c>
      <c r="G143" s="2">
        <f t="shared" ca="1" si="23"/>
        <v>-6.6625453682220837E-2</v>
      </c>
      <c r="H143" s="2">
        <f t="shared" ca="1" si="19"/>
        <v>0</v>
      </c>
      <c r="I143" s="2">
        <v>0</v>
      </c>
    </row>
    <row r="144" spans="2:9" x14ac:dyDescent="0.2">
      <c r="B144" s="4">
        <f t="shared" ca="1" si="20"/>
        <v>44181</v>
      </c>
      <c r="C144">
        <f t="shared" si="20"/>
        <v>133</v>
      </c>
      <c r="D144">
        <f t="shared" ca="1" si="18"/>
        <v>4</v>
      </c>
      <c r="E144" s="2">
        <f t="shared" ca="1" si="21"/>
        <v>0</v>
      </c>
      <c r="F144" s="2">
        <f t="shared" ca="1" si="22"/>
        <v>0</v>
      </c>
      <c r="G144" s="2">
        <f t="shared" ca="1" si="23"/>
        <v>-6.6625453682220837E-2</v>
      </c>
      <c r="H144" s="2">
        <f t="shared" ca="1" si="19"/>
        <v>0</v>
      </c>
      <c r="I144" s="2">
        <v>0</v>
      </c>
    </row>
    <row r="145" spans="2:9" x14ac:dyDescent="0.2">
      <c r="B145" s="4">
        <f t="shared" ca="1" si="20"/>
        <v>44182</v>
      </c>
      <c r="C145">
        <f t="shared" si="20"/>
        <v>134</v>
      </c>
      <c r="D145">
        <f t="shared" ca="1" si="18"/>
        <v>5</v>
      </c>
      <c r="E145" s="2">
        <f t="shared" ca="1" si="21"/>
        <v>0</v>
      </c>
      <c r="F145" s="2">
        <f t="shared" ca="1" si="22"/>
        <v>0</v>
      </c>
      <c r="G145" s="2">
        <f t="shared" ca="1" si="23"/>
        <v>-6.6625453682220837E-2</v>
      </c>
      <c r="H145" s="2">
        <f t="shared" ca="1" si="19"/>
        <v>0</v>
      </c>
      <c r="I145" s="2">
        <v>0</v>
      </c>
    </row>
    <row r="146" spans="2:9" x14ac:dyDescent="0.2">
      <c r="B146" s="4">
        <f t="shared" ca="1" si="20"/>
        <v>44183</v>
      </c>
      <c r="C146">
        <f t="shared" si="20"/>
        <v>135</v>
      </c>
      <c r="D146">
        <f t="shared" ca="1" si="18"/>
        <v>6</v>
      </c>
      <c r="E146" s="2">
        <f t="shared" ca="1" si="21"/>
        <v>0</v>
      </c>
      <c r="F146" s="2">
        <f t="shared" ca="1" si="22"/>
        <v>0</v>
      </c>
      <c r="G146" s="2">
        <f t="shared" ca="1" si="23"/>
        <v>-6.6625453682220837E-2</v>
      </c>
      <c r="H146" s="2">
        <f t="shared" ca="1" si="19"/>
        <v>0</v>
      </c>
      <c r="I146" s="2">
        <v>0</v>
      </c>
    </row>
    <row r="147" spans="2:9" x14ac:dyDescent="0.2">
      <c r="B147" s="4">
        <f t="shared" ca="1" si="20"/>
        <v>44184</v>
      </c>
      <c r="C147">
        <f t="shared" si="20"/>
        <v>136</v>
      </c>
      <c r="D147">
        <f t="shared" ca="1" si="18"/>
        <v>7</v>
      </c>
      <c r="E147" s="2">
        <f t="shared" ca="1" si="21"/>
        <v>0</v>
      </c>
      <c r="F147" s="2">
        <f t="shared" ca="1" si="22"/>
        <v>0</v>
      </c>
      <c r="G147" s="2">
        <f t="shared" ca="1" si="23"/>
        <v>-6.6625453682220837E-2</v>
      </c>
      <c r="H147" s="2">
        <f t="shared" ca="1" si="19"/>
        <v>0</v>
      </c>
      <c r="I147" s="2">
        <v>0</v>
      </c>
    </row>
    <row r="148" spans="2:9" x14ac:dyDescent="0.2">
      <c r="B148" s="4">
        <f t="shared" ca="1" si="20"/>
        <v>44185</v>
      </c>
      <c r="C148">
        <f t="shared" si="20"/>
        <v>137</v>
      </c>
      <c r="D148">
        <f t="shared" ca="1" si="18"/>
        <v>1</v>
      </c>
      <c r="E148" s="2">
        <f t="shared" ca="1" si="21"/>
        <v>0</v>
      </c>
      <c r="F148" s="2">
        <f t="shared" ca="1" si="22"/>
        <v>0</v>
      </c>
      <c r="G148" s="2">
        <f t="shared" ca="1" si="23"/>
        <v>-6.6625453682220837E-2</v>
      </c>
      <c r="H148" s="2">
        <f t="shared" ca="1" si="19"/>
        <v>0</v>
      </c>
      <c r="I148" s="2">
        <v>0</v>
      </c>
    </row>
    <row r="149" spans="2:9" x14ac:dyDescent="0.2">
      <c r="B149" s="4">
        <f t="shared" ca="1" si="20"/>
        <v>44186</v>
      </c>
      <c r="C149">
        <f t="shared" si="20"/>
        <v>138</v>
      </c>
      <c r="D149">
        <f t="shared" ca="1" si="18"/>
        <v>2</v>
      </c>
      <c r="E149" s="2">
        <f t="shared" ca="1" si="21"/>
        <v>0</v>
      </c>
      <c r="F149" s="2">
        <f t="shared" ca="1" si="22"/>
        <v>0</v>
      </c>
      <c r="G149" s="2">
        <f t="shared" ca="1" si="23"/>
        <v>-6.6625453682220837E-2</v>
      </c>
      <c r="H149" s="2">
        <f t="shared" ca="1" si="19"/>
        <v>0</v>
      </c>
      <c r="I149" s="2">
        <v>0</v>
      </c>
    </row>
    <row r="150" spans="2:9" x14ac:dyDescent="0.2">
      <c r="B150" s="4">
        <f t="shared" ca="1" si="20"/>
        <v>44187</v>
      </c>
      <c r="C150">
        <f t="shared" si="20"/>
        <v>139</v>
      </c>
      <c r="D150">
        <f t="shared" ca="1" si="18"/>
        <v>3</v>
      </c>
      <c r="E150" s="2">
        <f t="shared" ca="1" si="21"/>
        <v>0</v>
      </c>
      <c r="F150" s="2">
        <f t="shared" ca="1" si="22"/>
        <v>0</v>
      </c>
      <c r="G150" s="2">
        <f t="shared" ca="1" si="23"/>
        <v>-6.6625453682220837E-2</v>
      </c>
      <c r="H150" s="2">
        <f t="shared" ca="1" si="19"/>
        <v>0</v>
      </c>
      <c r="I150" s="2">
        <v>0</v>
      </c>
    </row>
    <row r="151" spans="2:9" x14ac:dyDescent="0.2">
      <c r="B151" s="4">
        <f t="shared" ca="1" si="20"/>
        <v>44188</v>
      </c>
      <c r="C151">
        <f t="shared" si="20"/>
        <v>140</v>
      </c>
      <c r="D151">
        <f t="shared" ca="1" si="18"/>
        <v>4</v>
      </c>
      <c r="E151" s="2">
        <f t="shared" ca="1" si="21"/>
        <v>0</v>
      </c>
      <c r="F151" s="2">
        <f t="shared" ca="1" si="22"/>
        <v>0</v>
      </c>
      <c r="G151" s="2">
        <f t="shared" ca="1" si="23"/>
        <v>-6.6625453682220837E-2</v>
      </c>
      <c r="H151" s="2">
        <f t="shared" ca="1" si="19"/>
        <v>0</v>
      </c>
      <c r="I151" s="2">
        <v>0</v>
      </c>
    </row>
    <row r="152" spans="2:9" x14ac:dyDescent="0.2">
      <c r="B152" s="4">
        <f t="shared" ca="1" si="20"/>
        <v>44189</v>
      </c>
      <c r="C152">
        <f t="shared" si="20"/>
        <v>141</v>
      </c>
      <c r="D152">
        <f t="shared" ca="1" si="18"/>
        <v>5</v>
      </c>
      <c r="E152" s="2">
        <f t="shared" ca="1" si="21"/>
        <v>0</v>
      </c>
      <c r="F152" s="2">
        <f t="shared" ca="1" si="22"/>
        <v>0</v>
      </c>
      <c r="G152" s="2">
        <f t="shared" ca="1" si="23"/>
        <v>-6.6625453682220837E-2</v>
      </c>
      <c r="H152" s="2">
        <f t="shared" ca="1" si="19"/>
        <v>0</v>
      </c>
      <c r="I152" s="2">
        <v>0</v>
      </c>
    </row>
    <row r="153" spans="2:9" x14ac:dyDescent="0.2">
      <c r="B153" s="4">
        <f t="shared" ca="1" si="20"/>
        <v>44190</v>
      </c>
      <c r="C153">
        <f t="shared" si="20"/>
        <v>142</v>
      </c>
      <c r="D153">
        <f t="shared" ca="1" si="18"/>
        <v>6</v>
      </c>
      <c r="E153" s="2">
        <f t="shared" ca="1" si="21"/>
        <v>0</v>
      </c>
      <c r="F153" s="2">
        <f t="shared" ca="1" si="22"/>
        <v>0</v>
      </c>
      <c r="G153" s="2">
        <f t="shared" ca="1" si="23"/>
        <v>-6.6625453682220837E-2</v>
      </c>
      <c r="H153" s="2">
        <f t="shared" ca="1" si="19"/>
        <v>0</v>
      </c>
      <c r="I153" s="2">
        <v>0</v>
      </c>
    </row>
    <row r="154" spans="2:9" x14ac:dyDescent="0.2">
      <c r="B154" s="4">
        <f t="shared" ca="1" si="20"/>
        <v>44191</v>
      </c>
      <c r="C154">
        <f t="shared" si="20"/>
        <v>143</v>
      </c>
      <c r="D154">
        <f t="shared" ca="1" si="18"/>
        <v>7</v>
      </c>
      <c r="E154" s="2">
        <f t="shared" ca="1" si="21"/>
        <v>0</v>
      </c>
      <c r="F154" s="2">
        <f t="shared" ca="1" si="22"/>
        <v>0</v>
      </c>
      <c r="G154" s="2">
        <f t="shared" ca="1" si="23"/>
        <v>-6.6625453682220837E-2</v>
      </c>
      <c r="H154" s="2">
        <f t="shared" ca="1" si="19"/>
        <v>0</v>
      </c>
      <c r="I154" s="2">
        <v>0</v>
      </c>
    </row>
    <row r="155" spans="2:9" x14ac:dyDescent="0.2">
      <c r="B155" s="4">
        <f t="shared" ca="1" si="20"/>
        <v>44192</v>
      </c>
      <c r="C155">
        <f t="shared" si="20"/>
        <v>144</v>
      </c>
      <c r="D155">
        <f t="shared" ca="1" si="18"/>
        <v>1</v>
      </c>
      <c r="E155" s="2">
        <f t="shared" ca="1" si="21"/>
        <v>0</v>
      </c>
      <c r="F155" s="2">
        <f t="shared" ca="1" si="22"/>
        <v>0</v>
      </c>
      <c r="G155" s="2">
        <f t="shared" ca="1" si="23"/>
        <v>-6.6625453682220837E-2</v>
      </c>
      <c r="H155" s="2">
        <f t="shared" ca="1" si="19"/>
        <v>0</v>
      </c>
      <c r="I155" s="2">
        <v>0</v>
      </c>
    </row>
    <row r="156" spans="2:9" x14ac:dyDescent="0.2">
      <c r="B156" s="4">
        <f t="shared" ca="1" si="20"/>
        <v>44193</v>
      </c>
      <c r="C156">
        <f t="shared" si="20"/>
        <v>145</v>
      </c>
      <c r="D156">
        <f t="shared" ca="1" si="18"/>
        <v>2</v>
      </c>
      <c r="E156" s="2">
        <f t="shared" ca="1" si="21"/>
        <v>0</v>
      </c>
      <c r="F156" s="2">
        <f t="shared" ca="1" si="22"/>
        <v>0</v>
      </c>
      <c r="G156" s="2">
        <f t="shared" ca="1" si="23"/>
        <v>-6.6625453682220837E-2</v>
      </c>
      <c r="H156" s="2">
        <f t="shared" ca="1" si="19"/>
        <v>0</v>
      </c>
      <c r="I156" s="2">
        <v>0</v>
      </c>
    </row>
    <row r="157" spans="2:9" x14ac:dyDescent="0.2">
      <c r="B157" s="4">
        <f t="shared" ref="B157:C172" ca="1" si="24">B156+1</f>
        <v>44194</v>
      </c>
      <c r="C157">
        <f t="shared" si="24"/>
        <v>146</v>
      </c>
      <c r="D157">
        <f t="shared" ca="1" si="18"/>
        <v>3</v>
      </c>
      <c r="E157" s="2">
        <f t="shared" ca="1" si="21"/>
        <v>0</v>
      </c>
      <c r="F157" s="2">
        <f t="shared" ca="1" si="22"/>
        <v>0</v>
      </c>
      <c r="G157" s="2">
        <f t="shared" ca="1" si="23"/>
        <v>-6.6625453682220837E-2</v>
      </c>
      <c r="H157" s="2">
        <f t="shared" ca="1" si="19"/>
        <v>0</v>
      </c>
      <c r="I157" s="2">
        <v>0</v>
      </c>
    </row>
    <row r="158" spans="2:9" x14ac:dyDescent="0.2">
      <c r="B158" s="4">
        <f t="shared" ca="1" si="24"/>
        <v>44195</v>
      </c>
      <c r="C158">
        <f t="shared" si="24"/>
        <v>147</v>
      </c>
      <c r="D158">
        <f t="shared" ca="1" si="18"/>
        <v>4</v>
      </c>
      <c r="E158" s="2">
        <f t="shared" ca="1" si="21"/>
        <v>0</v>
      </c>
      <c r="F158" s="2">
        <f t="shared" ca="1" si="22"/>
        <v>0</v>
      </c>
      <c r="G158" s="2">
        <f t="shared" ca="1" si="23"/>
        <v>-6.6625453682220837E-2</v>
      </c>
      <c r="H158" s="2">
        <f t="shared" ca="1" si="19"/>
        <v>0</v>
      </c>
      <c r="I158" s="2">
        <v>0</v>
      </c>
    </row>
    <row r="159" spans="2:9" x14ac:dyDescent="0.2">
      <c r="B159" s="4">
        <f t="shared" ca="1" si="24"/>
        <v>44196</v>
      </c>
      <c r="C159">
        <f t="shared" si="24"/>
        <v>148</v>
      </c>
      <c r="D159">
        <f t="shared" ca="1" si="18"/>
        <v>5</v>
      </c>
      <c r="E159" s="2">
        <f t="shared" ca="1" si="21"/>
        <v>0</v>
      </c>
      <c r="F159" s="2">
        <f t="shared" ca="1" si="22"/>
        <v>0</v>
      </c>
      <c r="G159" s="2">
        <f t="shared" ca="1" si="23"/>
        <v>-6.6625453682220837E-2</v>
      </c>
      <c r="H159" s="2">
        <f t="shared" ca="1" si="19"/>
        <v>0</v>
      </c>
      <c r="I159" s="2">
        <v>0</v>
      </c>
    </row>
    <row r="160" spans="2:9" x14ac:dyDescent="0.2">
      <c r="B160" s="4">
        <f t="shared" ca="1" si="24"/>
        <v>44197</v>
      </c>
      <c r="C160">
        <f t="shared" si="24"/>
        <v>149</v>
      </c>
      <c r="D160">
        <f t="shared" ca="1" si="18"/>
        <v>6</v>
      </c>
      <c r="E160" s="2">
        <f t="shared" ca="1" si="21"/>
        <v>0</v>
      </c>
      <c r="F160" s="2">
        <f t="shared" ca="1" si="22"/>
        <v>0</v>
      </c>
      <c r="G160" s="2">
        <f t="shared" ca="1" si="23"/>
        <v>-6.6625453682220837E-2</v>
      </c>
      <c r="H160" s="2">
        <f t="shared" ca="1" si="19"/>
        <v>0</v>
      </c>
      <c r="I160" s="2">
        <v>0</v>
      </c>
    </row>
    <row r="161" spans="2:9" x14ac:dyDescent="0.2">
      <c r="B161" s="4">
        <f t="shared" ca="1" si="24"/>
        <v>44198</v>
      </c>
      <c r="C161">
        <f t="shared" si="24"/>
        <v>150</v>
      </c>
      <c r="D161">
        <f t="shared" ca="1" si="18"/>
        <v>7</v>
      </c>
      <c r="E161" s="2">
        <f t="shared" ca="1" si="21"/>
        <v>0</v>
      </c>
      <c r="F161" s="2">
        <f t="shared" ca="1" si="22"/>
        <v>0</v>
      </c>
      <c r="G161" s="2">
        <f t="shared" ca="1" si="23"/>
        <v>-6.6625453682220837E-2</v>
      </c>
      <c r="H161" s="2">
        <f t="shared" ca="1" si="19"/>
        <v>0</v>
      </c>
      <c r="I161" s="2">
        <v>0</v>
      </c>
    </row>
    <row r="162" spans="2:9" x14ac:dyDescent="0.2">
      <c r="B162" s="4">
        <f t="shared" ca="1" si="24"/>
        <v>44199</v>
      </c>
      <c r="C162">
        <f t="shared" si="24"/>
        <v>151</v>
      </c>
      <c r="D162">
        <f t="shared" ca="1" si="18"/>
        <v>1</v>
      </c>
      <c r="E162" s="2">
        <f t="shared" ca="1" si="21"/>
        <v>0</v>
      </c>
      <c r="F162" s="2">
        <f t="shared" ca="1" si="22"/>
        <v>0</v>
      </c>
      <c r="G162" s="2">
        <f t="shared" ca="1" si="23"/>
        <v>-6.6625453682220837E-2</v>
      </c>
      <c r="H162" s="2">
        <f t="shared" ca="1" si="19"/>
        <v>0</v>
      </c>
      <c r="I162" s="2">
        <v>0</v>
      </c>
    </row>
    <row r="163" spans="2:9" x14ac:dyDescent="0.2">
      <c r="B163" s="4">
        <f t="shared" ca="1" si="24"/>
        <v>44200</v>
      </c>
      <c r="C163">
        <f t="shared" si="24"/>
        <v>152</v>
      </c>
      <c r="D163">
        <f t="shared" ca="1" si="18"/>
        <v>2</v>
      </c>
      <c r="E163" s="2">
        <f t="shared" ca="1" si="21"/>
        <v>0</v>
      </c>
      <c r="F163" s="2">
        <f t="shared" ca="1" si="22"/>
        <v>0</v>
      </c>
      <c r="G163" s="2">
        <f t="shared" ca="1" si="23"/>
        <v>-6.6625453682220837E-2</v>
      </c>
      <c r="H163" s="2">
        <f t="shared" ca="1" si="19"/>
        <v>0</v>
      </c>
      <c r="I163" s="2">
        <v>0</v>
      </c>
    </row>
    <row r="164" spans="2:9" x14ac:dyDescent="0.2">
      <c r="B164" s="4">
        <f t="shared" ca="1" si="24"/>
        <v>44201</v>
      </c>
      <c r="C164">
        <f t="shared" si="24"/>
        <v>153</v>
      </c>
      <c r="D164">
        <f t="shared" ca="1" si="18"/>
        <v>3</v>
      </c>
      <c r="E164" s="2">
        <f t="shared" ca="1" si="21"/>
        <v>0</v>
      </c>
      <c r="F164" s="2">
        <f t="shared" ca="1" si="22"/>
        <v>0</v>
      </c>
      <c r="G164" s="2">
        <f t="shared" ca="1" si="23"/>
        <v>-6.6625453682220837E-2</v>
      </c>
      <c r="H164" s="2">
        <f t="shared" ca="1" si="19"/>
        <v>0</v>
      </c>
      <c r="I164" s="2">
        <v>0</v>
      </c>
    </row>
    <row r="165" spans="2:9" x14ac:dyDescent="0.2">
      <c r="B165" s="4">
        <f t="shared" ca="1" si="24"/>
        <v>44202</v>
      </c>
      <c r="C165">
        <f t="shared" si="24"/>
        <v>154</v>
      </c>
      <c r="D165">
        <f t="shared" ca="1" si="18"/>
        <v>4</v>
      </c>
      <c r="E165" s="2">
        <f t="shared" ca="1" si="21"/>
        <v>0</v>
      </c>
      <c r="F165" s="2">
        <f t="shared" ca="1" si="22"/>
        <v>0</v>
      </c>
      <c r="G165" s="2">
        <f t="shared" ca="1" si="23"/>
        <v>-6.6625453682220837E-2</v>
      </c>
      <c r="H165" s="2">
        <f t="shared" ca="1" si="19"/>
        <v>0</v>
      </c>
      <c r="I165" s="2">
        <v>0</v>
      </c>
    </row>
    <row r="166" spans="2:9" x14ac:dyDescent="0.2">
      <c r="B166" s="4">
        <f t="shared" ca="1" si="24"/>
        <v>44203</v>
      </c>
      <c r="C166">
        <f t="shared" si="24"/>
        <v>155</v>
      </c>
      <c r="D166">
        <f t="shared" ca="1" si="18"/>
        <v>5</v>
      </c>
      <c r="E166" s="2">
        <f t="shared" ca="1" si="21"/>
        <v>0</v>
      </c>
      <c r="F166" s="2">
        <f t="shared" ca="1" si="22"/>
        <v>0</v>
      </c>
      <c r="G166" s="2">
        <f t="shared" ca="1" si="23"/>
        <v>-6.6625453682220837E-2</v>
      </c>
      <c r="H166" s="2">
        <f t="shared" ca="1" si="19"/>
        <v>0</v>
      </c>
      <c r="I166" s="2">
        <v>0</v>
      </c>
    </row>
    <row r="167" spans="2:9" x14ac:dyDescent="0.2">
      <c r="B167" s="4">
        <f t="shared" ca="1" si="24"/>
        <v>44204</v>
      </c>
      <c r="C167">
        <f t="shared" si="24"/>
        <v>156</v>
      </c>
      <c r="D167">
        <f t="shared" ca="1" si="18"/>
        <v>6</v>
      </c>
      <c r="E167" s="2">
        <f t="shared" ca="1" si="21"/>
        <v>0</v>
      </c>
      <c r="F167" s="2">
        <f t="shared" ca="1" si="22"/>
        <v>0</v>
      </c>
      <c r="G167" s="2">
        <f t="shared" ca="1" si="23"/>
        <v>-6.6625453682220837E-2</v>
      </c>
      <c r="H167" s="2">
        <f t="shared" ca="1" si="19"/>
        <v>0</v>
      </c>
      <c r="I167" s="2">
        <v>0</v>
      </c>
    </row>
    <row r="168" spans="2:9" x14ac:dyDescent="0.2">
      <c r="B168" s="4">
        <f t="shared" ca="1" si="24"/>
        <v>44205</v>
      </c>
      <c r="C168">
        <f t="shared" si="24"/>
        <v>157</v>
      </c>
      <c r="D168">
        <f t="shared" ca="1" si="18"/>
        <v>7</v>
      </c>
      <c r="E168" s="2">
        <f t="shared" ca="1" si="21"/>
        <v>0</v>
      </c>
      <c r="F168" s="2">
        <f t="shared" ca="1" si="22"/>
        <v>0</v>
      </c>
      <c r="G168" s="2">
        <f t="shared" ca="1" si="23"/>
        <v>-6.6625453682220837E-2</v>
      </c>
      <c r="H168" s="2">
        <f t="shared" ca="1" si="19"/>
        <v>0</v>
      </c>
      <c r="I168" s="2">
        <v>0</v>
      </c>
    </row>
    <row r="169" spans="2:9" x14ac:dyDescent="0.2">
      <c r="B169" s="4">
        <f t="shared" ca="1" si="24"/>
        <v>44206</v>
      </c>
      <c r="C169">
        <f t="shared" si="24"/>
        <v>158</v>
      </c>
      <c r="D169">
        <f t="shared" ca="1" si="18"/>
        <v>1</v>
      </c>
      <c r="E169" s="2">
        <f t="shared" ca="1" si="21"/>
        <v>0</v>
      </c>
      <c r="F169" s="2">
        <f t="shared" ca="1" si="22"/>
        <v>0</v>
      </c>
      <c r="G169" s="2">
        <f t="shared" ca="1" si="23"/>
        <v>-6.6625453682220837E-2</v>
      </c>
      <c r="H169" s="2">
        <f t="shared" ca="1" si="19"/>
        <v>0</v>
      </c>
      <c r="I169" s="2">
        <v>0</v>
      </c>
    </row>
    <row r="170" spans="2:9" x14ac:dyDescent="0.2">
      <c r="B170" s="4">
        <f t="shared" ca="1" si="24"/>
        <v>44207</v>
      </c>
      <c r="C170">
        <f t="shared" si="24"/>
        <v>159</v>
      </c>
      <c r="D170">
        <f t="shared" ca="1" si="18"/>
        <v>2</v>
      </c>
      <c r="E170" s="2">
        <f t="shared" ca="1" si="21"/>
        <v>0</v>
      </c>
      <c r="F170" s="2">
        <f t="shared" ca="1" si="22"/>
        <v>0</v>
      </c>
      <c r="G170" s="2">
        <f t="shared" ca="1" si="23"/>
        <v>-6.6625453682220837E-2</v>
      </c>
      <c r="H170" s="2">
        <f t="shared" ca="1" si="19"/>
        <v>0</v>
      </c>
      <c r="I170" s="2">
        <v>0</v>
      </c>
    </row>
    <row r="171" spans="2:9" x14ac:dyDescent="0.2">
      <c r="B171" s="4">
        <f t="shared" ca="1" si="24"/>
        <v>44208</v>
      </c>
      <c r="C171">
        <f t="shared" si="24"/>
        <v>160</v>
      </c>
      <c r="D171">
        <f t="shared" ca="1" si="18"/>
        <v>3</v>
      </c>
      <c r="E171" s="2">
        <f t="shared" ca="1" si="21"/>
        <v>0</v>
      </c>
      <c r="F171" s="2">
        <f t="shared" ca="1" si="22"/>
        <v>0</v>
      </c>
      <c r="G171" s="2">
        <f t="shared" ca="1" si="23"/>
        <v>-6.6625453682220837E-2</v>
      </c>
      <c r="H171" s="2">
        <f t="shared" ca="1" si="19"/>
        <v>0</v>
      </c>
      <c r="I171" s="2">
        <v>0</v>
      </c>
    </row>
    <row r="172" spans="2:9" x14ac:dyDescent="0.2">
      <c r="B172" s="4">
        <f t="shared" ca="1" si="24"/>
        <v>44209</v>
      </c>
      <c r="C172">
        <f t="shared" si="24"/>
        <v>161</v>
      </c>
      <c r="D172">
        <f t="shared" ca="1" si="18"/>
        <v>4</v>
      </c>
      <c r="E172" s="2">
        <f t="shared" ca="1" si="21"/>
        <v>0</v>
      </c>
      <c r="F172" s="2">
        <f t="shared" ca="1" si="22"/>
        <v>0</v>
      </c>
      <c r="G172" s="2">
        <f t="shared" ca="1" si="23"/>
        <v>-6.6625453682220837E-2</v>
      </c>
      <c r="H172" s="2">
        <f t="shared" ca="1" si="19"/>
        <v>0</v>
      </c>
      <c r="I172" s="2">
        <v>0</v>
      </c>
    </row>
    <row r="173" spans="2:9" x14ac:dyDescent="0.2">
      <c r="B173" s="4">
        <f t="shared" ref="B173:C188" ca="1" si="25">B172+1</f>
        <v>44210</v>
      </c>
      <c r="C173">
        <f t="shared" si="25"/>
        <v>162</v>
      </c>
      <c r="D173">
        <f t="shared" ca="1" si="18"/>
        <v>5</v>
      </c>
      <c r="E173" s="2">
        <f t="shared" ca="1" si="21"/>
        <v>0</v>
      </c>
      <c r="F173" s="2">
        <f t="shared" ca="1" si="22"/>
        <v>0</v>
      </c>
      <c r="G173" s="2">
        <f t="shared" ca="1" si="23"/>
        <v>-6.6625453682220837E-2</v>
      </c>
      <c r="H173" s="2">
        <f t="shared" ca="1" si="19"/>
        <v>0</v>
      </c>
      <c r="I173" s="2">
        <v>0</v>
      </c>
    </row>
    <row r="174" spans="2:9" x14ac:dyDescent="0.2">
      <c r="B174" s="4">
        <f t="shared" ca="1" si="25"/>
        <v>44211</v>
      </c>
      <c r="C174">
        <f t="shared" si="25"/>
        <v>163</v>
      </c>
      <c r="D174">
        <f t="shared" ca="1" si="18"/>
        <v>6</v>
      </c>
      <c r="E174" s="2">
        <f t="shared" ca="1" si="21"/>
        <v>0</v>
      </c>
      <c r="F174" s="2">
        <f t="shared" ca="1" si="22"/>
        <v>0</v>
      </c>
      <c r="G174" s="2">
        <f t="shared" ca="1" si="23"/>
        <v>-6.6625453682220837E-2</v>
      </c>
      <c r="H174" s="2">
        <f t="shared" ca="1" si="19"/>
        <v>0</v>
      </c>
      <c r="I174" s="2">
        <v>0</v>
      </c>
    </row>
    <row r="175" spans="2:9" x14ac:dyDescent="0.2">
      <c r="B175" s="4">
        <f t="shared" ca="1" si="25"/>
        <v>44212</v>
      </c>
      <c r="C175">
        <f t="shared" si="25"/>
        <v>164</v>
      </c>
      <c r="D175">
        <f t="shared" ca="1" si="18"/>
        <v>7</v>
      </c>
      <c r="E175" s="2">
        <f t="shared" ca="1" si="21"/>
        <v>0</v>
      </c>
      <c r="F175" s="2">
        <f t="shared" ca="1" si="22"/>
        <v>0</v>
      </c>
      <c r="G175" s="2">
        <f t="shared" ca="1" si="23"/>
        <v>-6.6625453682220837E-2</v>
      </c>
      <c r="H175" s="2">
        <f t="shared" ca="1" si="19"/>
        <v>0</v>
      </c>
      <c r="I175" s="2">
        <v>0</v>
      </c>
    </row>
    <row r="176" spans="2:9" x14ac:dyDescent="0.2">
      <c r="B176" s="4">
        <f t="shared" ca="1" si="25"/>
        <v>44213</v>
      </c>
      <c r="C176">
        <f t="shared" si="25"/>
        <v>165</v>
      </c>
      <c r="D176">
        <f t="shared" ca="1" si="18"/>
        <v>1</v>
      </c>
      <c r="E176" s="2">
        <f t="shared" ca="1" si="21"/>
        <v>0</v>
      </c>
      <c r="F176" s="2">
        <f t="shared" ca="1" si="22"/>
        <v>0</v>
      </c>
      <c r="G176" s="2">
        <f t="shared" ca="1" si="23"/>
        <v>-6.6625453682220837E-2</v>
      </c>
      <c r="H176" s="2">
        <f t="shared" ca="1" si="19"/>
        <v>0</v>
      </c>
      <c r="I176" s="2">
        <v>0</v>
      </c>
    </row>
    <row r="177" spans="2:9" x14ac:dyDescent="0.2">
      <c r="B177" s="4">
        <f t="shared" ca="1" si="25"/>
        <v>44214</v>
      </c>
      <c r="C177">
        <f t="shared" si="25"/>
        <v>166</v>
      </c>
      <c r="D177">
        <f t="shared" ca="1" si="18"/>
        <v>2</v>
      </c>
      <c r="E177" s="2">
        <f t="shared" ca="1" si="21"/>
        <v>0</v>
      </c>
      <c r="F177" s="2">
        <f t="shared" ca="1" si="22"/>
        <v>0</v>
      </c>
      <c r="G177" s="2">
        <f t="shared" ca="1" si="23"/>
        <v>-6.6625453682220837E-2</v>
      </c>
      <c r="H177" s="2">
        <f t="shared" ca="1" si="19"/>
        <v>0</v>
      </c>
      <c r="I177" s="2">
        <v>0</v>
      </c>
    </row>
    <row r="178" spans="2:9" x14ac:dyDescent="0.2">
      <c r="B178" s="4">
        <f t="shared" ca="1" si="25"/>
        <v>44215</v>
      </c>
      <c r="C178">
        <f t="shared" si="25"/>
        <v>167</v>
      </c>
      <c r="D178">
        <f t="shared" ca="1" si="18"/>
        <v>3</v>
      </c>
      <c r="E178" s="2">
        <f t="shared" ca="1" si="21"/>
        <v>0</v>
      </c>
      <c r="F178" s="2">
        <f t="shared" ca="1" si="22"/>
        <v>0</v>
      </c>
      <c r="G178" s="2">
        <f t="shared" ca="1" si="23"/>
        <v>-6.6625453682220837E-2</v>
      </c>
      <c r="H178" s="2">
        <f t="shared" ca="1" si="19"/>
        <v>0</v>
      </c>
      <c r="I178" s="2">
        <v>0</v>
      </c>
    </row>
    <row r="179" spans="2:9" x14ac:dyDescent="0.2">
      <c r="B179" s="4">
        <f t="shared" ca="1" si="25"/>
        <v>44216</v>
      </c>
      <c r="C179">
        <f t="shared" si="25"/>
        <v>168</v>
      </c>
      <c r="D179">
        <f t="shared" ca="1" si="18"/>
        <v>4</v>
      </c>
      <c r="E179" s="2">
        <f t="shared" ca="1" si="21"/>
        <v>0</v>
      </c>
      <c r="F179" s="2">
        <f t="shared" ca="1" si="22"/>
        <v>0</v>
      </c>
      <c r="G179" s="2">
        <f t="shared" ca="1" si="23"/>
        <v>-6.6625453682220837E-2</v>
      </c>
      <c r="H179" s="2">
        <f t="shared" ca="1" si="19"/>
        <v>0</v>
      </c>
      <c r="I179" s="2">
        <v>0</v>
      </c>
    </row>
    <row r="180" spans="2:9" x14ac:dyDescent="0.2">
      <c r="B180" s="4">
        <f t="shared" ca="1" si="25"/>
        <v>44217</v>
      </c>
      <c r="C180">
        <f t="shared" si="25"/>
        <v>169</v>
      </c>
      <c r="D180">
        <f t="shared" ca="1" si="18"/>
        <v>5</v>
      </c>
      <c r="E180" s="2">
        <f t="shared" ca="1" si="21"/>
        <v>0</v>
      </c>
      <c r="F180" s="2">
        <f t="shared" ca="1" si="22"/>
        <v>0</v>
      </c>
      <c r="G180" s="2">
        <f t="shared" ca="1" si="23"/>
        <v>-6.6625453682220837E-2</v>
      </c>
      <c r="H180" s="2">
        <f t="shared" ca="1" si="19"/>
        <v>0</v>
      </c>
      <c r="I180" s="2">
        <v>0</v>
      </c>
    </row>
    <row r="181" spans="2:9" x14ac:dyDescent="0.2">
      <c r="B181" s="4">
        <f t="shared" ca="1" si="25"/>
        <v>44218</v>
      </c>
      <c r="C181">
        <f t="shared" si="25"/>
        <v>170</v>
      </c>
      <c r="D181">
        <f t="shared" ca="1" si="18"/>
        <v>6</v>
      </c>
      <c r="E181" s="2">
        <f t="shared" ca="1" si="21"/>
        <v>0</v>
      </c>
      <c r="F181" s="2">
        <f t="shared" ca="1" si="22"/>
        <v>0</v>
      </c>
      <c r="G181" s="2">
        <f t="shared" ca="1" si="23"/>
        <v>-6.6625453682220837E-2</v>
      </c>
      <c r="H181" s="2">
        <f t="shared" ca="1" si="19"/>
        <v>0</v>
      </c>
      <c r="I181" s="2">
        <v>0</v>
      </c>
    </row>
    <row r="182" spans="2:9" x14ac:dyDescent="0.2">
      <c r="B182" s="4">
        <f t="shared" ca="1" si="25"/>
        <v>44219</v>
      </c>
      <c r="C182">
        <f t="shared" si="25"/>
        <v>171</v>
      </c>
      <c r="D182">
        <f t="shared" ca="1" si="18"/>
        <v>7</v>
      </c>
      <c r="E182" s="2">
        <f t="shared" ca="1" si="21"/>
        <v>0</v>
      </c>
      <c r="F182" s="2">
        <f t="shared" ca="1" si="22"/>
        <v>0</v>
      </c>
      <c r="G182" s="2">
        <f t="shared" ca="1" si="23"/>
        <v>-6.6625453682220837E-2</v>
      </c>
      <c r="H182" s="2">
        <f t="shared" ca="1" si="19"/>
        <v>0</v>
      </c>
      <c r="I182" s="2">
        <v>0</v>
      </c>
    </row>
    <row r="183" spans="2:9" x14ac:dyDescent="0.2">
      <c r="B183" s="4">
        <f t="shared" ca="1" si="25"/>
        <v>44220</v>
      </c>
      <c r="C183">
        <f t="shared" si="25"/>
        <v>172</v>
      </c>
      <c r="D183">
        <f t="shared" ca="1" si="18"/>
        <v>1</v>
      </c>
      <c r="E183" s="2">
        <f t="shared" ca="1" si="21"/>
        <v>0</v>
      </c>
      <c r="F183" s="2">
        <f t="shared" ca="1" si="22"/>
        <v>0</v>
      </c>
      <c r="G183" s="2">
        <f t="shared" ca="1" si="23"/>
        <v>-6.6625453682220837E-2</v>
      </c>
      <c r="H183" s="2">
        <f t="shared" ca="1" si="19"/>
        <v>0</v>
      </c>
      <c r="I183" s="2">
        <v>0</v>
      </c>
    </row>
    <row r="184" spans="2:9" x14ac:dyDescent="0.2">
      <c r="B184" s="4">
        <f t="shared" ca="1" si="25"/>
        <v>44221</v>
      </c>
      <c r="C184">
        <f t="shared" si="25"/>
        <v>173</v>
      </c>
      <c r="D184">
        <f t="shared" ca="1" si="18"/>
        <v>2</v>
      </c>
      <c r="E184" s="2">
        <f t="shared" ca="1" si="21"/>
        <v>0</v>
      </c>
      <c r="F184" s="2">
        <f t="shared" ca="1" si="22"/>
        <v>0</v>
      </c>
      <c r="G184" s="2">
        <f t="shared" ca="1" si="23"/>
        <v>-6.6625453682220837E-2</v>
      </c>
      <c r="H184" s="2">
        <f t="shared" ca="1" si="19"/>
        <v>0</v>
      </c>
      <c r="I184" s="2">
        <v>0</v>
      </c>
    </row>
    <row r="185" spans="2:9" x14ac:dyDescent="0.2">
      <c r="B185" s="4">
        <f t="shared" ca="1" si="25"/>
        <v>44222</v>
      </c>
      <c r="C185">
        <f t="shared" si="25"/>
        <v>174</v>
      </c>
      <c r="D185">
        <f t="shared" ca="1" si="18"/>
        <v>3</v>
      </c>
      <c r="E185" s="2">
        <f t="shared" ca="1" si="21"/>
        <v>0</v>
      </c>
      <c r="F185" s="2">
        <f t="shared" ca="1" si="22"/>
        <v>0</v>
      </c>
      <c r="G185" s="2">
        <f t="shared" ca="1" si="23"/>
        <v>-6.6625453682220837E-2</v>
      </c>
      <c r="H185" s="2">
        <f t="shared" ca="1" si="19"/>
        <v>0</v>
      </c>
      <c r="I185" s="2">
        <v>0</v>
      </c>
    </row>
    <row r="186" spans="2:9" x14ac:dyDescent="0.2">
      <c r="B186" s="4">
        <f t="shared" ca="1" si="25"/>
        <v>44223</v>
      </c>
      <c r="C186">
        <f t="shared" si="25"/>
        <v>175</v>
      </c>
      <c r="D186">
        <f t="shared" ca="1" si="18"/>
        <v>4</v>
      </c>
      <c r="E186" s="2">
        <f t="shared" ca="1" si="21"/>
        <v>0</v>
      </c>
      <c r="F186" s="2">
        <f t="shared" ca="1" si="22"/>
        <v>0</v>
      </c>
      <c r="G186" s="2">
        <f t="shared" ca="1" si="23"/>
        <v>-6.6625453682220837E-2</v>
      </c>
      <c r="H186" s="2">
        <f t="shared" ca="1" si="19"/>
        <v>0</v>
      </c>
      <c r="I186" s="2">
        <v>0</v>
      </c>
    </row>
    <row r="187" spans="2:9" x14ac:dyDescent="0.2">
      <c r="B187" s="4">
        <f t="shared" ca="1" si="25"/>
        <v>44224</v>
      </c>
      <c r="C187">
        <f t="shared" si="25"/>
        <v>176</v>
      </c>
      <c r="D187">
        <f t="shared" ca="1" si="18"/>
        <v>5</v>
      </c>
      <c r="E187" s="2">
        <f t="shared" ca="1" si="21"/>
        <v>0</v>
      </c>
      <c r="F187" s="2">
        <f t="shared" ca="1" si="22"/>
        <v>0</v>
      </c>
      <c r="G187" s="2">
        <f t="shared" ca="1" si="23"/>
        <v>-6.6625453682220837E-2</v>
      </c>
      <c r="H187" s="2">
        <f t="shared" ca="1" si="19"/>
        <v>0</v>
      </c>
      <c r="I187" s="2">
        <v>0</v>
      </c>
    </row>
    <row r="188" spans="2:9" x14ac:dyDescent="0.2">
      <c r="B188" s="4">
        <f t="shared" ca="1" si="25"/>
        <v>44225</v>
      </c>
      <c r="C188">
        <f t="shared" si="25"/>
        <v>177</v>
      </c>
      <c r="D188">
        <f t="shared" ca="1" si="18"/>
        <v>6</v>
      </c>
      <c r="E188" s="2">
        <f t="shared" ca="1" si="21"/>
        <v>0</v>
      </c>
      <c r="F188" s="2">
        <f t="shared" ca="1" si="22"/>
        <v>0</v>
      </c>
      <c r="G188" s="2">
        <f t="shared" ca="1" si="23"/>
        <v>-6.6625453682220837E-2</v>
      </c>
      <c r="H188" s="2">
        <f t="shared" ca="1" si="19"/>
        <v>0</v>
      </c>
      <c r="I188" s="2">
        <v>0</v>
      </c>
    </row>
    <row r="189" spans="2:9" x14ac:dyDescent="0.2">
      <c r="B189" s="4">
        <f t="shared" ref="B189:C204" ca="1" si="26">B188+1</f>
        <v>44226</v>
      </c>
      <c r="C189">
        <f t="shared" si="26"/>
        <v>178</v>
      </c>
      <c r="D189">
        <f t="shared" ca="1" si="18"/>
        <v>7</v>
      </c>
      <c r="E189" s="2">
        <f t="shared" ca="1" si="21"/>
        <v>0</v>
      </c>
      <c r="F189" s="2">
        <f t="shared" ca="1" si="22"/>
        <v>0</v>
      </c>
      <c r="G189" s="2">
        <f t="shared" ca="1" si="23"/>
        <v>-6.6625453682220837E-2</v>
      </c>
      <c r="H189" s="2">
        <f t="shared" ca="1" si="19"/>
        <v>0</v>
      </c>
      <c r="I189" s="2">
        <v>0</v>
      </c>
    </row>
    <row r="190" spans="2:9" x14ac:dyDescent="0.2">
      <c r="B190" s="4">
        <f t="shared" ca="1" si="26"/>
        <v>44227</v>
      </c>
      <c r="C190">
        <f t="shared" si="26"/>
        <v>179</v>
      </c>
      <c r="D190">
        <f t="shared" ca="1" si="18"/>
        <v>1</v>
      </c>
      <c r="E190" s="2">
        <f t="shared" ca="1" si="21"/>
        <v>0</v>
      </c>
      <c r="F190" s="2">
        <f t="shared" ca="1" si="22"/>
        <v>0</v>
      </c>
      <c r="G190" s="2">
        <f t="shared" ca="1" si="23"/>
        <v>-6.6625453682220837E-2</v>
      </c>
      <c r="H190" s="2">
        <f t="shared" ca="1" si="19"/>
        <v>0</v>
      </c>
      <c r="I190" s="2">
        <v>0</v>
      </c>
    </row>
    <row r="191" spans="2:9" x14ac:dyDescent="0.2">
      <c r="B191" s="4">
        <f t="shared" ca="1" si="26"/>
        <v>44228</v>
      </c>
      <c r="C191">
        <f t="shared" si="26"/>
        <v>180</v>
      </c>
      <c r="D191">
        <f t="shared" ca="1" si="18"/>
        <v>2</v>
      </c>
      <c r="E191" s="2">
        <f t="shared" ca="1" si="21"/>
        <v>0</v>
      </c>
      <c r="F191" s="2">
        <f t="shared" ca="1" si="22"/>
        <v>0</v>
      </c>
      <c r="G191" s="2">
        <f t="shared" ca="1" si="23"/>
        <v>-6.6625453682220837E-2</v>
      </c>
      <c r="H191" s="2">
        <f t="shared" ca="1" si="19"/>
        <v>0</v>
      </c>
      <c r="I191" s="2">
        <v>0</v>
      </c>
    </row>
    <row r="192" spans="2:9" x14ac:dyDescent="0.2">
      <c r="B192" s="4">
        <f t="shared" ca="1" si="26"/>
        <v>44229</v>
      </c>
      <c r="C192">
        <f t="shared" si="26"/>
        <v>181</v>
      </c>
      <c r="D192">
        <f t="shared" ca="1" si="18"/>
        <v>3</v>
      </c>
      <c r="E192" s="2">
        <f t="shared" ca="1" si="21"/>
        <v>0</v>
      </c>
      <c r="F192" s="2">
        <f t="shared" ca="1" si="22"/>
        <v>0</v>
      </c>
      <c r="G192" s="2">
        <f t="shared" ca="1" si="23"/>
        <v>-6.6625453682220837E-2</v>
      </c>
      <c r="H192" s="2">
        <f t="shared" ca="1" si="19"/>
        <v>0</v>
      </c>
      <c r="I192" s="2">
        <v>0</v>
      </c>
    </row>
    <row r="193" spans="2:9" x14ac:dyDescent="0.2">
      <c r="B193" s="4">
        <f t="shared" ca="1" si="26"/>
        <v>44230</v>
      </c>
      <c r="C193">
        <f t="shared" si="26"/>
        <v>182</v>
      </c>
      <c r="D193">
        <f t="shared" ca="1" si="18"/>
        <v>4</v>
      </c>
      <c r="E193" s="2">
        <f t="shared" ca="1" si="21"/>
        <v>0</v>
      </c>
      <c r="F193" s="2">
        <f t="shared" ca="1" si="22"/>
        <v>0</v>
      </c>
      <c r="G193" s="2">
        <f t="shared" ca="1" si="23"/>
        <v>-6.6625453682220837E-2</v>
      </c>
      <c r="H193" s="2">
        <f t="shared" ca="1" si="19"/>
        <v>0</v>
      </c>
      <c r="I193" s="2">
        <v>0</v>
      </c>
    </row>
    <row r="194" spans="2:9" x14ac:dyDescent="0.2">
      <c r="B194" s="4">
        <f t="shared" ca="1" si="26"/>
        <v>44231</v>
      </c>
      <c r="C194">
        <f t="shared" si="26"/>
        <v>183</v>
      </c>
      <c r="D194">
        <f t="shared" ca="1" si="18"/>
        <v>5</v>
      </c>
      <c r="E194" s="2">
        <f t="shared" ca="1" si="21"/>
        <v>0</v>
      </c>
      <c r="F194" s="2">
        <f t="shared" ca="1" si="22"/>
        <v>0</v>
      </c>
      <c r="G194" s="2">
        <f t="shared" ca="1" si="23"/>
        <v>-6.6625453682220837E-2</v>
      </c>
      <c r="H194" s="2">
        <f t="shared" ca="1" si="19"/>
        <v>0</v>
      </c>
      <c r="I194" s="2">
        <v>0</v>
      </c>
    </row>
    <row r="195" spans="2:9" x14ac:dyDescent="0.2">
      <c r="B195" s="4">
        <f t="shared" ca="1" si="26"/>
        <v>44232</v>
      </c>
      <c r="C195">
        <f t="shared" si="26"/>
        <v>184</v>
      </c>
      <c r="D195">
        <f t="shared" ca="1" si="18"/>
        <v>6</v>
      </c>
      <c r="E195" s="2">
        <f t="shared" ca="1" si="21"/>
        <v>0</v>
      </c>
      <c r="F195" s="2">
        <f t="shared" ca="1" si="22"/>
        <v>0</v>
      </c>
      <c r="G195" s="2">
        <f t="shared" ca="1" si="23"/>
        <v>-6.6625453682220837E-2</v>
      </c>
      <c r="H195" s="2">
        <f t="shared" ca="1" si="19"/>
        <v>0</v>
      </c>
      <c r="I195" s="2">
        <v>0</v>
      </c>
    </row>
    <row r="196" spans="2:9" x14ac:dyDescent="0.2">
      <c r="B196" s="4">
        <f t="shared" ca="1" si="26"/>
        <v>44233</v>
      </c>
      <c r="C196">
        <f t="shared" si="26"/>
        <v>185</v>
      </c>
      <c r="D196">
        <f t="shared" ca="1" si="18"/>
        <v>7</v>
      </c>
      <c r="E196" s="2">
        <f t="shared" ca="1" si="21"/>
        <v>0</v>
      </c>
      <c r="F196" s="2">
        <f t="shared" ca="1" si="22"/>
        <v>0</v>
      </c>
      <c r="G196" s="2">
        <f t="shared" ca="1" si="23"/>
        <v>-6.6625453682220837E-2</v>
      </c>
      <c r="H196" s="2">
        <f t="shared" ca="1" si="19"/>
        <v>0</v>
      </c>
      <c r="I196" s="2">
        <v>0</v>
      </c>
    </row>
    <row r="197" spans="2:9" x14ac:dyDescent="0.2">
      <c r="B197" s="4">
        <f t="shared" ca="1" si="26"/>
        <v>44234</v>
      </c>
      <c r="C197">
        <f t="shared" si="26"/>
        <v>186</v>
      </c>
      <c r="D197">
        <f t="shared" ca="1" si="18"/>
        <v>1</v>
      </c>
      <c r="E197" s="2">
        <f t="shared" ca="1" si="21"/>
        <v>0</v>
      </c>
      <c r="F197" s="2">
        <f t="shared" ca="1" si="22"/>
        <v>0</v>
      </c>
      <c r="G197" s="2">
        <f t="shared" ca="1" si="23"/>
        <v>-6.6625453682220837E-2</v>
      </c>
      <c r="H197" s="2">
        <f t="shared" ca="1" si="19"/>
        <v>0</v>
      </c>
      <c r="I197" s="2">
        <v>0</v>
      </c>
    </row>
    <row r="198" spans="2:9" x14ac:dyDescent="0.2">
      <c r="B198" s="4">
        <f t="shared" ca="1" si="26"/>
        <v>44235</v>
      </c>
      <c r="C198">
        <f t="shared" si="26"/>
        <v>187</v>
      </c>
      <c r="D198">
        <f t="shared" ca="1" si="18"/>
        <v>2</v>
      </c>
      <c r="E198" s="2">
        <f t="shared" ca="1" si="21"/>
        <v>0</v>
      </c>
      <c r="F198" s="2">
        <f t="shared" ca="1" si="22"/>
        <v>0</v>
      </c>
      <c r="G198" s="2">
        <f t="shared" ca="1" si="23"/>
        <v>-6.6625453682220837E-2</v>
      </c>
      <c r="H198" s="2">
        <f t="shared" ca="1" si="19"/>
        <v>0</v>
      </c>
      <c r="I198" s="2">
        <v>0</v>
      </c>
    </row>
    <row r="199" spans="2:9" x14ac:dyDescent="0.2">
      <c r="B199" s="4">
        <f t="shared" ca="1" si="26"/>
        <v>44236</v>
      </c>
      <c r="C199">
        <f t="shared" si="26"/>
        <v>188</v>
      </c>
      <c r="D199">
        <f t="shared" ca="1" si="18"/>
        <v>3</v>
      </c>
      <c r="E199" s="2">
        <f t="shared" ca="1" si="21"/>
        <v>0</v>
      </c>
      <c r="F199" s="2">
        <f t="shared" ca="1" si="22"/>
        <v>0</v>
      </c>
      <c r="G199" s="2">
        <f t="shared" ca="1" si="23"/>
        <v>-6.6625453682220837E-2</v>
      </c>
      <c r="H199" s="2">
        <f t="shared" ca="1" si="19"/>
        <v>0</v>
      </c>
      <c r="I199" s="2">
        <v>0</v>
      </c>
    </row>
    <row r="200" spans="2:9" x14ac:dyDescent="0.2">
      <c r="B200" s="4">
        <f t="shared" ca="1" si="26"/>
        <v>44237</v>
      </c>
      <c r="C200">
        <f t="shared" si="26"/>
        <v>189</v>
      </c>
      <c r="D200">
        <f t="shared" ca="1" si="18"/>
        <v>4</v>
      </c>
      <c r="E200" s="2">
        <f t="shared" ca="1" si="21"/>
        <v>0</v>
      </c>
      <c r="F200" s="2">
        <f t="shared" ca="1" si="22"/>
        <v>0</v>
      </c>
      <c r="G200" s="2">
        <f t="shared" ca="1" si="23"/>
        <v>-6.6625453682220837E-2</v>
      </c>
      <c r="H200" s="2">
        <f t="shared" ca="1" si="19"/>
        <v>0</v>
      </c>
      <c r="I200" s="2">
        <v>0</v>
      </c>
    </row>
    <row r="201" spans="2:9" x14ac:dyDescent="0.2">
      <c r="B201" s="4">
        <f t="shared" ca="1" si="26"/>
        <v>44238</v>
      </c>
      <c r="C201">
        <f t="shared" si="26"/>
        <v>190</v>
      </c>
      <c r="D201">
        <f t="shared" ca="1" si="18"/>
        <v>5</v>
      </c>
      <c r="E201" s="2">
        <f t="shared" ca="1" si="21"/>
        <v>0</v>
      </c>
      <c r="F201" s="2">
        <f t="shared" ca="1" si="22"/>
        <v>0</v>
      </c>
      <c r="G201" s="2">
        <f t="shared" ca="1" si="23"/>
        <v>-6.6625453682220837E-2</v>
      </c>
      <c r="H201" s="2">
        <f t="shared" ca="1" si="19"/>
        <v>0</v>
      </c>
      <c r="I201" s="2">
        <v>0</v>
      </c>
    </row>
    <row r="202" spans="2:9" x14ac:dyDescent="0.2">
      <c r="B202" s="4">
        <f t="shared" ca="1" si="26"/>
        <v>44239</v>
      </c>
      <c r="C202">
        <f t="shared" si="26"/>
        <v>191</v>
      </c>
      <c r="D202">
        <f t="shared" ca="1" si="18"/>
        <v>6</v>
      </c>
      <c r="E202" s="2">
        <f t="shared" ca="1" si="21"/>
        <v>0</v>
      </c>
      <c r="F202" s="2">
        <f t="shared" ca="1" si="22"/>
        <v>0</v>
      </c>
      <c r="G202" s="2">
        <f t="shared" ca="1" si="23"/>
        <v>-6.6625453682220837E-2</v>
      </c>
      <c r="H202" s="2">
        <f t="shared" ca="1" si="19"/>
        <v>0</v>
      </c>
      <c r="I202" s="2">
        <v>0</v>
      </c>
    </row>
    <row r="203" spans="2:9" x14ac:dyDescent="0.2">
      <c r="B203" s="4">
        <f t="shared" ca="1" si="26"/>
        <v>44240</v>
      </c>
      <c r="C203">
        <f t="shared" si="26"/>
        <v>192</v>
      </c>
      <c r="D203">
        <f t="shared" ca="1" si="18"/>
        <v>7</v>
      </c>
      <c r="E203" s="2">
        <f t="shared" ca="1" si="21"/>
        <v>0</v>
      </c>
      <c r="F203" s="2">
        <f t="shared" ca="1" si="22"/>
        <v>0</v>
      </c>
      <c r="G203" s="2">
        <f t="shared" ca="1" si="23"/>
        <v>-6.6625453682220837E-2</v>
      </c>
      <c r="H203" s="2">
        <f t="shared" ca="1" si="19"/>
        <v>0</v>
      </c>
      <c r="I203" s="2">
        <v>0</v>
      </c>
    </row>
    <row r="204" spans="2:9" x14ac:dyDescent="0.2">
      <c r="B204" s="4">
        <f t="shared" ca="1" si="26"/>
        <v>44241</v>
      </c>
      <c r="C204">
        <f t="shared" si="26"/>
        <v>193</v>
      </c>
      <c r="D204">
        <f t="shared" ref="D204:D211" ca="1" si="27">WEEKDAY(B204,1)</f>
        <v>1</v>
      </c>
      <c r="E204" s="2">
        <f t="shared" ca="1" si="21"/>
        <v>0</v>
      </c>
      <c r="F204" s="2">
        <f t="shared" ca="1" si="22"/>
        <v>0</v>
      </c>
      <c r="G204" s="2">
        <f t="shared" ca="1" si="23"/>
        <v>-6.6625453682220837E-2</v>
      </c>
      <c r="H204" s="2">
        <f t="shared" ref="H204:H211" ca="1" si="28">IF(C204&gt;$C$7,0,(G204)*$C$5/365)</f>
        <v>0</v>
      </c>
      <c r="I204" s="2">
        <v>0</v>
      </c>
    </row>
    <row r="205" spans="2:9" x14ac:dyDescent="0.2">
      <c r="B205" s="4">
        <f t="shared" ref="B205:C211" ca="1" si="29">B204+1</f>
        <v>44242</v>
      </c>
      <c r="C205">
        <f t="shared" si="29"/>
        <v>194</v>
      </c>
      <c r="D205">
        <f t="shared" ca="1" si="27"/>
        <v>2</v>
      </c>
      <c r="E205" s="2">
        <f t="shared" ref="E205:E211" ca="1" si="30">IF(C205&gt;$C$7,0,G204+H204+I204)</f>
        <v>0</v>
      </c>
      <c r="F205" s="2">
        <f t="shared" ref="F205:F211" ca="1" si="31">IF(C205&gt;$C$7,0,IF(ROUND(E205,0)&gt;0,IF(C205=0,0,IF(DAY($F$2)&lt;&gt;DAY(B205),0,$C$8)),0))</f>
        <v>0</v>
      </c>
      <c r="G205" s="2">
        <f t="shared" ref="G205:G211" ca="1" si="32">IF(C205&gt;$C$7,G204,E205-F205)</f>
        <v>-6.6625453682220837E-2</v>
      </c>
      <c r="H205" s="2">
        <f t="shared" ca="1" si="28"/>
        <v>0</v>
      </c>
      <c r="I205" s="2">
        <v>0</v>
      </c>
    </row>
    <row r="206" spans="2:9" x14ac:dyDescent="0.2">
      <c r="B206" s="4">
        <f t="shared" ca="1" si="29"/>
        <v>44243</v>
      </c>
      <c r="C206">
        <f t="shared" si="29"/>
        <v>195</v>
      </c>
      <c r="D206">
        <f t="shared" ca="1" si="27"/>
        <v>3</v>
      </c>
      <c r="E206" s="2">
        <f t="shared" ca="1" si="30"/>
        <v>0</v>
      </c>
      <c r="F206" s="2">
        <f t="shared" ca="1" si="31"/>
        <v>0</v>
      </c>
      <c r="G206" s="2">
        <f t="shared" ca="1" si="32"/>
        <v>-6.6625453682220837E-2</v>
      </c>
      <c r="H206" s="2">
        <f t="shared" ca="1" si="28"/>
        <v>0</v>
      </c>
      <c r="I206" s="2">
        <v>0</v>
      </c>
    </row>
    <row r="207" spans="2:9" x14ac:dyDescent="0.2">
      <c r="B207" s="4">
        <f t="shared" ca="1" si="29"/>
        <v>44244</v>
      </c>
      <c r="C207">
        <f t="shared" si="29"/>
        <v>196</v>
      </c>
      <c r="D207">
        <f t="shared" ca="1" si="27"/>
        <v>4</v>
      </c>
      <c r="E207" s="2">
        <f t="shared" ca="1" si="30"/>
        <v>0</v>
      </c>
      <c r="F207" s="2">
        <f t="shared" ca="1" si="31"/>
        <v>0</v>
      </c>
      <c r="G207" s="2">
        <f t="shared" ca="1" si="32"/>
        <v>-6.6625453682220837E-2</v>
      </c>
      <c r="H207" s="2">
        <f t="shared" ca="1" si="28"/>
        <v>0</v>
      </c>
      <c r="I207" s="2">
        <v>0</v>
      </c>
    </row>
    <row r="208" spans="2:9" x14ac:dyDescent="0.2">
      <c r="B208" s="4">
        <f t="shared" ca="1" si="29"/>
        <v>44245</v>
      </c>
      <c r="C208">
        <f t="shared" si="29"/>
        <v>197</v>
      </c>
      <c r="D208">
        <f t="shared" ca="1" si="27"/>
        <v>5</v>
      </c>
      <c r="E208" s="2">
        <f t="shared" ca="1" si="30"/>
        <v>0</v>
      </c>
      <c r="F208" s="2">
        <f t="shared" ca="1" si="31"/>
        <v>0</v>
      </c>
      <c r="G208" s="2">
        <f t="shared" ca="1" si="32"/>
        <v>-6.6625453682220837E-2</v>
      </c>
      <c r="H208" s="2">
        <f t="shared" ca="1" si="28"/>
        <v>0</v>
      </c>
      <c r="I208" s="2">
        <v>0</v>
      </c>
    </row>
    <row r="209" spans="2:9" x14ac:dyDescent="0.2">
      <c r="B209" s="4">
        <f t="shared" ca="1" si="29"/>
        <v>44246</v>
      </c>
      <c r="C209">
        <f t="shared" si="29"/>
        <v>198</v>
      </c>
      <c r="D209">
        <f t="shared" ca="1" si="27"/>
        <v>6</v>
      </c>
      <c r="E209" s="2">
        <f t="shared" ca="1" si="30"/>
        <v>0</v>
      </c>
      <c r="F209" s="2">
        <f t="shared" ca="1" si="31"/>
        <v>0</v>
      </c>
      <c r="G209" s="2">
        <f t="shared" ca="1" si="32"/>
        <v>-6.6625453682220837E-2</v>
      </c>
      <c r="H209" s="2">
        <f t="shared" ca="1" si="28"/>
        <v>0</v>
      </c>
      <c r="I209" s="2">
        <v>0</v>
      </c>
    </row>
    <row r="210" spans="2:9" x14ac:dyDescent="0.2">
      <c r="B210" s="4">
        <f t="shared" ca="1" si="29"/>
        <v>44247</v>
      </c>
      <c r="C210">
        <f t="shared" si="29"/>
        <v>199</v>
      </c>
      <c r="D210">
        <f t="shared" ca="1" si="27"/>
        <v>7</v>
      </c>
      <c r="E210" s="2">
        <f t="shared" ca="1" si="30"/>
        <v>0</v>
      </c>
      <c r="F210" s="2">
        <f t="shared" ca="1" si="31"/>
        <v>0</v>
      </c>
      <c r="G210" s="2">
        <f t="shared" ca="1" si="32"/>
        <v>-6.6625453682220837E-2</v>
      </c>
      <c r="H210" s="2">
        <f t="shared" ca="1" si="28"/>
        <v>0</v>
      </c>
      <c r="I210" s="2">
        <v>0</v>
      </c>
    </row>
    <row r="211" spans="2:9" x14ac:dyDescent="0.2">
      <c r="B211" s="4">
        <f t="shared" ca="1" si="29"/>
        <v>44248</v>
      </c>
      <c r="C211">
        <f t="shared" si="29"/>
        <v>200</v>
      </c>
      <c r="D211">
        <f t="shared" ca="1" si="27"/>
        <v>1</v>
      </c>
      <c r="E211" s="2">
        <f t="shared" ca="1" si="30"/>
        <v>0</v>
      </c>
      <c r="F211" s="2">
        <f t="shared" ca="1" si="31"/>
        <v>0</v>
      </c>
      <c r="G211" s="2">
        <f t="shared" ca="1" si="32"/>
        <v>-6.6625453682220837E-2</v>
      </c>
      <c r="H211" s="2">
        <f t="shared" ca="1" si="28"/>
        <v>0</v>
      </c>
      <c r="I211" s="2">
        <v>0</v>
      </c>
    </row>
  </sheetData>
  <mergeCells count="2">
    <mergeCell ref="H4:I6"/>
    <mergeCell ref="E7:F8"/>
  </mergeCells>
  <conditionalFormatting sqref="B212:I700">
    <cfRule type="expression" dxfId="81" priority="5">
      <formula>$C212=$C$7</formula>
    </cfRule>
    <cfRule type="expression" dxfId="80" priority="6">
      <formula>$C212&gt;$C$7</formula>
    </cfRule>
  </conditionalFormatting>
  <conditionalFormatting sqref="E7">
    <cfRule type="cellIs" dxfId="79" priority="3" operator="equal">
      <formula>"No RESET Required"</formula>
    </cfRule>
    <cfRule type="cellIs" dxfId="78" priority="4" operator="equal">
      <formula>"RESET"</formula>
    </cfRule>
  </conditionalFormatting>
  <conditionalFormatting sqref="B11:I211">
    <cfRule type="expression" dxfId="77" priority="1">
      <formula>$C11=$C$7</formula>
    </cfRule>
    <cfRule type="expression" dxfId="76" priority="2">
      <formula>$C11&gt;$C$7</formula>
    </cfRule>
  </conditionalFormatting>
  <hyperlinks>
    <hyperlink ref="H4:I6" location="Summary!A1" display="Return to Home" xr:uid="{DBD6DB10-2D64-4BEB-8810-BA145BB03B4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152400</xdr:colOff>
                    <xdr:row>6</xdr:row>
                    <xdr:rowOff>25400</xdr:rowOff>
                  </from>
                  <to>
                    <xdr:col>8</xdr:col>
                    <xdr:colOff>1511300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D39D-BCDB-4D5A-993B-AF577CEE3026}">
  <sheetPr codeName="Sheet6">
    <tabColor rgb="FF00B0F0"/>
  </sheetPr>
  <dimension ref="B1:I211"/>
  <sheetViews>
    <sheetView tabSelected="1" zoomScale="106" zoomScaleNormal="85" workbookViewId="0">
      <pane ySplit="10" topLeftCell="A11" activePane="bottomLeft" state="frozen"/>
      <selection activeCell="A11" sqref="A11"/>
      <selection pane="bottomLeft" activeCell="I10" sqref="I10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2.5" bestFit="1" customWidth="1"/>
    <col min="9" max="9" width="13" bestFit="1" customWidth="1"/>
  </cols>
  <sheetData>
    <row r="1" spans="2:9" ht="16" thickBot="1" x14ac:dyDescent="0.25"/>
    <row r="2" spans="2:9" x14ac:dyDescent="0.2">
      <c r="B2" s="33" t="s">
        <v>0</v>
      </c>
      <c r="C2" s="13">
        <v>250</v>
      </c>
      <c r="E2" s="33" t="s">
        <v>1</v>
      </c>
      <c r="F2" s="16">
        <f ca="1">TODAY()-1</f>
        <v>44048</v>
      </c>
      <c r="H2" s="23" t="s">
        <v>34</v>
      </c>
      <c r="I2" s="24"/>
    </row>
    <row r="3" spans="2:9" x14ac:dyDescent="0.2">
      <c r="B3" s="1" t="s">
        <v>2</v>
      </c>
      <c r="C3" s="34">
        <v>7</v>
      </c>
      <c r="E3" s="1" t="s">
        <v>3</v>
      </c>
      <c r="F3" s="15">
        <f ca="1">SUM(H11:H211)</f>
        <v>3.3923459700135266</v>
      </c>
      <c r="H3" s="25"/>
      <c r="I3" s="26"/>
    </row>
    <row r="4" spans="2:9" ht="16" thickBot="1" x14ac:dyDescent="0.25">
      <c r="B4" s="1" t="s">
        <v>4</v>
      </c>
      <c r="C4" s="9">
        <f>C7/C3</f>
        <v>6</v>
      </c>
      <c r="E4" s="1" t="s">
        <v>5</v>
      </c>
      <c r="F4" s="15">
        <f ca="1">SUM(I11:I211)</f>
        <v>120</v>
      </c>
      <c r="H4" s="27"/>
      <c r="I4" s="28"/>
    </row>
    <row r="5" spans="2:9" x14ac:dyDescent="0.2">
      <c r="B5" s="33" t="s">
        <v>6</v>
      </c>
      <c r="C5" s="12">
        <v>0.19</v>
      </c>
      <c r="E5" s="1" t="s">
        <v>7</v>
      </c>
      <c r="F5" s="15">
        <f ca="1">SUM(F12:F211)</f>
        <v>373.20303363124555</v>
      </c>
    </row>
    <row r="6" spans="2:9" ht="16" thickBot="1" x14ac:dyDescent="0.25">
      <c r="B6" s="33" t="s">
        <v>8</v>
      </c>
      <c r="C6" s="13">
        <v>20</v>
      </c>
    </row>
    <row r="7" spans="2:9" ht="15" customHeight="1" x14ac:dyDescent="0.2">
      <c r="B7" s="33" t="s">
        <v>9</v>
      </c>
      <c r="C7" s="11">
        <v>42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62.200505605207589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250</v>
      </c>
      <c r="H11" s="2">
        <f ca="1">IF(C11&gt;$C$7,0,(G11)*$C$5/365)</f>
        <v>0.13013698630136986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250.13013698630138</v>
      </c>
      <c r="F12" s="2">
        <f ca="1">IF(C12&gt;$C$7,0,IF(ROUND(E12,0)&gt;0,IF(C12=0,0,IF(MOD(C12,$C$3)&gt;0,0,$C$8)),0))</f>
        <v>0</v>
      </c>
      <c r="G12" s="2">
        <f ca="1">IF(C12&gt;$C$7,G11,E12-F12)</f>
        <v>250.13013698630138</v>
      </c>
      <c r="H12" s="2">
        <f t="shared" ref="H12:H75" ca="1" si="1">IF(C12&gt;$C$7,0,(G12)*$C$5/365)</f>
        <v>0.13020472884218429</v>
      </c>
      <c r="I12" s="2">
        <f t="shared" ref="I12:I75" ca="1" si="2">IF(AND(C12=0,D12=7),$C$6,IF(C12=$C$7,0,IF(C12&lt;$C$7,IF(D12=7,$C$6,0),0)))</f>
        <v>0</v>
      </c>
    </row>
    <row r="13" spans="2:9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250.26034171514357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250.26034171514357</v>
      </c>
      <c r="H13" s="2">
        <f t="shared" ca="1" si="1"/>
        <v>0.13027250664623913</v>
      </c>
      <c r="I13" s="2">
        <f t="shared" ca="1" si="2"/>
        <v>0</v>
      </c>
    </row>
    <row r="14" spans="2:9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250.3906142217898</v>
      </c>
      <c r="F14" s="2">
        <f t="shared" ca="1" si="5"/>
        <v>0</v>
      </c>
      <c r="G14" s="2">
        <f t="shared" ca="1" si="6"/>
        <v>250.3906142217898</v>
      </c>
      <c r="H14" s="2">
        <f t="shared" ca="1" si="1"/>
        <v>0.13034031973189059</v>
      </c>
      <c r="I14" s="2">
        <f t="shared" ca="1" si="2"/>
        <v>20</v>
      </c>
    </row>
    <row r="15" spans="2:9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270.52095454152169</v>
      </c>
      <c r="F15" s="2">
        <f t="shared" ca="1" si="5"/>
        <v>0</v>
      </c>
      <c r="G15" s="2">
        <f t="shared" ca="1" si="6"/>
        <v>270.52095454152169</v>
      </c>
      <c r="H15" s="2">
        <f t="shared" ca="1" si="1"/>
        <v>0.14081912702161403</v>
      </c>
      <c r="I15" s="2">
        <f t="shared" ca="1" si="2"/>
        <v>0</v>
      </c>
    </row>
    <row r="16" spans="2:9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270.66177366854328</v>
      </c>
      <c r="F16" s="2">
        <f t="shared" ca="1" si="5"/>
        <v>0</v>
      </c>
      <c r="G16" s="2">
        <f t="shared" ca="1" si="6"/>
        <v>270.66177366854328</v>
      </c>
      <c r="H16" s="2">
        <f t="shared" ca="1" si="1"/>
        <v>0.14089243012883074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270.80266609867209</v>
      </c>
      <c r="F17" s="2">
        <f t="shared" ca="1" si="5"/>
        <v>0</v>
      </c>
      <c r="G17" s="2">
        <f t="shared" ca="1" si="6"/>
        <v>270.80266609867209</v>
      </c>
      <c r="H17" s="2">
        <f t="shared" ca="1" si="1"/>
        <v>0.14096577139382932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270.94363187006593</v>
      </c>
      <c r="F18" s="2">
        <f t="shared" ca="1" si="5"/>
        <v>62.200505605207589</v>
      </c>
      <c r="G18" s="2">
        <f t="shared" ca="1" si="6"/>
        <v>208.74312626485835</v>
      </c>
      <c r="H18" s="2">
        <f t="shared" ca="1" si="1"/>
        <v>0.10866080545293996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208.85178707031127</v>
      </c>
      <c r="F19" s="2">
        <f t="shared" ca="1" si="5"/>
        <v>0</v>
      </c>
      <c r="G19" s="2">
        <f t="shared" ca="1" si="6"/>
        <v>208.85178707031127</v>
      </c>
      <c r="H19" s="2">
        <f t="shared" ca="1" si="1"/>
        <v>0.10871736861194287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208.96050443892321</v>
      </c>
      <c r="F20" s="2">
        <f t="shared" ca="1" si="5"/>
        <v>0</v>
      </c>
      <c r="G20" s="2">
        <f t="shared" ca="1" si="6"/>
        <v>208.96050443892321</v>
      </c>
      <c r="H20" s="2">
        <f t="shared" ca="1" si="1"/>
        <v>0.10877396121478194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209.06927840013799</v>
      </c>
      <c r="F21" s="2">
        <f t="shared" ca="1" si="5"/>
        <v>0</v>
      </c>
      <c r="G21" s="2">
        <f t="shared" ca="1" si="6"/>
        <v>209.06927840013799</v>
      </c>
      <c r="H21" s="2">
        <f t="shared" ca="1" si="1"/>
        <v>0.10883058327678416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229.17810898341477</v>
      </c>
      <c r="F22" s="2">
        <f t="shared" ca="1" si="5"/>
        <v>0</v>
      </c>
      <c r="G22" s="2">
        <f t="shared" ca="1" si="6"/>
        <v>229.17810898341477</v>
      </c>
      <c r="H22" s="2">
        <f t="shared" ca="1" si="1"/>
        <v>0.11929819371739399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229.29740717713216</v>
      </c>
      <c r="F23" s="2">
        <f t="shared" ca="1" si="5"/>
        <v>0</v>
      </c>
      <c r="G23" s="2">
        <f t="shared" ca="1" si="6"/>
        <v>229.29740717713216</v>
      </c>
      <c r="H23" s="2">
        <f t="shared" ca="1" si="1"/>
        <v>0.11936029414700031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229.41676747127914</v>
      </c>
      <c r="F24" s="2">
        <f t="shared" ca="1" si="5"/>
        <v>0</v>
      </c>
      <c r="G24" s="2">
        <f t="shared" ca="1" si="6"/>
        <v>229.41676747127914</v>
      </c>
      <c r="H24" s="2">
        <f t="shared" ca="1" si="1"/>
        <v>0.11942242690285765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229.53618989818199</v>
      </c>
      <c r="F25" s="2">
        <f t="shared" ca="1" si="5"/>
        <v>62.200505605207589</v>
      </c>
      <c r="G25" s="2">
        <f t="shared" ca="1" si="6"/>
        <v>167.33568429297441</v>
      </c>
      <c r="H25" s="2">
        <f t="shared" ca="1" si="1"/>
        <v>8.7106246618260649E-2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167.42279053959265</v>
      </c>
      <c r="F26" s="2">
        <f t="shared" ca="1" si="5"/>
        <v>0</v>
      </c>
      <c r="G26" s="2">
        <f t="shared" ca="1" si="6"/>
        <v>167.42279053959265</v>
      </c>
      <c r="H26" s="2">
        <f t="shared" ca="1" si="1"/>
        <v>8.7151589595952345E-2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167.5099421291886</v>
      </c>
      <c r="F27" s="2">
        <f t="shared" ca="1" si="5"/>
        <v>0</v>
      </c>
      <c r="G27" s="2">
        <f t="shared" ca="1" si="6"/>
        <v>167.5099421291886</v>
      </c>
      <c r="H27" s="2">
        <f t="shared" ca="1" si="1"/>
        <v>8.7196956176837898E-2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167.59713908536543</v>
      </c>
      <c r="F28" s="2">
        <f t="shared" ca="1" si="5"/>
        <v>0</v>
      </c>
      <c r="G28" s="2">
        <f t="shared" ca="1" si="6"/>
        <v>167.59713908536543</v>
      </c>
      <c r="H28" s="2">
        <f t="shared" ca="1" si="1"/>
        <v>8.7242346373203924E-2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187.68438143173864</v>
      </c>
      <c r="F29" s="2">
        <f t="shared" ca="1" si="5"/>
        <v>0</v>
      </c>
      <c r="G29" s="2">
        <f t="shared" ca="1" si="6"/>
        <v>187.68438143173864</v>
      </c>
      <c r="H29" s="2">
        <f t="shared" ca="1" si="1"/>
        <v>9.7698719101453002E-2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187.7820801508401</v>
      </c>
      <c r="F30" s="2">
        <f t="shared" ca="1" si="5"/>
        <v>0</v>
      </c>
      <c r="G30" s="2">
        <f t="shared" ca="1" si="6"/>
        <v>187.7820801508401</v>
      </c>
      <c r="H30" s="2">
        <f t="shared" ca="1" si="1"/>
        <v>9.7749575968930455E-2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187.87982972680902</v>
      </c>
      <c r="F31" s="2">
        <f t="shared" ca="1" si="5"/>
        <v>0</v>
      </c>
      <c r="G31" s="2">
        <f t="shared" ca="1" si="6"/>
        <v>187.87982972680902</v>
      </c>
      <c r="H31" s="2">
        <f t="shared" ca="1" si="1"/>
        <v>9.7800459309845808E-2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187.97763018611886</v>
      </c>
      <c r="F32" s="2">
        <f t="shared" ca="1" si="5"/>
        <v>62.200505605207589</v>
      </c>
      <c r="G32" s="2">
        <f t="shared" ca="1" si="6"/>
        <v>125.77712458091128</v>
      </c>
      <c r="H32" s="2">
        <f t="shared" ca="1" si="1"/>
        <v>6.5473023754446968E-2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125.84259760466573</v>
      </c>
      <c r="F33" s="2">
        <f t="shared" ca="1" si="5"/>
        <v>0</v>
      </c>
      <c r="G33" s="2">
        <f t="shared" ca="1" si="6"/>
        <v>125.84259760466573</v>
      </c>
      <c r="H33" s="2">
        <f t="shared" ca="1" si="1"/>
        <v>6.5507105602428742E-2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125.90810471026816</v>
      </c>
      <c r="F34" s="2">
        <f t="shared" ca="1" si="5"/>
        <v>0</v>
      </c>
      <c r="G34" s="2">
        <f t="shared" ca="1" si="6"/>
        <v>125.90810471026816</v>
      </c>
      <c r="H34" s="2">
        <f t="shared" ca="1" si="1"/>
        <v>6.554120519164644E-2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125.97364591545981</v>
      </c>
      <c r="F35" s="2">
        <f t="shared" ca="1" si="5"/>
        <v>0</v>
      </c>
      <c r="G35" s="2">
        <f t="shared" ca="1" si="6"/>
        <v>125.97364591545981</v>
      </c>
      <c r="H35" s="2">
        <f t="shared" ca="1" si="1"/>
        <v>6.5575322531335245E-2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146.03922123799114</v>
      </c>
      <c r="F36" s="2">
        <f t="shared" ca="1" si="5"/>
        <v>0</v>
      </c>
      <c r="G36" s="2">
        <f t="shared" ca="1" si="6"/>
        <v>146.03922123799114</v>
      </c>
      <c r="H36" s="2">
        <f t="shared" ca="1" si="1"/>
        <v>7.6020416534844704E-2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146.11524165452599</v>
      </c>
      <c r="F37" s="2">
        <f t="shared" ca="1" si="5"/>
        <v>0</v>
      </c>
      <c r="G37" s="2">
        <f t="shared" ca="1" si="6"/>
        <v>146.11524165452599</v>
      </c>
      <c r="H37" s="2">
        <f t="shared" ca="1" si="1"/>
        <v>7.6059988806465584E-2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146.19130164333245</v>
      </c>
      <c r="F38" s="2">
        <f t="shared" ca="1" si="5"/>
        <v>0</v>
      </c>
      <c r="G38" s="2">
        <f t="shared" ca="1" si="6"/>
        <v>146.19130164333245</v>
      </c>
      <c r="H38" s="2">
        <f t="shared" ca="1" si="1"/>
        <v>7.6099581677351147E-2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146.26740122500979</v>
      </c>
      <c r="F39" s="2">
        <f t="shared" ca="1" si="5"/>
        <v>62.200505605207589</v>
      </c>
      <c r="G39" s="2">
        <f t="shared" ca="1" si="6"/>
        <v>84.06689561980221</v>
      </c>
      <c r="H39" s="2">
        <f t="shared" ca="1" si="1"/>
        <v>4.3760849774691565E-2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84.110656469576895</v>
      </c>
      <c r="F40" s="2">
        <f t="shared" ca="1" si="5"/>
        <v>0</v>
      </c>
      <c r="G40" s="2">
        <f t="shared" ca="1" si="6"/>
        <v>84.110656469576895</v>
      </c>
      <c r="H40" s="2">
        <f t="shared" ca="1" si="1"/>
        <v>4.3783629395122224E-2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84.154440098972017</v>
      </c>
      <c r="F41" s="2">
        <f t="shared" ca="1" si="5"/>
        <v>0</v>
      </c>
      <c r="G41" s="2">
        <f t="shared" ca="1" si="6"/>
        <v>84.154440098972017</v>
      </c>
      <c r="H41" s="2">
        <f t="shared" ca="1" si="1"/>
        <v>4.3806420873437488E-2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84.198246519845455</v>
      </c>
      <c r="F42" s="2">
        <f t="shared" ca="1" si="5"/>
        <v>0</v>
      </c>
      <c r="G42" s="2">
        <f t="shared" ca="1" si="6"/>
        <v>84.198246519845455</v>
      </c>
      <c r="H42" s="2">
        <f t="shared" ca="1" si="1"/>
        <v>4.382922421580996E-2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104.24207574406127</v>
      </c>
      <c r="F43" s="2">
        <f t="shared" ca="1" si="5"/>
        <v>0</v>
      </c>
      <c r="G43" s="2">
        <f t="shared" ca="1" si="6"/>
        <v>104.24207574406127</v>
      </c>
      <c r="H43" s="2">
        <f t="shared" ca="1" si="1"/>
        <v>5.4262998332525042E-2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104.29633874239379</v>
      </c>
      <c r="F44" s="2">
        <f t="shared" ca="1" si="5"/>
        <v>0</v>
      </c>
      <c r="G44" s="2">
        <f t="shared" ca="1" si="6"/>
        <v>104.29633874239379</v>
      </c>
      <c r="H44" s="2">
        <f t="shared" ca="1" si="1"/>
        <v>5.4291244824807725E-2</v>
      </c>
      <c r="I44" s="2">
        <f t="shared" ca="1" si="2"/>
        <v>0</v>
      </c>
    </row>
    <row r="45" spans="2:9" x14ac:dyDescent="0.2">
      <c r="B45" s="4">
        <f t="shared" ref="B45:C91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104.3506299872186</v>
      </c>
      <c r="F45" s="2">
        <f t="shared" ca="1" si="5"/>
        <v>0</v>
      </c>
      <c r="G45" s="2">
        <f t="shared" ca="1" si="6"/>
        <v>104.3506299872186</v>
      </c>
      <c r="H45" s="2">
        <f t="shared" ca="1" si="1"/>
        <v>5.4319506020743931E-2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104.40494949323934</v>
      </c>
      <c r="F46" s="2">
        <f t="shared" ca="1" si="5"/>
        <v>62.200505605207589</v>
      </c>
      <c r="G46" s="2">
        <f t="shared" ca="1" si="6"/>
        <v>42.204443888031754</v>
      </c>
      <c r="H46" s="2">
        <f t="shared" ca="1" si="1"/>
        <v>2.1969436544454886E-2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42.226413324576207</v>
      </c>
      <c r="F47" s="2">
        <f t="shared" ca="1" si="5"/>
        <v>0</v>
      </c>
      <c r="G47" s="2">
        <f t="shared" ca="1" si="6"/>
        <v>42.226413324576207</v>
      </c>
      <c r="H47" s="2">
        <f t="shared" ca="1" si="1"/>
        <v>2.198087268950542E-2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42.248394197265711</v>
      </c>
      <c r="F48" s="2">
        <f t="shared" ca="1" si="5"/>
        <v>0</v>
      </c>
      <c r="G48" s="2">
        <f t="shared" ca="1" si="6"/>
        <v>42.248394197265711</v>
      </c>
      <c r="H48" s="2">
        <f t="shared" ca="1" si="1"/>
        <v>2.1992314787617765E-2</v>
      </c>
      <c r="I48" s="2">
        <f t="shared" ca="1" si="2"/>
        <v>0</v>
      </c>
    </row>
    <row r="49" spans="2:9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42.270386512053328</v>
      </c>
      <c r="F49" s="2">
        <f t="shared" ca="1" si="5"/>
        <v>0</v>
      </c>
      <c r="G49" s="2">
        <f t="shared" ca="1" si="6"/>
        <v>42.270386512053328</v>
      </c>
      <c r="H49" s="2">
        <f t="shared" ca="1" si="1"/>
        <v>2.2003762841890772E-2</v>
      </c>
      <c r="I49" s="2">
        <f t="shared" ca="1" si="2"/>
        <v>20</v>
      </c>
    </row>
    <row r="50" spans="2:9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62.292390274895219</v>
      </c>
      <c r="F50" s="2">
        <f t="shared" ca="1" si="5"/>
        <v>0</v>
      </c>
      <c r="G50" s="2">
        <f t="shared" ca="1" si="6"/>
        <v>62.292390274895219</v>
      </c>
      <c r="H50" s="2">
        <f t="shared" ca="1" si="1"/>
        <v>3.2426175759534499E-2</v>
      </c>
      <c r="I50" s="2">
        <f t="shared" ca="1" si="2"/>
        <v>0</v>
      </c>
    </row>
    <row r="51" spans="2:9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62.324816450654751</v>
      </c>
      <c r="F51" s="2">
        <f t="shared" ca="1" si="5"/>
        <v>0</v>
      </c>
      <c r="G51" s="2">
        <f t="shared" ca="1" si="6"/>
        <v>62.324816450654751</v>
      </c>
      <c r="H51" s="2">
        <f t="shared" ca="1" si="1"/>
        <v>3.244305513869699E-2</v>
      </c>
      <c r="I51" s="2">
        <f t="shared" ca="1" si="2"/>
        <v>0</v>
      </c>
    </row>
    <row r="52" spans="2:9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62.357259505793451</v>
      </c>
      <c r="F52" s="2">
        <f t="shared" ca="1" si="5"/>
        <v>0</v>
      </c>
      <c r="G52" s="2">
        <f t="shared" ca="1" si="6"/>
        <v>62.357259505793451</v>
      </c>
      <c r="H52" s="2">
        <f t="shared" ca="1" si="1"/>
        <v>3.2459943304385633E-2</v>
      </c>
      <c r="I52" s="2">
        <f t="shared" ca="1" si="2"/>
        <v>0</v>
      </c>
    </row>
    <row r="53" spans="2:9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62.389719449097839</v>
      </c>
      <c r="F53" s="2">
        <f t="shared" ca="1" si="5"/>
        <v>62.200505605207589</v>
      </c>
      <c r="G53" s="2">
        <f t="shared" ca="1" si="6"/>
        <v>0.18921384389025064</v>
      </c>
      <c r="H53" s="2">
        <f t="shared" ca="1" si="1"/>
        <v>9.8494877641500336E-5</v>
      </c>
      <c r="I53" s="2">
        <f t="shared" ca="1" si="2"/>
        <v>0</v>
      </c>
    </row>
    <row r="54" spans="2:9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si="4"/>
        <v>0</v>
      </c>
      <c r="F54" s="2">
        <f t="shared" si="5"/>
        <v>0</v>
      </c>
      <c r="G54" s="2">
        <f t="shared" ca="1" si="6"/>
        <v>0.18921384389025064</v>
      </c>
      <c r="H54" s="2">
        <f t="shared" si="1"/>
        <v>0</v>
      </c>
      <c r="I54" s="2">
        <f t="shared" ca="1" si="2"/>
        <v>0</v>
      </c>
    </row>
    <row r="55" spans="2:9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si="4"/>
        <v>0</v>
      </c>
      <c r="F55" s="2">
        <f t="shared" si="5"/>
        <v>0</v>
      </c>
      <c r="G55" s="2">
        <f t="shared" ca="1" si="6"/>
        <v>0.18921384389025064</v>
      </c>
      <c r="H55" s="2">
        <f t="shared" si="1"/>
        <v>0</v>
      </c>
      <c r="I55" s="2">
        <f t="shared" ca="1" si="2"/>
        <v>0</v>
      </c>
    </row>
    <row r="56" spans="2:9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si="4"/>
        <v>0</v>
      </c>
      <c r="F56" s="2">
        <f t="shared" si="5"/>
        <v>0</v>
      </c>
      <c r="G56" s="2">
        <f t="shared" ca="1" si="6"/>
        <v>0.18921384389025064</v>
      </c>
      <c r="H56" s="2">
        <f t="shared" si="1"/>
        <v>0</v>
      </c>
      <c r="I56" s="2">
        <f t="shared" ca="1" si="2"/>
        <v>0</v>
      </c>
    </row>
    <row r="57" spans="2:9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si="4"/>
        <v>0</v>
      </c>
      <c r="F57" s="2">
        <f t="shared" si="5"/>
        <v>0</v>
      </c>
      <c r="G57" s="2">
        <f t="shared" ca="1" si="6"/>
        <v>0.18921384389025064</v>
      </c>
      <c r="H57" s="2">
        <f t="shared" si="1"/>
        <v>0</v>
      </c>
      <c r="I57" s="2">
        <f t="shared" ca="1" si="2"/>
        <v>0</v>
      </c>
    </row>
    <row r="58" spans="2:9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si="4"/>
        <v>0</v>
      </c>
      <c r="F58" s="2">
        <f t="shared" si="5"/>
        <v>0</v>
      </c>
      <c r="G58" s="2">
        <f t="shared" ca="1" si="6"/>
        <v>0.18921384389025064</v>
      </c>
      <c r="H58" s="2">
        <f t="shared" si="1"/>
        <v>0</v>
      </c>
      <c r="I58" s="2">
        <f t="shared" ca="1" si="2"/>
        <v>0</v>
      </c>
    </row>
    <row r="59" spans="2:9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si="4"/>
        <v>0</v>
      </c>
      <c r="F59" s="2">
        <f t="shared" si="5"/>
        <v>0</v>
      </c>
      <c r="G59" s="2">
        <f t="shared" ca="1" si="6"/>
        <v>0.18921384389025064</v>
      </c>
      <c r="H59" s="2">
        <f t="shared" si="1"/>
        <v>0</v>
      </c>
      <c r="I59" s="2">
        <f t="shared" ca="1" si="2"/>
        <v>0</v>
      </c>
    </row>
    <row r="60" spans="2:9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si="4"/>
        <v>0</v>
      </c>
      <c r="F60" s="2">
        <f t="shared" si="5"/>
        <v>0</v>
      </c>
      <c r="G60" s="2">
        <f t="shared" ca="1" si="6"/>
        <v>0.18921384389025064</v>
      </c>
      <c r="H60" s="2">
        <f t="shared" si="1"/>
        <v>0</v>
      </c>
      <c r="I60" s="2">
        <f t="shared" ca="1" si="2"/>
        <v>0</v>
      </c>
    </row>
    <row r="61" spans="2:9" x14ac:dyDescent="0.2">
      <c r="B61" s="4">
        <f t="shared" ca="1" si="8"/>
        <v>44098</v>
      </c>
      <c r="C61">
        <f t="shared" si="8"/>
        <v>50</v>
      </c>
      <c r="D61">
        <f t="shared" ca="1" si="0"/>
        <v>5</v>
      </c>
      <c r="E61" s="2">
        <f t="shared" si="4"/>
        <v>0</v>
      </c>
      <c r="F61" s="2">
        <f t="shared" si="5"/>
        <v>0</v>
      </c>
      <c r="G61" s="2">
        <f t="shared" ca="1" si="6"/>
        <v>0.18921384389025064</v>
      </c>
      <c r="H61" s="2">
        <f t="shared" si="1"/>
        <v>0</v>
      </c>
      <c r="I61" s="2">
        <f t="shared" ca="1" si="2"/>
        <v>0</v>
      </c>
    </row>
    <row r="62" spans="2:9" x14ac:dyDescent="0.2">
      <c r="B62" s="4">
        <f t="shared" ca="1" si="8"/>
        <v>44099</v>
      </c>
      <c r="C62">
        <f t="shared" si="8"/>
        <v>51</v>
      </c>
      <c r="D62">
        <f t="shared" ca="1" si="0"/>
        <v>6</v>
      </c>
      <c r="E62" s="2">
        <f t="shared" si="4"/>
        <v>0</v>
      </c>
      <c r="F62" s="2">
        <f t="shared" si="5"/>
        <v>0</v>
      </c>
      <c r="G62" s="2">
        <f t="shared" ca="1" si="6"/>
        <v>0.18921384389025064</v>
      </c>
      <c r="H62" s="2">
        <f t="shared" si="1"/>
        <v>0</v>
      </c>
      <c r="I62" s="2">
        <f t="shared" ca="1" si="2"/>
        <v>0</v>
      </c>
    </row>
    <row r="63" spans="2:9" x14ac:dyDescent="0.2">
      <c r="B63" s="4">
        <f t="shared" ca="1" si="8"/>
        <v>44100</v>
      </c>
      <c r="C63">
        <f t="shared" si="8"/>
        <v>52</v>
      </c>
      <c r="D63">
        <f t="shared" ca="1" si="0"/>
        <v>7</v>
      </c>
      <c r="E63" s="2">
        <f t="shared" si="4"/>
        <v>0</v>
      </c>
      <c r="F63" s="2">
        <f t="shared" si="5"/>
        <v>0</v>
      </c>
      <c r="G63" s="2">
        <f t="shared" ca="1" si="6"/>
        <v>0.18921384389025064</v>
      </c>
      <c r="H63" s="2">
        <f t="shared" si="1"/>
        <v>0</v>
      </c>
      <c r="I63" s="2">
        <f t="shared" ca="1" si="2"/>
        <v>0</v>
      </c>
    </row>
    <row r="64" spans="2:9" x14ac:dyDescent="0.2">
      <c r="B64" s="4">
        <f t="shared" ca="1" si="8"/>
        <v>44101</v>
      </c>
      <c r="C64">
        <f t="shared" si="8"/>
        <v>53</v>
      </c>
      <c r="D64">
        <f t="shared" ca="1" si="0"/>
        <v>1</v>
      </c>
      <c r="E64" s="2">
        <f t="shared" si="4"/>
        <v>0</v>
      </c>
      <c r="F64" s="2">
        <f t="shared" si="5"/>
        <v>0</v>
      </c>
      <c r="G64" s="2">
        <f t="shared" ca="1" si="6"/>
        <v>0.18921384389025064</v>
      </c>
      <c r="H64" s="2">
        <f t="shared" si="1"/>
        <v>0</v>
      </c>
      <c r="I64" s="2">
        <f t="shared" ca="1" si="2"/>
        <v>0</v>
      </c>
    </row>
    <row r="65" spans="2:9" x14ac:dyDescent="0.2">
      <c r="B65" s="4">
        <f t="shared" ca="1" si="8"/>
        <v>44102</v>
      </c>
      <c r="C65">
        <f t="shared" si="8"/>
        <v>54</v>
      </c>
      <c r="D65">
        <f t="shared" ca="1" si="0"/>
        <v>2</v>
      </c>
      <c r="E65" s="2">
        <f t="shared" si="4"/>
        <v>0</v>
      </c>
      <c r="F65" s="2">
        <f t="shared" si="5"/>
        <v>0</v>
      </c>
      <c r="G65" s="2">
        <f t="shared" ca="1" si="6"/>
        <v>0.18921384389025064</v>
      </c>
      <c r="H65" s="2">
        <f t="shared" si="1"/>
        <v>0</v>
      </c>
      <c r="I65" s="2">
        <f t="shared" ca="1" si="2"/>
        <v>0</v>
      </c>
    </row>
    <row r="66" spans="2:9" x14ac:dyDescent="0.2">
      <c r="B66" s="4">
        <f t="shared" ca="1" si="8"/>
        <v>44103</v>
      </c>
      <c r="C66">
        <f t="shared" si="8"/>
        <v>55</v>
      </c>
      <c r="D66">
        <f t="shared" ca="1" si="0"/>
        <v>3</v>
      </c>
      <c r="E66" s="2">
        <f t="shared" si="4"/>
        <v>0</v>
      </c>
      <c r="F66" s="2">
        <f t="shared" si="5"/>
        <v>0</v>
      </c>
      <c r="G66" s="2">
        <f t="shared" ca="1" si="6"/>
        <v>0.18921384389025064</v>
      </c>
      <c r="H66" s="2">
        <f t="shared" si="1"/>
        <v>0</v>
      </c>
      <c r="I66" s="2">
        <f t="shared" ca="1" si="2"/>
        <v>0</v>
      </c>
    </row>
    <row r="67" spans="2:9" x14ac:dyDescent="0.2">
      <c r="B67" s="4">
        <f t="shared" ca="1" si="8"/>
        <v>44104</v>
      </c>
      <c r="C67">
        <f t="shared" si="8"/>
        <v>56</v>
      </c>
      <c r="D67">
        <f t="shared" ca="1" si="0"/>
        <v>4</v>
      </c>
      <c r="E67" s="2">
        <f t="shared" si="4"/>
        <v>0</v>
      </c>
      <c r="F67" s="2">
        <f t="shared" si="5"/>
        <v>0</v>
      </c>
      <c r="G67" s="2">
        <f t="shared" ca="1" si="6"/>
        <v>0.18921384389025064</v>
      </c>
      <c r="H67" s="2">
        <f t="shared" si="1"/>
        <v>0</v>
      </c>
      <c r="I67" s="2">
        <f t="shared" ca="1" si="2"/>
        <v>0</v>
      </c>
    </row>
    <row r="68" spans="2:9" x14ac:dyDescent="0.2">
      <c r="B68" s="4">
        <f t="shared" ca="1" si="8"/>
        <v>44105</v>
      </c>
      <c r="C68">
        <f t="shared" si="8"/>
        <v>57</v>
      </c>
      <c r="D68">
        <f t="shared" ca="1" si="0"/>
        <v>5</v>
      </c>
      <c r="E68" s="2">
        <f t="shared" si="4"/>
        <v>0</v>
      </c>
      <c r="F68" s="2">
        <f t="shared" si="5"/>
        <v>0</v>
      </c>
      <c r="G68" s="2">
        <f t="shared" ca="1" si="6"/>
        <v>0.18921384389025064</v>
      </c>
      <c r="H68" s="2">
        <f t="shared" si="1"/>
        <v>0</v>
      </c>
      <c r="I68" s="2">
        <f t="shared" ca="1" si="2"/>
        <v>0</v>
      </c>
    </row>
    <row r="69" spans="2:9" x14ac:dyDescent="0.2">
      <c r="B69" s="4">
        <f t="shared" ca="1" si="8"/>
        <v>44106</v>
      </c>
      <c r="C69">
        <f t="shared" si="8"/>
        <v>58</v>
      </c>
      <c r="D69">
        <f t="shared" ca="1" si="0"/>
        <v>6</v>
      </c>
      <c r="E69" s="2">
        <f t="shared" si="4"/>
        <v>0</v>
      </c>
      <c r="F69" s="2">
        <f t="shared" si="5"/>
        <v>0</v>
      </c>
      <c r="G69" s="2">
        <f t="shared" ca="1" si="6"/>
        <v>0.18921384389025064</v>
      </c>
      <c r="H69" s="2">
        <f t="shared" si="1"/>
        <v>0</v>
      </c>
      <c r="I69" s="2">
        <f t="shared" ca="1" si="2"/>
        <v>0</v>
      </c>
    </row>
    <row r="70" spans="2:9" x14ac:dyDescent="0.2">
      <c r="B70" s="4">
        <f t="shared" ca="1" si="8"/>
        <v>44107</v>
      </c>
      <c r="C70">
        <f t="shared" si="8"/>
        <v>59</v>
      </c>
      <c r="D70">
        <f t="shared" ca="1" si="0"/>
        <v>7</v>
      </c>
      <c r="E70" s="2">
        <f t="shared" si="4"/>
        <v>0</v>
      </c>
      <c r="F70" s="2">
        <f t="shared" si="5"/>
        <v>0</v>
      </c>
      <c r="G70" s="2">
        <f t="shared" ca="1" si="6"/>
        <v>0.18921384389025064</v>
      </c>
      <c r="H70" s="2">
        <f t="shared" si="1"/>
        <v>0</v>
      </c>
      <c r="I70" s="2">
        <f t="shared" ca="1" si="2"/>
        <v>0</v>
      </c>
    </row>
    <row r="71" spans="2:9" x14ac:dyDescent="0.2">
      <c r="B71" s="4">
        <f t="shared" ca="1" si="8"/>
        <v>44108</v>
      </c>
      <c r="C71">
        <f t="shared" si="8"/>
        <v>60</v>
      </c>
      <c r="D71">
        <f t="shared" ca="1" si="0"/>
        <v>1</v>
      </c>
      <c r="E71" s="2">
        <f t="shared" si="4"/>
        <v>0</v>
      </c>
      <c r="F71" s="2">
        <f t="shared" si="5"/>
        <v>0</v>
      </c>
      <c r="G71" s="2">
        <f t="shared" ca="1" si="6"/>
        <v>0.18921384389025064</v>
      </c>
      <c r="H71" s="2">
        <f t="shared" si="1"/>
        <v>0</v>
      </c>
      <c r="I71" s="2">
        <f t="shared" ca="1" si="2"/>
        <v>0</v>
      </c>
    </row>
    <row r="72" spans="2:9" x14ac:dyDescent="0.2">
      <c r="B72" s="4">
        <f t="shared" ca="1" si="8"/>
        <v>44109</v>
      </c>
      <c r="C72">
        <f t="shared" si="8"/>
        <v>61</v>
      </c>
      <c r="D72">
        <f t="shared" ca="1" si="0"/>
        <v>2</v>
      </c>
      <c r="E72" s="2">
        <f t="shared" si="4"/>
        <v>0</v>
      </c>
      <c r="F72" s="2">
        <f t="shared" si="5"/>
        <v>0</v>
      </c>
      <c r="G72" s="2">
        <f t="shared" ca="1" si="6"/>
        <v>0.18921384389025064</v>
      </c>
      <c r="H72" s="2">
        <f t="shared" si="1"/>
        <v>0</v>
      </c>
      <c r="I72" s="2">
        <f t="shared" ca="1" si="2"/>
        <v>0</v>
      </c>
    </row>
    <row r="73" spans="2:9" x14ac:dyDescent="0.2">
      <c r="B73" s="4">
        <f t="shared" ca="1" si="8"/>
        <v>44110</v>
      </c>
      <c r="C73">
        <f t="shared" si="8"/>
        <v>62</v>
      </c>
      <c r="D73">
        <f t="shared" ca="1" si="0"/>
        <v>3</v>
      </c>
      <c r="E73" s="2">
        <f t="shared" si="4"/>
        <v>0</v>
      </c>
      <c r="F73" s="2">
        <f t="shared" si="5"/>
        <v>0</v>
      </c>
      <c r="G73" s="2">
        <f t="shared" ca="1" si="6"/>
        <v>0.18921384389025064</v>
      </c>
      <c r="H73" s="2">
        <f t="shared" si="1"/>
        <v>0</v>
      </c>
      <c r="I73" s="2">
        <f t="shared" ca="1" si="2"/>
        <v>0</v>
      </c>
    </row>
    <row r="74" spans="2:9" x14ac:dyDescent="0.2">
      <c r="B74" s="4">
        <f t="shared" ca="1" si="8"/>
        <v>44111</v>
      </c>
      <c r="C74">
        <f t="shared" si="8"/>
        <v>63</v>
      </c>
      <c r="D74">
        <f t="shared" ca="1" si="0"/>
        <v>4</v>
      </c>
      <c r="E74" s="2">
        <f t="shared" si="4"/>
        <v>0</v>
      </c>
      <c r="F74" s="2">
        <f t="shared" si="5"/>
        <v>0</v>
      </c>
      <c r="G74" s="2">
        <f t="shared" ca="1" si="6"/>
        <v>0.18921384389025064</v>
      </c>
      <c r="H74" s="2">
        <f t="shared" si="1"/>
        <v>0</v>
      </c>
      <c r="I74" s="2">
        <f t="shared" ca="1" si="2"/>
        <v>0</v>
      </c>
    </row>
    <row r="75" spans="2:9" x14ac:dyDescent="0.2">
      <c r="B75" s="4">
        <f t="shared" ca="1" si="8"/>
        <v>44112</v>
      </c>
      <c r="C75">
        <f t="shared" si="8"/>
        <v>64</v>
      </c>
      <c r="D75">
        <f t="shared" ca="1" si="0"/>
        <v>5</v>
      </c>
      <c r="E75" s="2">
        <f t="shared" si="4"/>
        <v>0</v>
      </c>
      <c r="F75" s="2">
        <f t="shared" si="5"/>
        <v>0</v>
      </c>
      <c r="G75" s="2">
        <f t="shared" ca="1" si="6"/>
        <v>0.18921384389025064</v>
      </c>
      <c r="H75" s="2">
        <f t="shared" si="1"/>
        <v>0</v>
      </c>
      <c r="I75" s="2">
        <f t="shared" ca="1" si="2"/>
        <v>0</v>
      </c>
    </row>
    <row r="76" spans="2:9" x14ac:dyDescent="0.2">
      <c r="B76" s="4">
        <f t="shared" ca="1" si="8"/>
        <v>44113</v>
      </c>
      <c r="C76">
        <f t="shared" si="8"/>
        <v>65</v>
      </c>
      <c r="D76">
        <f t="shared" ref="D76:D139" ca="1" si="9">WEEKDAY(B76,1)</f>
        <v>6</v>
      </c>
      <c r="E76" s="2">
        <f t="shared" si="4"/>
        <v>0</v>
      </c>
      <c r="F76" s="2">
        <f t="shared" si="5"/>
        <v>0</v>
      </c>
      <c r="G76" s="2">
        <f t="shared" ca="1" si="6"/>
        <v>0.18921384389025064</v>
      </c>
      <c r="H76" s="2">
        <f t="shared" ref="H76:H139" si="10">IF(C76&gt;$C$7,0,(G76)*$C$5/365)</f>
        <v>0</v>
      </c>
      <c r="I76" s="2">
        <f t="shared" ref="I76:I139" ca="1" si="11">IF(AND(C76=0,D76=7),$C$6,IF(C76=$C$7,0,IF(C76&lt;$C$7,IF(D76=7,$C$6,0),0)))</f>
        <v>0</v>
      </c>
    </row>
    <row r="77" spans="2:9" x14ac:dyDescent="0.2">
      <c r="B77" s="4">
        <f t="shared" ca="1" si="8"/>
        <v>44114</v>
      </c>
      <c r="C77">
        <f t="shared" si="8"/>
        <v>66</v>
      </c>
      <c r="D77">
        <f t="shared" ca="1" si="9"/>
        <v>7</v>
      </c>
      <c r="E77" s="2">
        <f t="shared" ref="E77:E140" si="12">IF(C77&gt;$C$7,0,G76+H76+I76)</f>
        <v>0</v>
      </c>
      <c r="F77" s="2">
        <f t="shared" ref="F77:F140" si="13">IF(C77&gt;$C$7,0,IF(ROUND(E77,0)&gt;0,IF(C77=0,0,IF(MOD(C77,$C$3)&gt;0,0,$C$8)),0))</f>
        <v>0</v>
      </c>
      <c r="G77" s="2">
        <f t="shared" ref="G77:G140" ca="1" si="14">IF(C77&gt;$C$7,G76,E77-F77)</f>
        <v>0.18921384389025064</v>
      </c>
      <c r="H77" s="2">
        <f t="shared" si="10"/>
        <v>0</v>
      </c>
      <c r="I77" s="2">
        <f t="shared" ca="1" si="11"/>
        <v>0</v>
      </c>
    </row>
    <row r="78" spans="2:9" x14ac:dyDescent="0.2">
      <c r="B78" s="4">
        <f t="shared" ca="1" si="8"/>
        <v>44115</v>
      </c>
      <c r="C78">
        <f t="shared" si="8"/>
        <v>67</v>
      </c>
      <c r="D78">
        <f t="shared" ca="1" si="9"/>
        <v>1</v>
      </c>
      <c r="E78" s="2">
        <f t="shared" si="12"/>
        <v>0</v>
      </c>
      <c r="F78" s="2">
        <f t="shared" si="13"/>
        <v>0</v>
      </c>
      <c r="G78" s="2">
        <f t="shared" ca="1" si="14"/>
        <v>0.18921384389025064</v>
      </c>
      <c r="H78" s="2">
        <f t="shared" si="10"/>
        <v>0</v>
      </c>
      <c r="I78" s="2">
        <f t="shared" ca="1" si="11"/>
        <v>0</v>
      </c>
    </row>
    <row r="79" spans="2:9" x14ac:dyDescent="0.2">
      <c r="B79" s="4">
        <f t="shared" ca="1" si="8"/>
        <v>44116</v>
      </c>
      <c r="C79">
        <f t="shared" si="8"/>
        <v>68</v>
      </c>
      <c r="D79">
        <f t="shared" ca="1" si="9"/>
        <v>2</v>
      </c>
      <c r="E79" s="2">
        <f t="shared" si="12"/>
        <v>0</v>
      </c>
      <c r="F79" s="2">
        <f t="shared" si="13"/>
        <v>0</v>
      </c>
      <c r="G79" s="2">
        <f t="shared" ca="1" si="14"/>
        <v>0.18921384389025064</v>
      </c>
      <c r="H79" s="2">
        <f t="shared" si="10"/>
        <v>0</v>
      </c>
      <c r="I79" s="2">
        <f t="shared" ca="1" si="11"/>
        <v>0</v>
      </c>
    </row>
    <row r="80" spans="2:9" x14ac:dyDescent="0.2">
      <c r="B80" s="4">
        <f t="shared" ca="1" si="8"/>
        <v>44117</v>
      </c>
      <c r="C80">
        <f t="shared" si="8"/>
        <v>69</v>
      </c>
      <c r="D80">
        <f t="shared" ca="1" si="9"/>
        <v>3</v>
      </c>
      <c r="E80" s="2">
        <f t="shared" si="12"/>
        <v>0</v>
      </c>
      <c r="F80" s="2">
        <f t="shared" si="13"/>
        <v>0</v>
      </c>
      <c r="G80" s="2">
        <f t="shared" ca="1" si="14"/>
        <v>0.18921384389025064</v>
      </c>
      <c r="H80" s="2">
        <f t="shared" si="10"/>
        <v>0</v>
      </c>
      <c r="I80" s="2">
        <f t="shared" ca="1" si="11"/>
        <v>0</v>
      </c>
    </row>
    <row r="81" spans="2:9" x14ac:dyDescent="0.2">
      <c r="B81" s="4">
        <f t="shared" ca="1" si="8"/>
        <v>44118</v>
      </c>
      <c r="C81">
        <f t="shared" si="8"/>
        <v>70</v>
      </c>
      <c r="D81">
        <f t="shared" ca="1" si="9"/>
        <v>4</v>
      </c>
      <c r="E81" s="2">
        <f t="shared" si="12"/>
        <v>0</v>
      </c>
      <c r="F81" s="2">
        <f t="shared" si="13"/>
        <v>0</v>
      </c>
      <c r="G81" s="2">
        <f t="shared" ca="1" si="14"/>
        <v>0.18921384389025064</v>
      </c>
      <c r="H81" s="2">
        <f t="shared" si="10"/>
        <v>0</v>
      </c>
      <c r="I81" s="2">
        <f t="shared" ca="1" si="11"/>
        <v>0</v>
      </c>
    </row>
    <row r="82" spans="2:9" x14ac:dyDescent="0.2">
      <c r="B82" s="4">
        <f t="shared" ca="1" si="8"/>
        <v>44119</v>
      </c>
      <c r="C82">
        <f t="shared" si="8"/>
        <v>71</v>
      </c>
      <c r="D82">
        <f t="shared" ca="1" si="9"/>
        <v>5</v>
      </c>
      <c r="E82" s="2">
        <f t="shared" si="12"/>
        <v>0</v>
      </c>
      <c r="F82" s="2">
        <f t="shared" si="13"/>
        <v>0</v>
      </c>
      <c r="G82" s="2">
        <f t="shared" ca="1" si="14"/>
        <v>0.18921384389025064</v>
      </c>
      <c r="H82" s="2">
        <f t="shared" si="10"/>
        <v>0</v>
      </c>
      <c r="I82" s="2">
        <f t="shared" ca="1" si="11"/>
        <v>0</v>
      </c>
    </row>
    <row r="83" spans="2:9" x14ac:dyDescent="0.2">
      <c r="B83" s="4">
        <f t="shared" ca="1" si="8"/>
        <v>44120</v>
      </c>
      <c r="C83">
        <f t="shared" si="8"/>
        <v>72</v>
      </c>
      <c r="D83">
        <f t="shared" ca="1" si="9"/>
        <v>6</v>
      </c>
      <c r="E83" s="2">
        <f t="shared" si="12"/>
        <v>0</v>
      </c>
      <c r="F83" s="2">
        <f t="shared" si="13"/>
        <v>0</v>
      </c>
      <c r="G83" s="2">
        <f t="shared" ca="1" si="14"/>
        <v>0.18921384389025064</v>
      </c>
      <c r="H83" s="2">
        <f t="shared" si="10"/>
        <v>0</v>
      </c>
      <c r="I83" s="2">
        <f t="shared" ca="1" si="11"/>
        <v>0</v>
      </c>
    </row>
    <row r="84" spans="2:9" x14ac:dyDescent="0.2">
      <c r="B84" s="4">
        <f t="shared" ca="1" si="8"/>
        <v>44121</v>
      </c>
      <c r="C84">
        <f t="shared" si="8"/>
        <v>73</v>
      </c>
      <c r="D84">
        <f t="shared" ca="1" si="9"/>
        <v>7</v>
      </c>
      <c r="E84" s="2">
        <f t="shared" si="12"/>
        <v>0</v>
      </c>
      <c r="F84" s="2">
        <f t="shared" si="13"/>
        <v>0</v>
      </c>
      <c r="G84" s="2">
        <f t="shared" ca="1" si="14"/>
        <v>0.18921384389025064</v>
      </c>
      <c r="H84" s="2">
        <f t="shared" si="10"/>
        <v>0</v>
      </c>
      <c r="I84" s="2">
        <f t="shared" ca="1" si="11"/>
        <v>0</v>
      </c>
    </row>
    <row r="85" spans="2:9" x14ac:dyDescent="0.2">
      <c r="B85" s="4">
        <f t="shared" ca="1" si="8"/>
        <v>44122</v>
      </c>
      <c r="C85">
        <f t="shared" si="8"/>
        <v>74</v>
      </c>
      <c r="D85">
        <f t="shared" ca="1" si="9"/>
        <v>1</v>
      </c>
      <c r="E85" s="2">
        <f t="shared" si="12"/>
        <v>0</v>
      </c>
      <c r="F85" s="2">
        <f t="shared" si="13"/>
        <v>0</v>
      </c>
      <c r="G85" s="2">
        <f t="shared" ca="1" si="14"/>
        <v>0.18921384389025064</v>
      </c>
      <c r="H85" s="2">
        <f t="shared" si="10"/>
        <v>0</v>
      </c>
      <c r="I85" s="2">
        <f t="shared" ca="1" si="11"/>
        <v>0</v>
      </c>
    </row>
    <row r="86" spans="2:9" x14ac:dyDescent="0.2">
      <c r="B86" s="4">
        <f t="shared" ca="1" si="8"/>
        <v>44123</v>
      </c>
      <c r="C86">
        <f t="shared" si="8"/>
        <v>75</v>
      </c>
      <c r="D86">
        <f t="shared" ca="1" si="9"/>
        <v>2</v>
      </c>
      <c r="E86" s="2">
        <f t="shared" si="12"/>
        <v>0</v>
      </c>
      <c r="F86" s="2">
        <f t="shared" si="13"/>
        <v>0</v>
      </c>
      <c r="G86" s="2">
        <f t="shared" ca="1" si="14"/>
        <v>0.18921384389025064</v>
      </c>
      <c r="H86" s="2">
        <f t="shared" si="10"/>
        <v>0</v>
      </c>
      <c r="I86" s="2">
        <f t="shared" ca="1" si="11"/>
        <v>0</v>
      </c>
    </row>
    <row r="87" spans="2:9" x14ac:dyDescent="0.2">
      <c r="B87" s="4">
        <f t="shared" ca="1" si="8"/>
        <v>44124</v>
      </c>
      <c r="C87">
        <f t="shared" si="8"/>
        <v>76</v>
      </c>
      <c r="D87">
        <f t="shared" ca="1" si="9"/>
        <v>3</v>
      </c>
      <c r="E87" s="2">
        <f t="shared" si="12"/>
        <v>0</v>
      </c>
      <c r="F87" s="2">
        <f t="shared" si="13"/>
        <v>0</v>
      </c>
      <c r="G87" s="2">
        <f t="shared" ca="1" si="14"/>
        <v>0.18921384389025064</v>
      </c>
      <c r="H87" s="2">
        <f t="shared" si="10"/>
        <v>0</v>
      </c>
      <c r="I87" s="2">
        <f t="shared" ca="1" si="11"/>
        <v>0</v>
      </c>
    </row>
    <row r="88" spans="2:9" x14ac:dyDescent="0.2">
      <c r="B88" s="4">
        <f t="shared" ca="1" si="8"/>
        <v>44125</v>
      </c>
      <c r="C88">
        <f t="shared" si="8"/>
        <v>77</v>
      </c>
      <c r="D88">
        <f t="shared" ca="1" si="9"/>
        <v>4</v>
      </c>
      <c r="E88" s="2">
        <f t="shared" si="12"/>
        <v>0</v>
      </c>
      <c r="F88" s="2">
        <f t="shared" si="13"/>
        <v>0</v>
      </c>
      <c r="G88" s="2">
        <f t="shared" ca="1" si="14"/>
        <v>0.18921384389025064</v>
      </c>
      <c r="H88" s="2">
        <f t="shared" si="10"/>
        <v>0</v>
      </c>
      <c r="I88" s="2">
        <f t="shared" ca="1" si="11"/>
        <v>0</v>
      </c>
    </row>
    <row r="89" spans="2:9" x14ac:dyDescent="0.2">
      <c r="B89" s="4">
        <f t="shared" ca="1" si="8"/>
        <v>44126</v>
      </c>
      <c r="C89">
        <f t="shared" si="8"/>
        <v>78</v>
      </c>
      <c r="D89">
        <f t="shared" ca="1" si="9"/>
        <v>5</v>
      </c>
      <c r="E89" s="2">
        <f t="shared" si="12"/>
        <v>0</v>
      </c>
      <c r="F89" s="2">
        <f t="shared" si="13"/>
        <v>0</v>
      </c>
      <c r="G89" s="2">
        <f t="shared" ca="1" si="14"/>
        <v>0.18921384389025064</v>
      </c>
      <c r="H89" s="2">
        <f t="shared" si="10"/>
        <v>0</v>
      </c>
      <c r="I89" s="2">
        <f t="shared" ca="1" si="11"/>
        <v>0</v>
      </c>
    </row>
    <row r="90" spans="2:9" x14ac:dyDescent="0.2">
      <c r="B90" s="4">
        <f t="shared" ca="1" si="8"/>
        <v>44127</v>
      </c>
      <c r="C90">
        <f t="shared" si="8"/>
        <v>79</v>
      </c>
      <c r="D90">
        <f t="shared" ca="1" si="9"/>
        <v>6</v>
      </c>
      <c r="E90" s="2">
        <f t="shared" si="12"/>
        <v>0</v>
      </c>
      <c r="F90" s="2">
        <f t="shared" si="13"/>
        <v>0</v>
      </c>
      <c r="G90" s="2">
        <f t="shared" ca="1" si="14"/>
        <v>0.18921384389025064</v>
      </c>
      <c r="H90" s="2">
        <f t="shared" si="10"/>
        <v>0</v>
      </c>
      <c r="I90" s="2">
        <f t="shared" ca="1" si="11"/>
        <v>0</v>
      </c>
    </row>
    <row r="91" spans="2:9" x14ac:dyDescent="0.2">
      <c r="B91" s="4">
        <f t="shared" ca="1" si="8"/>
        <v>44128</v>
      </c>
      <c r="C91">
        <f t="shared" si="8"/>
        <v>80</v>
      </c>
      <c r="D91">
        <f t="shared" ca="1" si="9"/>
        <v>7</v>
      </c>
      <c r="E91" s="2">
        <f t="shared" si="12"/>
        <v>0</v>
      </c>
      <c r="F91" s="2">
        <f t="shared" si="13"/>
        <v>0</v>
      </c>
      <c r="G91" s="2">
        <f t="shared" ca="1" si="14"/>
        <v>0.18921384389025064</v>
      </c>
      <c r="H91" s="2">
        <f t="shared" si="10"/>
        <v>0</v>
      </c>
      <c r="I91" s="2">
        <f t="shared" ca="1" si="11"/>
        <v>0</v>
      </c>
    </row>
    <row r="92" spans="2:9" x14ac:dyDescent="0.2">
      <c r="B92" s="4">
        <f t="shared" ref="B92:C155" ca="1" si="15">B91+1</f>
        <v>44129</v>
      </c>
      <c r="C92">
        <f t="shared" si="15"/>
        <v>81</v>
      </c>
      <c r="D92">
        <f t="shared" ca="1" si="9"/>
        <v>1</v>
      </c>
      <c r="E92" s="2">
        <f t="shared" si="12"/>
        <v>0</v>
      </c>
      <c r="F92" s="2">
        <f t="shared" si="13"/>
        <v>0</v>
      </c>
      <c r="G92" s="2">
        <f t="shared" ca="1" si="14"/>
        <v>0.18921384389025064</v>
      </c>
      <c r="H92" s="2">
        <f t="shared" si="10"/>
        <v>0</v>
      </c>
      <c r="I92" s="2">
        <f t="shared" ca="1" si="11"/>
        <v>0</v>
      </c>
    </row>
    <row r="93" spans="2:9" x14ac:dyDescent="0.2">
      <c r="B93" s="4">
        <f t="shared" ca="1" si="15"/>
        <v>44130</v>
      </c>
      <c r="C93">
        <f t="shared" si="15"/>
        <v>82</v>
      </c>
      <c r="D93">
        <f t="shared" ca="1" si="9"/>
        <v>2</v>
      </c>
      <c r="E93" s="2">
        <f t="shared" si="12"/>
        <v>0</v>
      </c>
      <c r="F93" s="2">
        <f t="shared" si="13"/>
        <v>0</v>
      </c>
      <c r="G93" s="2">
        <f t="shared" ca="1" si="14"/>
        <v>0.18921384389025064</v>
      </c>
      <c r="H93" s="2">
        <f t="shared" si="10"/>
        <v>0</v>
      </c>
      <c r="I93" s="2">
        <f t="shared" ca="1" si="11"/>
        <v>0</v>
      </c>
    </row>
    <row r="94" spans="2:9" x14ac:dyDescent="0.2">
      <c r="B94" s="4">
        <f t="shared" ca="1" si="15"/>
        <v>44131</v>
      </c>
      <c r="C94">
        <f t="shared" si="15"/>
        <v>83</v>
      </c>
      <c r="D94">
        <f t="shared" ca="1" si="9"/>
        <v>3</v>
      </c>
      <c r="E94" s="2">
        <f t="shared" si="12"/>
        <v>0</v>
      </c>
      <c r="F94" s="2">
        <f t="shared" si="13"/>
        <v>0</v>
      </c>
      <c r="G94" s="2">
        <f t="shared" ca="1" si="14"/>
        <v>0.18921384389025064</v>
      </c>
      <c r="H94" s="2">
        <f t="shared" si="10"/>
        <v>0</v>
      </c>
      <c r="I94" s="2">
        <f t="shared" ca="1" si="11"/>
        <v>0</v>
      </c>
    </row>
    <row r="95" spans="2:9" x14ac:dyDescent="0.2">
      <c r="B95" s="4">
        <f t="shared" ca="1" si="15"/>
        <v>44132</v>
      </c>
      <c r="C95">
        <f t="shared" si="15"/>
        <v>84</v>
      </c>
      <c r="D95">
        <f t="shared" ca="1" si="9"/>
        <v>4</v>
      </c>
      <c r="E95" s="2">
        <f t="shared" si="12"/>
        <v>0</v>
      </c>
      <c r="F95" s="2">
        <f t="shared" si="13"/>
        <v>0</v>
      </c>
      <c r="G95" s="2">
        <f t="shared" ca="1" si="14"/>
        <v>0.18921384389025064</v>
      </c>
      <c r="H95" s="2">
        <f t="shared" si="10"/>
        <v>0</v>
      </c>
      <c r="I95" s="2">
        <f t="shared" ca="1" si="11"/>
        <v>0</v>
      </c>
    </row>
    <row r="96" spans="2:9" x14ac:dyDescent="0.2">
      <c r="B96" s="4">
        <f t="shared" ca="1" si="15"/>
        <v>44133</v>
      </c>
      <c r="C96">
        <f t="shared" si="15"/>
        <v>85</v>
      </c>
      <c r="D96">
        <f t="shared" ca="1" si="9"/>
        <v>5</v>
      </c>
      <c r="E96" s="2">
        <f t="shared" si="12"/>
        <v>0</v>
      </c>
      <c r="F96" s="2">
        <f t="shared" si="13"/>
        <v>0</v>
      </c>
      <c r="G96" s="2">
        <f t="shared" ca="1" si="14"/>
        <v>0.18921384389025064</v>
      </c>
      <c r="H96" s="2">
        <f t="shared" si="10"/>
        <v>0</v>
      </c>
      <c r="I96" s="2">
        <f t="shared" ca="1" si="11"/>
        <v>0</v>
      </c>
    </row>
    <row r="97" spans="2:9" x14ac:dyDescent="0.2">
      <c r="B97" s="4">
        <f t="shared" ca="1" si="15"/>
        <v>44134</v>
      </c>
      <c r="C97">
        <f t="shared" si="15"/>
        <v>86</v>
      </c>
      <c r="D97">
        <f t="shared" ca="1" si="9"/>
        <v>6</v>
      </c>
      <c r="E97" s="2">
        <f t="shared" si="12"/>
        <v>0</v>
      </c>
      <c r="F97" s="2">
        <f t="shared" si="13"/>
        <v>0</v>
      </c>
      <c r="G97" s="2">
        <f t="shared" ca="1" si="14"/>
        <v>0.18921384389025064</v>
      </c>
      <c r="H97" s="2">
        <f t="shared" si="10"/>
        <v>0</v>
      </c>
      <c r="I97" s="2">
        <f t="shared" ca="1" si="11"/>
        <v>0</v>
      </c>
    </row>
    <row r="98" spans="2:9" x14ac:dyDescent="0.2">
      <c r="B98" s="4">
        <f t="shared" ca="1" si="15"/>
        <v>44135</v>
      </c>
      <c r="C98">
        <f t="shared" si="15"/>
        <v>87</v>
      </c>
      <c r="D98">
        <f t="shared" ca="1" si="9"/>
        <v>7</v>
      </c>
      <c r="E98" s="2">
        <f t="shared" si="12"/>
        <v>0</v>
      </c>
      <c r="F98" s="2">
        <f t="shared" si="13"/>
        <v>0</v>
      </c>
      <c r="G98" s="2">
        <f t="shared" ca="1" si="14"/>
        <v>0.18921384389025064</v>
      </c>
      <c r="H98" s="2">
        <f t="shared" si="10"/>
        <v>0</v>
      </c>
      <c r="I98" s="2">
        <f t="shared" ca="1" si="11"/>
        <v>0</v>
      </c>
    </row>
    <row r="99" spans="2:9" x14ac:dyDescent="0.2">
      <c r="B99" s="4">
        <f t="shared" ca="1" si="15"/>
        <v>44136</v>
      </c>
      <c r="C99">
        <f t="shared" si="15"/>
        <v>88</v>
      </c>
      <c r="D99">
        <f t="shared" ca="1" si="9"/>
        <v>1</v>
      </c>
      <c r="E99" s="2">
        <f t="shared" si="12"/>
        <v>0</v>
      </c>
      <c r="F99" s="2">
        <f t="shared" si="13"/>
        <v>0</v>
      </c>
      <c r="G99" s="2">
        <f t="shared" ca="1" si="14"/>
        <v>0.18921384389025064</v>
      </c>
      <c r="H99" s="2">
        <f t="shared" si="10"/>
        <v>0</v>
      </c>
      <c r="I99" s="2">
        <f t="shared" ca="1" si="11"/>
        <v>0</v>
      </c>
    </row>
    <row r="100" spans="2:9" x14ac:dyDescent="0.2">
      <c r="B100" s="4">
        <f t="shared" ca="1" si="15"/>
        <v>44137</v>
      </c>
      <c r="C100">
        <f t="shared" si="15"/>
        <v>89</v>
      </c>
      <c r="D100">
        <f t="shared" ca="1" si="9"/>
        <v>2</v>
      </c>
      <c r="E100" s="2">
        <f t="shared" si="12"/>
        <v>0</v>
      </c>
      <c r="F100" s="2">
        <f t="shared" si="13"/>
        <v>0</v>
      </c>
      <c r="G100" s="2">
        <f t="shared" ca="1" si="14"/>
        <v>0.18921384389025064</v>
      </c>
      <c r="H100" s="2">
        <f t="shared" si="10"/>
        <v>0</v>
      </c>
      <c r="I100" s="2">
        <f t="shared" ca="1" si="11"/>
        <v>0</v>
      </c>
    </row>
    <row r="101" spans="2:9" x14ac:dyDescent="0.2">
      <c r="B101" s="4">
        <f t="shared" ca="1" si="15"/>
        <v>44138</v>
      </c>
      <c r="C101">
        <f t="shared" si="15"/>
        <v>90</v>
      </c>
      <c r="D101">
        <f t="shared" ca="1" si="9"/>
        <v>3</v>
      </c>
      <c r="E101" s="2">
        <f t="shared" si="12"/>
        <v>0</v>
      </c>
      <c r="F101" s="2">
        <f t="shared" si="13"/>
        <v>0</v>
      </c>
      <c r="G101" s="2">
        <f t="shared" ca="1" si="14"/>
        <v>0.18921384389025064</v>
      </c>
      <c r="H101" s="2">
        <f t="shared" si="10"/>
        <v>0</v>
      </c>
      <c r="I101" s="2">
        <f t="shared" ca="1" si="11"/>
        <v>0</v>
      </c>
    </row>
    <row r="102" spans="2:9" x14ac:dyDescent="0.2">
      <c r="B102" s="4">
        <f t="shared" ca="1" si="15"/>
        <v>44139</v>
      </c>
      <c r="C102">
        <f t="shared" si="15"/>
        <v>91</v>
      </c>
      <c r="D102">
        <f t="shared" ca="1" si="9"/>
        <v>4</v>
      </c>
      <c r="E102" s="2">
        <f t="shared" si="12"/>
        <v>0</v>
      </c>
      <c r="F102" s="2">
        <f t="shared" si="13"/>
        <v>0</v>
      </c>
      <c r="G102" s="2">
        <f t="shared" ca="1" si="14"/>
        <v>0.18921384389025064</v>
      </c>
      <c r="H102" s="2">
        <f t="shared" si="10"/>
        <v>0</v>
      </c>
      <c r="I102" s="2">
        <f t="shared" ca="1" si="11"/>
        <v>0</v>
      </c>
    </row>
    <row r="103" spans="2:9" x14ac:dyDescent="0.2">
      <c r="B103" s="4">
        <f t="shared" ca="1" si="15"/>
        <v>44140</v>
      </c>
      <c r="C103">
        <f t="shared" si="15"/>
        <v>92</v>
      </c>
      <c r="D103">
        <f t="shared" ca="1" si="9"/>
        <v>5</v>
      </c>
      <c r="E103" s="2">
        <f t="shared" si="12"/>
        <v>0</v>
      </c>
      <c r="F103" s="2">
        <f t="shared" si="13"/>
        <v>0</v>
      </c>
      <c r="G103" s="2">
        <f t="shared" ca="1" si="14"/>
        <v>0.18921384389025064</v>
      </c>
      <c r="H103" s="2">
        <f t="shared" si="10"/>
        <v>0</v>
      </c>
      <c r="I103" s="2">
        <f t="shared" ca="1" si="11"/>
        <v>0</v>
      </c>
    </row>
    <row r="104" spans="2:9" x14ac:dyDescent="0.2">
      <c r="B104" s="4">
        <f t="shared" ca="1" si="15"/>
        <v>44141</v>
      </c>
      <c r="C104">
        <f t="shared" si="15"/>
        <v>93</v>
      </c>
      <c r="D104">
        <f t="shared" ca="1" si="9"/>
        <v>6</v>
      </c>
      <c r="E104" s="2">
        <f t="shared" si="12"/>
        <v>0</v>
      </c>
      <c r="F104" s="2">
        <f t="shared" si="13"/>
        <v>0</v>
      </c>
      <c r="G104" s="2">
        <f t="shared" ca="1" si="14"/>
        <v>0.18921384389025064</v>
      </c>
      <c r="H104" s="2">
        <f t="shared" si="10"/>
        <v>0</v>
      </c>
      <c r="I104" s="2">
        <f t="shared" ca="1" si="11"/>
        <v>0</v>
      </c>
    </row>
    <row r="105" spans="2:9" x14ac:dyDescent="0.2">
      <c r="B105" s="4">
        <f t="shared" ca="1" si="15"/>
        <v>44142</v>
      </c>
      <c r="C105">
        <f t="shared" si="15"/>
        <v>94</v>
      </c>
      <c r="D105">
        <f t="shared" ca="1" si="9"/>
        <v>7</v>
      </c>
      <c r="E105" s="2">
        <f t="shared" si="12"/>
        <v>0</v>
      </c>
      <c r="F105" s="2">
        <f t="shared" si="13"/>
        <v>0</v>
      </c>
      <c r="G105" s="2">
        <f t="shared" ca="1" si="14"/>
        <v>0.18921384389025064</v>
      </c>
      <c r="H105" s="2">
        <f t="shared" si="10"/>
        <v>0</v>
      </c>
      <c r="I105" s="2">
        <f t="shared" ca="1" si="11"/>
        <v>0</v>
      </c>
    </row>
    <row r="106" spans="2:9" x14ac:dyDescent="0.2">
      <c r="B106" s="4">
        <f t="shared" ca="1" si="15"/>
        <v>44143</v>
      </c>
      <c r="C106">
        <f t="shared" si="15"/>
        <v>95</v>
      </c>
      <c r="D106">
        <f t="shared" ca="1" si="9"/>
        <v>1</v>
      </c>
      <c r="E106" s="2">
        <f t="shared" si="12"/>
        <v>0</v>
      </c>
      <c r="F106" s="2">
        <f t="shared" si="13"/>
        <v>0</v>
      </c>
      <c r="G106" s="2">
        <f t="shared" ca="1" si="14"/>
        <v>0.18921384389025064</v>
      </c>
      <c r="H106" s="2">
        <f t="shared" si="10"/>
        <v>0</v>
      </c>
      <c r="I106" s="2">
        <f t="shared" ca="1" si="11"/>
        <v>0</v>
      </c>
    </row>
    <row r="107" spans="2:9" x14ac:dyDescent="0.2">
      <c r="B107" s="4">
        <f t="shared" ca="1" si="15"/>
        <v>44144</v>
      </c>
      <c r="C107">
        <f t="shared" si="15"/>
        <v>96</v>
      </c>
      <c r="D107">
        <f t="shared" ca="1" si="9"/>
        <v>2</v>
      </c>
      <c r="E107" s="2">
        <f t="shared" si="12"/>
        <v>0</v>
      </c>
      <c r="F107" s="2">
        <f t="shared" si="13"/>
        <v>0</v>
      </c>
      <c r="G107" s="2">
        <f t="shared" ca="1" si="14"/>
        <v>0.18921384389025064</v>
      </c>
      <c r="H107" s="2">
        <f t="shared" si="10"/>
        <v>0</v>
      </c>
      <c r="I107" s="2">
        <f t="shared" ca="1" si="11"/>
        <v>0</v>
      </c>
    </row>
    <row r="108" spans="2:9" x14ac:dyDescent="0.2">
      <c r="B108" s="4">
        <f t="shared" ca="1" si="15"/>
        <v>44145</v>
      </c>
      <c r="C108">
        <f t="shared" si="15"/>
        <v>97</v>
      </c>
      <c r="D108">
        <f t="shared" ca="1" si="9"/>
        <v>3</v>
      </c>
      <c r="E108" s="2">
        <f t="shared" si="12"/>
        <v>0</v>
      </c>
      <c r="F108" s="2">
        <f t="shared" si="13"/>
        <v>0</v>
      </c>
      <c r="G108" s="2">
        <f t="shared" ca="1" si="14"/>
        <v>0.18921384389025064</v>
      </c>
      <c r="H108" s="2">
        <f t="shared" si="10"/>
        <v>0</v>
      </c>
      <c r="I108" s="2">
        <f t="shared" ca="1" si="11"/>
        <v>0</v>
      </c>
    </row>
    <row r="109" spans="2:9" x14ac:dyDescent="0.2">
      <c r="B109" s="4">
        <f t="shared" ca="1" si="15"/>
        <v>44146</v>
      </c>
      <c r="C109">
        <f t="shared" si="15"/>
        <v>98</v>
      </c>
      <c r="D109">
        <f t="shared" ca="1" si="9"/>
        <v>4</v>
      </c>
      <c r="E109" s="2">
        <f t="shared" si="12"/>
        <v>0</v>
      </c>
      <c r="F109" s="2">
        <f t="shared" si="13"/>
        <v>0</v>
      </c>
      <c r="G109" s="2">
        <f t="shared" ca="1" si="14"/>
        <v>0.18921384389025064</v>
      </c>
      <c r="H109" s="2">
        <f t="shared" si="10"/>
        <v>0</v>
      </c>
      <c r="I109" s="2">
        <f t="shared" ca="1" si="11"/>
        <v>0</v>
      </c>
    </row>
    <row r="110" spans="2:9" x14ac:dyDescent="0.2">
      <c r="B110" s="4">
        <f t="shared" ca="1" si="15"/>
        <v>44147</v>
      </c>
      <c r="C110">
        <f t="shared" si="15"/>
        <v>99</v>
      </c>
      <c r="D110">
        <f t="shared" ca="1" si="9"/>
        <v>5</v>
      </c>
      <c r="E110" s="2">
        <f t="shared" si="12"/>
        <v>0</v>
      </c>
      <c r="F110" s="2">
        <f t="shared" si="13"/>
        <v>0</v>
      </c>
      <c r="G110" s="2">
        <f t="shared" ca="1" si="14"/>
        <v>0.18921384389025064</v>
      </c>
      <c r="H110" s="2">
        <f t="shared" si="10"/>
        <v>0</v>
      </c>
      <c r="I110" s="2">
        <f t="shared" ca="1" si="11"/>
        <v>0</v>
      </c>
    </row>
    <row r="111" spans="2:9" x14ac:dyDescent="0.2">
      <c r="B111" s="4">
        <f t="shared" ca="1" si="15"/>
        <v>44148</v>
      </c>
      <c r="C111">
        <f t="shared" si="15"/>
        <v>100</v>
      </c>
      <c r="D111">
        <f t="shared" ca="1" si="9"/>
        <v>6</v>
      </c>
      <c r="E111" s="2">
        <f t="shared" si="12"/>
        <v>0</v>
      </c>
      <c r="F111" s="2">
        <f t="shared" si="13"/>
        <v>0</v>
      </c>
      <c r="G111" s="2">
        <f t="shared" ca="1" si="14"/>
        <v>0.18921384389025064</v>
      </c>
      <c r="H111" s="2">
        <f t="shared" si="10"/>
        <v>0</v>
      </c>
      <c r="I111" s="2">
        <f t="shared" ca="1" si="11"/>
        <v>0</v>
      </c>
    </row>
    <row r="112" spans="2:9" x14ac:dyDescent="0.2">
      <c r="B112" s="4">
        <f t="shared" ca="1" si="15"/>
        <v>44149</v>
      </c>
      <c r="C112">
        <f t="shared" si="15"/>
        <v>101</v>
      </c>
      <c r="D112">
        <f t="shared" ca="1" si="9"/>
        <v>7</v>
      </c>
      <c r="E112" s="2">
        <f t="shared" si="12"/>
        <v>0</v>
      </c>
      <c r="F112" s="2">
        <f t="shared" si="13"/>
        <v>0</v>
      </c>
      <c r="G112" s="2">
        <f t="shared" ca="1" si="14"/>
        <v>0.18921384389025064</v>
      </c>
      <c r="H112" s="2">
        <f t="shared" si="10"/>
        <v>0</v>
      </c>
      <c r="I112" s="2">
        <f t="shared" ca="1" si="11"/>
        <v>0</v>
      </c>
    </row>
    <row r="113" spans="2:9" x14ac:dyDescent="0.2">
      <c r="B113" s="4">
        <f t="shared" ca="1" si="15"/>
        <v>44150</v>
      </c>
      <c r="C113">
        <f t="shared" si="15"/>
        <v>102</v>
      </c>
      <c r="D113">
        <f t="shared" ca="1" si="9"/>
        <v>1</v>
      </c>
      <c r="E113" s="2">
        <f t="shared" si="12"/>
        <v>0</v>
      </c>
      <c r="F113" s="2">
        <f t="shared" si="13"/>
        <v>0</v>
      </c>
      <c r="G113" s="2">
        <f t="shared" ca="1" si="14"/>
        <v>0.18921384389025064</v>
      </c>
      <c r="H113" s="2">
        <f t="shared" si="10"/>
        <v>0</v>
      </c>
      <c r="I113" s="2">
        <f t="shared" ca="1" si="11"/>
        <v>0</v>
      </c>
    </row>
    <row r="114" spans="2:9" x14ac:dyDescent="0.2">
      <c r="B114" s="4">
        <f t="shared" ca="1" si="15"/>
        <v>44151</v>
      </c>
      <c r="C114">
        <f t="shared" si="15"/>
        <v>103</v>
      </c>
      <c r="D114">
        <f t="shared" ca="1" si="9"/>
        <v>2</v>
      </c>
      <c r="E114" s="2">
        <f t="shared" si="12"/>
        <v>0</v>
      </c>
      <c r="F114" s="2">
        <f t="shared" si="13"/>
        <v>0</v>
      </c>
      <c r="G114" s="2">
        <f t="shared" ca="1" si="14"/>
        <v>0.18921384389025064</v>
      </c>
      <c r="H114" s="2">
        <f t="shared" si="10"/>
        <v>0</v>
      </c>
      <c r="I114" s="2">
        <f t="shared" ca="1" si="11"/>
        <v>0</v>
      </c>
    </row>
    <row r="115" spans="2:9" x14ac:dyDescent="0.2">
      <c r="B115" s="4">
        <f t="shared" ca="1" si="15"/>
        <v>44152</v>
      </c>
      <c r="C115">
        <f t="shared" si="15"/>
        <v>104</v>
      </c>
      <c r="D115">
        <f t="shared" ca="1" si="9"/>
        <v>3</v>
      </c>
      <c r="E115" s="2">
        <f t="shared" si="12"/>
        <v>0</v>
      </c>
      <c r="F115" s="2">
        <f t="shared" si="13"/>
        <v>0</v>
      </c>
      <c r="G115" s="2">
        <f t="shared" ca="1" si="14"/>
        <v>0.18921384389025064</v>
      </c>
      <c r="H115" s="2">
        <f t="shared" si="10"/>
        <v>0</v>
      </c>
      <c r="I115" s="2">
        <f t="shared" ca="1" si="11"/>
        <v>0</v>
      </c>
    </row>
    <row r="116" spans="2:9" x14ac:dyDescent="0.2">
      <c r="B116" s="4">
        <f t="shared" ca="1" si="15"/>
        <v>44153</v>
      </c>
      <c r="C116">
        <f t="shared" si="15"/>
        <v>105</v>
      </c>
      <c r="D116">
        <f t="shared" ca="1" si="9"/>
        <v>4</v>
      </c>
      <c r="E116" s="2">
        <f t="shared" si="12"/>
        <v>0</v>
      </c>
      <c r="F116" s="2">
        <f t="shared" si="13"/>
        <v>0</v>
      </c>
      <c r="G116" s="2">
        <f t="shared" ca="1" si="14"/>
        <v>0.18921384389025064</v>
      </c>
      <c r="H116" s="2">
        <f t="shared" si="10"/>
        <v>0</v>
      </c>
      <c r="I116" s="2">
        <f t="shared" ca="1" si="11"/>
        <v>0</v>
      </c>
    </row>
    <row r="117" spans="2:9" x14ac:dyDescent="0.2">
      <c r="B117" s="4">
        <f t="shared" ca="1" si="15"/>
        <v>44154</v>
      </c>
      <c r="C117">
        <f t="shared" si="15"/>
        <v>106</v>
      </c>
      <c r="D117">
        <f t="shared" ca="1" si="9"/>
        <v>5</v>
      </c>
      <c r="E117" s="2">
        <f t="shared" si="12"/>
        <v>0</v>
      </c>
      <c r="F117" s="2">
        <f t="shared" si="13"/>
        <v>0</v>
      </c>
      <c r="G117" s="2">
        <f t="shared" ca="1" si="14"/>
        <v>0.18921384389025064</v>
      </c>
      <c r="H117" s="2">
        <f t="shared" si="10"/>
        <v>0</v>
      </c>
      <c r="I117" s="2">
        <f t="shared" ca="1" si="11"/>
        <v>0</v>
      </c>
    </row>
    <row r="118" spans="2:9" x14ac:dyDescent="0.2">
      <c r="B118" s="4">
        <f t="shared" ca="1" si="15"/>
        <v>44155</v>
      </c>
      <c r="C118">
        <f t="shared" si="15"/>
        <v>107</v>
      </c>
      <c r="D118">
        <f t="shared" ca="1" si="9"/>
        <v>6</v>
      </c>
      <c r="E118" s="2">
        <f t="shared" si="12"/>
        <v>0</v>
      </c>
      <c r="F118" s="2">
        <f t="shared" si="13"/>
        <v>0</v>
      </c>
      <c r="G118" s="2">
        <f t="shared" ca="1" si="14"/>
        <v>0.18921384389025064</v>
      </c>
      <c r="H118" s="2">
        <f t="shared" si="10"/>
        <v>0</v>
      </c>
      <c r="I118" s="2">
        <f t="shared" ca="1" si="11"/>
        <v>0</v>
      </c>
    </row>
    <row r="119" spans="2:9" x14ac:dyDescent="0.2">
      <c r="B119" s="4">
        <f t="shared" ca="1" si="15"/>
        <v>44156</v>
      </c>
      <c r="C119">
        <f t="shared" si="15"/>
        <v>108</v>
      </c>
      <c r="D119">
        <f t="shared" ca="1" si="9"/>
        <v>7</v>
      </c>
      <c r="E119" s="2">
        <f t="shared" si="12"/>
        <v>0</v>
      </c>
      <c r="F119" s="2">
        <f t="shared" si="13"/>
        <v>0</v>
      </c>
      <c r="G119" s="2">
        <f t="shared" ca="1" si="14"/>
        <v>0.18921384389025064</v>
      </c>
      <c r="H119" s="2">
        <f t="shared" si="10"/>
        <v>0</v>
      </c>
      <c r="I119" s="2">
        <f t="shared" ca="1" si="11"/>
        <v>0</v>
      </c>
    </row>
    <row r="120" spans="2:9" x14ac:dyDescent="0.2">
      <c r="B120" s="4">
        <f t="shared" ca="1" si="15"/>
        <v>44157</v>
      </c>
      <c r="C120">
        <f t="shared" si="15"/>
        <v>109</v>
      </c>
      <c r="D120">
        <f t="shared" ca="1" si="9"/>
        <v>1</v>
      </c>
      <c r="E120" s="2">
        <f t="shared" si="12"/>
        <v>0</v>
      </c>
      <c r="F120" s="2">
        <f t="shared" si="13"/>
        <v>0</v>
      </c>
      <c r="G120" s="2">
        <f t="shared" ca="1" si="14"/>
        <v>0.18921384389025064</v>
      </c>
      <c r="H120" s="2">
        <f t="shared" si="10"/>
        <v>0</v>
      </c>
      <c r="I120" s="2">
        <f t="shared" ca="1" si="11"/>
        <v>0</v>
      </c>
    </row>
    <row r="121" spans="2:9" x14ac:dyDescent="0.2">
      <c r="B121" s="4">
        <f t="shared" ca="1" si="15"/>
        <v>44158</v>
      </c>
      <c r="C121">
        <f t="shared" si="15"/>
        <v>110</v>
      </c>
      <c r="D121">
        <f t="shared" ca="1" si="9"/>
        <v>2</v>
      </c>
      <c r="E121" s="2">
        <f t="shared" si="12"/>
        <v>0</v>
      </c>
      <c r="F121" s="2">
        <f t="shared" si="13"/>
        <v>0</v>
      </c>
      <c r="G121" s="2">
        <f t="shared" ca="1" si="14"/>
        <v>0.18921384389025064</v>
      </c>
      <c r="H121" s="2">
        <f t="shared" si="10"/>
        <v>0</v>
      </c>
      <c r="I121" s="2">
        <f t="shared" ca="1" si="11"/>
        <v>0</v>
      </c>
    </row>
    <row r="122" spans="2:9" x14ac:dyDescent="0.2">
      <c r="B122" s="4">
        <f t="shared" ca="1" si="15"/>
        <v>44159</v>
      </c>
      <c r="C122">
        <f t="shared" si="15"/>
        <v>111</v>
      </c>
      <c r="D122">
        <f t="shared" ca="1" si="9"/>
        <v>3</v>
      </c>
      <c r="E122" s="2">
        <f t="shared" si="12"/>
        <v>0</v>
      </c>
      <c r="F122" s="2">
        <f t="shared" si="13"/>
        <v>0</v>
      </c>
      <c r="G122" s="2">
        <f t="shared" ca="1" si="14"/>
        <v>0.18921384389025064</v>
      </c>
      <c r="H122" s="2">
        <f t="shared" si="10"/>
        <v>0</v>
      </c>
      <c r="I122" s="2">
        <f t="shared" ca="1" si="11"/>
        <v>0</v>
      </c>
    </row>
    <row r="123" spans="2:9" x14ac:dyDescent="0.2">
      <c r="B123" s="4">
        <f t="shared" ca="1" si="15"/>
        <v>44160</v>
      </c>
      <c r="C123">
        <f t="shared" si="15"/>
        <v>112</v>
      </c>
      <c r="D123">
        <f t="shared" ca="1" si="9"/>
        <v>4</v>
      </c>
      <c r="E123" s="2">
        <f t="shared" si="12"/>
        <v>0</v>
      </c>
      <c r="F123" s="2">
        <f t="shared" si="13"/>
        <v>0</v>
      </c>
      <c r="G123" s="2">
        <f t="shared" ca="1" si="14"/>
        <v>0.18921384389025064</v>
      </c>
      <c r="H123" s="2">
        <f t="shared" si="10"/>
        <v>0</v>
      </c>
      <c r="I123" s="2">
        <f t="shared" ca="1" si="11"/>
        <v>0</v>
      </c>
    </row>
    <row r="124" spans="2:9" x14ac:dyDescent="0.2">
      <c r="B124" s="4">
        <f t="shared" ca="1" si="15"/>
        <v>44161</v>
      </c>
      <c r="C124">
        <f t="shared" si="15"/>
        <v>113</v>
      </c>
      <c r="D124">
        <f t="shared" ca="1" si="9"/>
        <v>5</v>
      </c>
      <c r="E124" s="2">
        <f t="shared" si="12"/>
        <v>0</v>
      </c>
      <c r="F124" s="2">
        <f t="shared" si="13"/>
        <v>0</v>
      </c>
      <c r="G124" s="2">
        <f t="shared" ca="1" si="14"/>
        <v>0.18921384389025064</v>
      </c>
      <c r="H124" s="2">
        <f t="shared" si="10"/>
        <v>0</v>
      </c>
      <c r="I124" s="2">
        <f t="shared" ca="1" si="11"/>
        <v>0</v>
      </c>
    </row>
    <row r="125" spans="2:9" x14ac:dyDescent="0.2">
      <c r="B125" s="4">
        <f t="shared" ca="1" si="15"/>
        <v>44162</v>
      </c>
      <c r="C125">
        <f t="shared" si="15"/>
        <v>114</v>
      </c>
      <c r="D125">
        <f t="shared" ca="1" si="9"/>
        <v>6</v>
      </c>
      <c r="E125" s="2">
        <f t="shared" si="12"/>
        <v>0</v>
      </c>
      <c r="F125" s="2">
        <f t="shared" si="13"/>
        <v>0</v>
      </c>
      <c r="G125" s="2">
        <f t="shared" ca="1" si="14"/>
        <v>0.18921384389025064</v>
      </c>
      <c r="H125" s="2">
        <f t="shared" si="10"/>
        <v>0</v>
      </c>
      <c r="I125" s="2">
        <f t="shared" ca="1" si="11"/>
        <v>0</v>
      </c>
    </row>
    <row r="126" spans="2:9" x14ac:dyDescent="0.2">
      <c r="B126" s="4">
        <f t="shared" ca="1" si="15"/>
        <v>44163</v>
      </c>
      <c r="C126">
        <f t="shared" si="15"/>
        <v>115</v>
      </c>
      <c r="D126">
        <f t="shared" ca="1" si="9"/>
        <v>7</v>
      </c>
      <c r="E126" s="2">
        <f t="shared" si="12"/>
        <v>0</v>
      </c>
      <c r="F126" s="2">
        <f t="shared" si="13"/>
        <v>0</v>
      </c>
      <c r="G126" s="2">
        <f t="shared" ca="1" si="14"/>
        <v>0.18921384389025064</v>
      </c>
      <c r="H126" s="2">
        <f t="shared" si="10"/>
        <v>0</v>
      </c>
      <c r="I126" s="2">
        <f t="shared" ca="1" si="11"/>
        <v>0</v>
      </c>
    </row>
    <row r="127" spans="2:9" x14ac:dyDescent="0.2">
      <c r="B127" s="4">
        <f t="shared" ca="1" si="15"/>
        <v>44164</v>
      </c>
      <c r="C127">
        <f t="shared" si="15"/>
        <v>116</v>
      </c>
      <c r="D127">
        <f t="shared" ca="1" si="9"/>
        <v>1</v>
      </c>
      <c r="E127" s="2">
        <f t="shared" si="12"/>
        <v>0</v>
      </c>
      <c r="F127" s="2">
        <f t="shared" si="13"/>
        <v>0</v>
      </c>
      <c r="G127" s="2">
        <f t="shared" ca="1" si="14"/>
        <v>0.18921384389025064</v>
      </c>
      <c r="H127" s="2">
        <f t="shared" si="10"/>
        <v>0</v>
      </c>
      <c r="I127" s="2">
        <f t="shared" ca="1" si="11"/>
        <v>0</v>
      </c>
    </row>
    <row r="128" spans="2:9" x14ac:dyDescent="0.2">
      <c r="B128" s="4">
        <f t="shared" ca="1" si="15"/>
        <v>44165</v>
      </c>
      <c r="C128">
        <f t="shared" si="15"/>
        <v>117</v>
      </c>
      <c r="D128">
        <f t="shared" ca="1" si="9"/>
        <v>2</v>
      </c>
      <c r="E128" s="2">
        <f t="shared" si="12"/>
        <v>0</v>
      </c>
      <c r="F128" s="2">
        <f t="shared" si="13"/>
        <v>0</v>
      </c>
      <c r="G128" s="2">
        <f t="shared" ca="1" si="14"/>
        <v>0.18921384389025064</v>
      </c>
      <c r="H128" s="2">
        <f t="shared" si="10"/>
        <v>0</v>
      </c>
      <c r="I128" s="2">
        <f t="shared" ca="1" si="11"/>
        <v>0</v>
      </c>
    </row>
    <row r="129" spans="2:9" x14ac:dyDescent="0.2">
      <c r="B129" s="4">
        <f t="shared" ca="1" si="15"/>
        <v>44166</v>
      </c>
      <c r="C129">
        <f t="shared" si="15"/>
        <v>118</v>
      </c>
      <c r="D129">
        <f t="shared" ca="1" si="9"/>
        <v>3</v>
      </c>
      <c r="E129" s="2">
        <f t="shared" si="12"/>
        <v>0</v>
      </c>
      <c r="F129" s="2">
        <f t="shared" si="13"/>
        <v>0</v>
      </c>
      <c r="G129" s="2">
        <f t="shared" ca="1" si="14"/>
        <v>0.18921384389025064</v>
      </c>
      <c r="H129" s="2">
        <f t="shared" si="10"/>
        <v>0</v>
      </c>
      <c r="I129" s="2">
        <f t="shared" ca="1" si="11"/>
        <v>0</v>
      </c>
    </row>
    <row r="130" spans="2:9" x14ac:dyDescent="0.2">
      <c r="B130" s="4">
        <f t="shared" ca="1" si="15"/>
        <v>44167</v>
      </c>
      <c r="C130">
        <f t="shared" si="15"/>
        <v>119</v>
      </c>
      <c r="D130">
        <f t="shared" ca="1" si="9"/>
        <v>4</v>
      </c>
      <c r="E130" s="2">
        <f t="shared" si="12"/>
        <v>0</v>
      </c>
      <c r="F130" s="2">
        <f t="shared" si="13"/>
        <v>0</v>
      </c>
      <c r="G130" s="2">
        <f t="shared" ca="1" si="14"/>
        <v>0.18921384389025064</v>
      </c>
      <c r="H130" s="2">
        <f t="shared" si="10"/>
        <v>0</v>
      </c>
      <c r="I130" s="2">
        <f t="shared" ca="1" si="11"/>
        <v>0</v>
      </c>
    </row>
    <row r="131" spans="2:9" x14ac:dyDescent="0.2">
      <c r="B131" s="4">
        <f t="shared" ca="1" si="15"/>
        <v>44168</v>
      </c>
      <c r="C131">
        <f t="shared" si="15"/>
        <v>120</v>
      </c>
      <c r="D131">
        <f t="shared" ca="1" si="9"/>
        <v>5</v>
      </c>
      <c r="E131" s="2">
        <f t="shared" si="12"/>
        <v>0</v>
      </c>
      <c r="F131" s="2">
        <f t="shared" si="13"/>
        <v>0</v>
      </c>
      <c r="G131" s="2">
        <f t="shared" ca="1" si="14"/>
        <v>0.18921384389025064</v>
      </c>
      <c r="H131" s="2">
        <f t="shared" si="10"/>
        <v>0</v>
      </c>
      <c r="I131" s="2">
        <f t="shared" ca="1" si="11"/>
        <v>0</v>
      </c>
    </row>
    <row r="132" spans="2:9" x14ac:dyDescent="0.2">
      <c r="B132" s="4">
        <f t="shared" ca="1" si="15"/>
        <v>44169</v>
      </c>
      <c r="C132">
        <f t="shared" si="15"/>
        <v>121</v>
      </c>
      <c r="D132">
        <f t="shared" ca="1" si="9"/>
        <v>6</v>
      </c>
      <c r="E132" s="2">
        <f t="shared" si="12"/>
        <v>0</v>
      </c>
      <c r="F132" s="2">
        <f t="shared" si="13"/>
        <v>0</v>
      </c>
      <c r="G132" s="2">
        <f t="shared" ca="1" si="14"/>
        <v>0.18921384389025064</v>
      </c>
      <c r="H132" s="2">
        <f t="shared" si="10"/>
        <v>0</v>
      </c>
      <c r="I132" s="2">
        <f t="shared" ca="1" si="11"/>
        <v>0</v>
      </c>
    </row>
    <row r="133" spans="2:9" x14ac:dyDescent="0.2">
      <c r="B133" s="4">
        <f t="shared" ca="1" si="15"/>
        <v>44170</v>
      </c>
      <c r="C133">
        <f t="shared" si="15"/>
        <v>122</v>
      </c>
      <c r="D133">
        <f t="shared" ca="1" si="9"/>
        <v>7</v>
      </c>
      <c r="E133" s="2">
        <f t="shared" si="12"/>
        <v>0</v>
      </c>
      <c r="F133" s="2">
        <f t="shared" si="13"/>
        <v>0</v>
      </c>
      <c r="G133" s="2">
        <f t="shared" ca="1" si="14"/>
        <v>0.18921384389025064</v>
      </c>
      <c r="H133" s="2">
        <f t="shared" si="10"/>
        <v>0</v>
      </c>
      <c r="I133" s="2">
        <f t="shared" ca="1" si="11"/>
        <v>0</v>
      </c>
    </row>
    <row r="134" spans="2:9" x14ac:dyDescent="0.2">
      <c r="B134" s="4">
        <f t="shared" ca="1" si="15"/>
        <v>44171</v>
      </c>
      <c r="C134">
        <f t="shared" si="15"/>
        <v>123</v>
      </c>
      <c r="D134">
        <f t="shared" ca="1" si="9"/>
        <v>1</v>
      </c>
      <c r="E134" s="2">
        <f t="shared" si="12"/>
        <v>0</v>
      </c>
      <c r="F134" s="2">
        <f t="shared" si="13"/>
        <v>0</v>
      </c>
      <c r="G134" s="2">
        <f t="shared" ca="1" si="14"/>
        <v>0.18921384389025064</v>
      </c>
      <c r="H134" s="2">
        <f t="shared" si="10"/>
        <v>0</v>
      </c>
      <c r="I134" s="2">
        <f t="shared" ca="1" si="11"/>
        <v>0</v>
      </c>
    </row>
    <row r="135" spans="2:9" x14ac:dyDescent="0.2">
      <c r="B135" s="4">
        <f t="shared" ca="1" si="15"/>
        <v>44172</v>
      </c>
      <c r="C135">
        <f t="shared" si="15"/>
        <v>124</v>
      </c>
      <c r="D135">
        <f t="shared" ca="1" si="9"/>
        <v>2</v>
      </c>
      <c r="E135" s="2">
        <f t="shared" si="12"/>
        <v>0</v>
      </c>
      <c r="F135" s="2">
        <f t="shared" si="13"/>
        <v>0</v>
      </c>
      <c r="G135" s="2">
        <f t="shared" ca="1" si="14"/>
        <v>0.18921384389025064</v>
      </c>
      <c r="H135" s="2">
        <f t="shared" si="10"/>
        <v>0</v>
      </c>
      <c r="I135" s="2">
        <f t="shared" ca="1" si="11"/>
        <v>0</v>
      </c>
    </row>
    <row r="136" spans="2:9" x14ac:dyDescent="0.2">
      <c r="B136" s="4">
        <f t="shared" ca="1" si="15"/>
        <v>44173</v>
      </c>
      <c r="C136">
        <f t="shared" si="15"/>
        <v>125</v>
      </c>
      <c r="D136">
        <f t="shared" ca="1" si="9"/>
        <v>3</v>
      </c>
      <c r="E136" s="2">
        <f t="shared" si="12"/>
        <v>0</v>
      </c>
      <c r="F136" s="2">
        <f t="shared" si="13"/>
        <v>0</v>
      </c>
      <c r="G136" s="2">
        <f t="shared" ca="1" si="14"/>
        <v>0.18921384389025064</v>
      </c>
      <c r="H136" s="2">
        <f t="shared" si="10"/>
        <v>0</v>
      </c>
      <c r="I136" s="2">
        <f t="shared" ca="1" si="11"/>
        <v>0</v>
      </c>
    </row>
    <row r="137" spans="2:9" x14ac:dyDescent="0.2">
      <c r="B137" s="4">
        <f t="shared" ca="1" si="15"/>
        <v>44174</v>
      </c>
      <c r="C137">
        <f t="shared" si="15"/>
        <v>126</v>
      </c>
      <c r="D137">
        <f t="shared" ca="1" si="9"/>
        <v>4</v>
      </c>
      <c r="E137" s="2">
        <f t="shared" si="12"/>
        <v>0</v>
      </c>
      <c r="F137" s="2">
        <f t="shared" si="13"/>
        <v>0</v>
      </c>
      <c r="G137" s="2">
        <f t="shared" ca="1" si="14"/>
        <v>0.18921384389025064</v>
      </c>
      <c r="H137" s="2">
        <f t="shared" si="10"/>
        <v>0</v>
      </c>
      <c r="I137" s="2">
        <f t="shared" ca="1" si="11"/>
        <v>0</v>
      </c>
    </row>
    <row r="138" spans="2:9" x14ac:dyDescent="0.2">
      <c r="B138" s="4">
        <f t="shared" ca="1" si="15"/>
        <v>44175</v>
      </c>
      <c r="C138">
        <f t="shared" si="15"/>
        <v>127</v>
      </c>
      <c r="D138">
        <f t="shared" ca="1" si="9"/>
        <v>5</v>
      </c>
      <c r="E138" s="2">
        <f t="shared" si="12"/>
        <v>0</v>
      </c>
      <c r="F138" s="2">
        <f t="shared" si="13"/>
        <v>0</v>
      </c>
      <c r="G138" s="2">
        <f t="shared" ca="1" si="14"/>
        <v>0.18921384389025064</v>
      </c>
      <c r="H138" s="2">
        <f t="shared" si="10"/>
        <v>0</v>
      </c>
      <c r="I138" s="2">
        <f t="shared" ca="1" si="11"/>
        <v>0</v>
      </c>
    </row>
    <row r="139" spans="2:9" x14ac:dyDescent="0.2">
      <c r="B139" s="4">
        <f t="shared" ca="1" si="15"/>
        <v>44176</v>
      </c>
      <c r="C139">
        <f t="shared" si="15"/>
        <v>128</v>
      </c>
      <c r="D139">
        <f t="shared" ca="1" si="9"/>
        <v>6</v>
      </c>
      <c r="E139" s="2">
        <f t="shared" si="12"/>
        <v>0</v>
      </c>
      <c r="F139" s="2">
        <f t="shared" si="13"/>
        <v>0</v>
      </c>
      <c r="G139" s="2">
        <f t="shared" ca="1" si="14"/>
        <v>0.18921384389025064</v>
      </c>
      <c r="H139" s="2">
        <f t="shared" si="10"/>
        <v>0</v>
      </c>
      <c r="I139" s="2">
        <f t="shared" ca="1" si="11"/>
        <v>0</v>
      </c>
    </row>
    <row r="140" spans="2:9" x14ac:dyDescent="0.2">
      <c r="B140" s="4">
        <f t="shared" ca="1" si="15"/>
        <v>44177</v>
      </c>
      <c r="C140">
        <f t="shared" si="15"/>
        <v>129</v>
      </c>
      <c r="D140">
        <f t="shared" ref="D140:D203" ca="1" si="16">WEEKDAY(B140,1)</f>
        <v>7</v>
      </c>
      <c r="E140" s="2">
        <f t="shared" si="12"/>
        <v>0</v>
      </c>
      <c r="F140" s="2">
        <f t="shared" si="13"/>
        <v>0</v>
      </c>
      <c r="G140" s="2">
        <f t="shared" ca="1" si="14"/>
        <v>0.18921384389025064</v>
      </c>
      <c r="H140" s="2">
        <f t="shared" ref="H140:H203" si="17">IF(C140&gt;$C$7,0,(G140)*$C$5/365)</f>
        <v>0</v>
      </c>
      <c r="I140" s="2">
        <f t="shared" ref="I140:I203" ca="1" si="18">IF(AND(C140=0,D140=7),$C$6,IF(C140=$C$7,0,IF(C140&lt;$C$7,IF(D140=7,$C$6,0),0)))</f>
        <v>0</v>
      </c>
    </row>
    <row r="141" spans="2:9" x14ac:dyDescent="0.2">
      <c r="B141" s="4">
        <f t="shared" ca="1" si="15"/>
        <v>44178</v>
      </c>
      <c r="C141">
        <f t="shared" si="15"/>
        <v>130</v>
      </c>
      <c r="D141">
        <f t="shared" ca="1" si="16"/>
        <v>1</v>
      </c>
      <c r="E141" s="2">
        <f t="shared" ref="E141:E204" si="19">IF(C141&gt;$C$7,0,G140+H140+I140)</f>
        <v>0</v>
      </c>
      <c r="F141" s="2">
        <f t="shared" ref="F141:F204" si="20">IF(C141&gt;$C$7,0,IF(ROUND(E141,0)&gt;0,IF(C141=0,0,IF(MOD(C141,$C$3)&gt;0,0,$C$8)),0))</f>
        <v>0</v>
      </c>
      <c r="G141" s="2">
        <f t="shared" ref="G141:G204" ca="1" si="21">IF(C141&gt;$C$7,G140,E141-F141)</f>
        <v>0.18921384389025064</v>
      </c>
      <c r="H141" s="2">
        <f t="shared" si="17"/>
        <v>0</v>
      </c>
      <c r="I141" s="2">
        <f t="shared" ca="1" si="18"/>
        <v>0</v>
      </c>
    </row>
    <row r="142" spans="2:9" x14ac:dyDescent="0.2">
      <c r="B142" s="4">
        <f t="shared" ca="1" si="15"/>
        <v>44179</v>
      </c>
      <c r="C142">
        <f t="shared" si="15"/>
        <v>131</v>
      </c>
      <c r="D142">
        <f t="shared" ca="1" si="16"/>
        <v>2</v>
      </c>
      <c r="E142" s="2">
        <f t="shared" si="19"/>
        <v>0</v>
      </c>
      <c r="F142" s="2">
        <f t="shared" si="20"/>
        <v>0</v>
      </c>
      <c r="G142" s="2">
        <f t="shared" ca="1" si="21"/>
        <v>0.18921384389025064</v>
      </c>
      <c r="H142" s="2">
        <f t="shared" si="17"/>
        <v>0</v>
      </c>
      <c r="I142" s="2">
        <f t="shared" ca="1" si="18"/>
        <v>0</v>
      </c>
    </row>
    <row r="143" spans="2:9" x14ac:dyDescent="0.2">
      <c r="B143" s="4">
        <f t="shared" ca="1" si="15"/>
        <v>44180</v>
      </c>
      <c r="C143">
        <f t="shared" si="15"/>
        <v>132</v>
      </c>
      <c r="D143">
        <f t="shared" ca="1" si="16"/>
        <v>3</v>
      </c>
      <c r="E143" s="2">
        <f t="shared" si="19"/>
        <v>0</v>
      </c>
      <c r="F143" s="2">
        <f t="shared" si="20"/>
        <v>0</v>
      </c>
      <c r="G143" s="2">
        <f t="shared" ca="1" si="21"/>
        <v>0.18921384389025064</v>
      </c>
      <c r="H143" s="2">
        <f t="shared" si="17"/>
        <v>0</v>
      </c>
      <c r="I143" s="2">
        <f t="shared" ca="1" si="18"/>
        <v>0</v>
      </c>
    </row>
    <row r="144" spans="2:9" x14ac:dyDescent="0.2">
      <c r="B144" s="4">
        <f t="shared" ca="1" si="15"/>
        <v>44181</v>
      </c>
      <c r="C144">
        <f t="shared" si="15"/>
        <v>133</v>
      </c>
      <c r="D144">
        <f t="shared" ca="1" si="16"/>
        <v>4</v>
      </c>
      <c r="E144" s="2">
        <f t="shared" si="19"/>
        <v>0</v>
      </c>
      <c r="F144" s="2">
        <f t="shared" si="20"/>
        <v>0</v>
      </c>
      <c r="G144" s="2">
        <f t="shared" ca="1" si="21"/>
        <v>0.18921384389025064</v>
      </c>
      <c r="H144" s="2">
        <f t="shared" si="17"/>
        <v>0</v>
      </c>
      <c r="I144" s="2">
        <f t="shared" ca="1" si="18"/>
        <v>0</v>
      </c>
    </row>
    <row r="145" spans="2:9" x14ac:dyDescent="0.2">
      <c r="B145" s="4">
        <f t="shared" ca="1" si="15"/>
        <v>44182</v>
      </c>
      <c r="C145">
        <f t="shared" si="15"/>
        <v>134</v>
      </c>
      <c r="D145">
        <f t="shared" ca="1" si="16"/>
        <v>5</v>
      </c>
      <c r="E145" s="2">
        <f t="shared" si="19"/>
        <v>0</v>
      </c>
      <c r="F145" s="2">
        <f t="shared" si="20"/>
        <v>0</v>
      </c>
      <c r="G145" s="2">
        <f t="shared" ca="1" si="21"/>
        <v>0.18921384389025064</v>
      </c>
      <c r="H145" s="2">
        <f t="shared" si="17"/>
        <v>0</v>
      </c>
      <c r="I145" s="2">
        <f t="shared" ca="1" si="18"/>
        <v>0</v>
      </c>
    </row>
    <row r="146" spans="2:9" x14ac:dyDescent="0.2">
      <c r="B146" s="4">
        <f t="shared" ca="1" si="15"/>
        <v>44183</v>
      </c>
      <c r="C146">
        <f t="shared" si="15"/>
        <v>135</v>
      </c>
      <c r="D146">
        <f t="shared" ca="1" si="16"/>
        <v>6</v>
      </c>
      <c r="E146" s="2">
        <f t="shared" si="19"/>
        <v>0</v>
      </c>
      <c r="F146" s="2">
        <f t="shared" si="20"/>
        <v>0</v>
      </c>
      <c r="G146" s="2">
        <f t="shared" ca="1" si="21"/>
        <v>0.18921384389025064</v>
      </c>
      <c r="H146" s="2">
        <f t="shared" si="17"/>
        <v>0</v>
      </c>
      <c r="I146" s="2">
        <f t="shared" ca="1" si="18"/>
        <v>0</v>
      </c>
    </row>
    <row r="147" spans="2:9" x14ac:dyDescent="0.2">
      <c r="B147" s="4">
        <f t="shared" ca="1" si="15"/>
        <v>44184</v>
      </c>
      <c r="C147">
        <f t="shared" si="15"/>
        <v>136</v>
      </c>
      <c r="D147">
        <f t="shared" ca="1" si="16"/>
        <v>7</v>
      </c>
      <c r="E147" s="2">
        <f t="shared" si="19"/>
        <v>0</v>
      </c>
      <c r="F147" s="2">
        <f t="shared" si="20"/>
        <v>0</v>
      </c>
      <c r="G147" s="2">
        <f t="shared" ca="1" si="21"/>
        <v>0.18921384389025064</v>
      </c>
      <c r="H147" s="2">
        <f t="shared" si="17"/>
        <v>0</v>
      </c>
      <c r="I147" s="2">
        <f t="shared" ca="1" si="18"/>
        <v>0</v>
      </c>
    </row>
    <row r="148" spans="2:9" x14ac:dyDescent="0.2">
      <c r="B148" s="4">
        <f t="shared" ca="1" si="15"/>
        <v>44185</v>
      </c>
      <c r="C148">
        <f t="shared" si="15"/>
        <v>137</v>
      </c>
      <c r="D148">
        <f t="shared" ca="1" si="16"/>
        <v>1</v>
      </c>
      <c r="E148" s="2">
        <f t="shared" si="19"/>
        <v>0</v>
      </c>
      <c r="F148" s="2">
        <f t="shared" si="20"/>
        <v>0</v>
      </c>
      <c r="G148" s="2">
        <f t="shared" ca="1" si="21"/>
        <v>0.18921384389025064</v>
      </c>
      <c r="H148" s="2">
        <f t="shared" si="17"/>
        <v>0</v>
      </c>
      <c r="I148" s="2">
        <f t="shared" ca="1" si="18"/>
        <v>0</v>
      </c>
    </row>
    <row r="149" spans="2:9" x14ac:dyDescent="0.2">
      <c r="B149" s="4">
        <f t="shared" ca="1" si="15"/>
        <v>44186</v>
      </c>
      <c r="C149">
        <f t="shared" si="15"/>
        <v>138</v>
      </c>
      <c r="D149">
        <f t="shared" ca="1" si="16"/>
        <v>2</v>
      </c>
      <c r="E149" s="2">
        <f t="shared" si="19"/>
        <v>0</v>
      </c>
      <c r="F149" s="2">
        <f t="shared" si="20"/>
        <v>0</v>
      </c>
      <c r="G149" s="2">
        <f t="shared" ca="1" si="21"/>
        <v>0.18921384389025064</v>
      </c>
      <c r="H149" s="2">
        <f t="shared" si="17"/>
        <v>0</v>
      </c>
      <c r="I149" s="2">
        <f t="shared" ca="1" si="18"/>
        <v>0</v>
      </c>
    </row>
    <row r="150" spans="2:9" x14ac:dyDescent="0.2">
      <c r="B150" s="4">
        <f t="shared" ca="1" si="15"/>
        <v>44187</v>
      </c>
      <c r="C150">
        <f t="shared" si="15"/>
        <v>139</v>
      </c>
      <c r="D150">
        <f t="shared" ca="1" si="16"/>
        <v>3</v>
      </c>
      <c r="E150" s="2">
        <f t="shared" si="19"/>
        <v>0</v>
      </c>
      <c r="F150" s="2">
        <f t="shared" si="20"/>
        <v>0</v>
      </c>
      <c r="G150" s="2">
        <f t="shared" ca="1" si="21"/>
        <v>0.18921384389025064</v>
      </c>
      <c r="H150" s="2">
        <f t="shared" si="17"/>
        <v>0</v>
      </c>
      <c r="I150" s="2">
        <f t="shared" ca="1" si="18"/>
        <v>0</v>
      </c>
    </row>
    <row r="151" spans="2:9" x14ac:dyDescent="0.2">
      <c r="B151" s="4">
        <f t="shared" ca="1" si="15"/>
        <v>44188</v>
      </c>
      <c r="C151">
        <f t="shared" si="15"/>
        <v>140</v>
      </c>
      <c r="D151">
        <f t="shared" ca="1" si="16"/>
        <v>4</v>
      </c>
      <c r="E151" s="2">
        <f t="shared" si="19"/>
        <v>0</v>
      </c>
      <c r="F151" s="2">
        <f t="shared" si="20"/>
        <v>0</v>
      </c>
      <c r="G151" s="2">
        <f t="shared" ca="1" si="21"/>
        <v>0.18921384389025064</v>
      </c>
      <c r="H151" s="2">
        <f t="shared" si="17"/>
        <v>0</v>
      </c>
      <c r="I151" s="2">
        <f t="shared" ca="1" si="18"/>
        <v>0</v>
      </c>
    </row>
    <row r="152" spans="2:9" x14ac:dyDescent="0.2">
      <c r="B152" s="4">
        <f t="shared" ca="1" si="15"/>
        <v>44189</v>
      </c>
      <c r="C152">
        <f t="shared" si="15"/>
        <v>141</v>
      </c>
      <c r="D152">
        <f t="shared" ca="1" si="16"/>
        <v>5</v>
      </c>
      <c r="E152" s="2">
        <f t="shared" si="19"/>
        <v>0</v>
      </c>
      <c r="F152" s="2">
        <f t="shared" si="20"/>
        <v>0</v>
      </c>
      <c r="G152" s="2">
        <f t="shared" ca="1" si="21"/>
        <v>0.18921384389025064</v>
      </c>
      <c r="H152" s="2">
        <f t="shared" si="17"/>
        <v>0</v>
      </c>
      <c r="I152" s="2">
        <f t="shared" ca="1" si="18"/>
        <v>0</v>
      </c>
    </row>
    <row r="153" spans="2:9" x14ac:dyDescent="0.2">
      <c r="B153" s="4">
        <f t="shared" ca="1" si="15"/>
        <v>44190</v>
      </c>
      <c r="C153">
        <f t="shared" si="15"/>
        <v>142</v>
      </c>
      <c r="D153">
        <f t="shared" ca="1" si="16"/>
        <v>6</v>
      </c>
      <c r="E153" s="2">
        <f t="shared" si="19"/>
        <v>0</v>
      </c>
      <c r="F153" s="2">
        <f t="shared" si="20"/>
        <v>0</v>
      </c>
      <c r="G153" s="2">
        <f t="shared" ca="1" si="21"/>
        <v>0.18921384389025064</v>
      </c>
      <c r="H153" s="2">
        <f t="shared" si="17"/>
        <v>0</v>
      </c>
      <c r="I153" s="2">
        <f t="shared" ca="1" si="18"/>
        <v>0</v>
      </c>
    </row>
    <row r="154" spans="2:9" x14ac:dyDescent="0.2">
      <c r="B154" s="4">
        <f t="shared" ca="1" si="15"/>
        <v>44191</v>
      </c>
      <c r="C154">
        <f t="shared" si="15"/>
        <v>143</v>
      </c>
      <c r="D154">
        <f t="shared" ca="1" si="16"/>
        <v>7</v>
      </c>
      <c r="E154" s="2">
        <f t="shared" si="19"/>
        <v>0</v>
      </c>
      <c r="F154" s="2">
        <f t="shared" si="20"/>
        <v>0</v>
      </c>
      <c r="G154" s="2">
        <f t="shared" ca="1" si="21"/>
        <v>0.18921384389025064</v>
      </c>
      <c r="H154" s="2">
        <f t="shared" si="17"/>
        <v>0</v>
      </c>
      <c r="I154" s="2">
        <f t="shared" ca="1" si="18"/>
        <v>0</v>
      </c>
    </row>
    <row r="155" spans="2:9" x14ac:dyDescent="0.2">
      <c r="B155" s="4">
        <f t="shared" ca="1" si="15"/>
        <v>44192</v>
      </c>
      <c r="C155">
        <f t="shared" si="15"/>
        <v>144</v>
      </c>
      <c r="D155">
        <f t="shared" ca="1" si="16"/>
        <v>1</v>
      </c>
      <c r="E155" s="2">
        <f t="shared" si="19"/>
        <v>0</v>
      </c>
      <c r="F155" s="2">
        <f t="shared" si="20"/>
        <v>0</v>
      </c>
      <c r="G155" s="2">
        <f t="shared" ca="1" si="21"/>
        <v>0.18921384389025064</v>
      </c>
      <c r="H155" s="2">
        <f t="shared" si="17"/>
        <v>0</v>
      </c>
      <c r="I155" s="2">
        <f t="shared" ca="1" si="18"/>
        <v>0</v>
      </c>
    </row>
    <row r="156" spans="2:9" x14ac:dyDescent="0.2">
      <c r="B156" s="4">
        <f t="shared" ref="B156:C179" ca="1" si="22">B155+1</f>
        <v>44193</v>
      </c>
      <c r="C156">
        <f t="shared" si="22"/>
        <v>145</v>
      </c>
      <c r="D156">
        <f t="shared" ca="1" si="16"/>
        <v>2</v>
      </c>
      <c r="E156" s="2">
        <f t="shared" si="19"/>
        <v>0</v>
      </c>
      <c r="F156" s="2">
        <f t="shared" si="20"/>
        <v>0</v>
      </c>
      <c r="G156" s="2">
        <f t="shared" ca="1" si="21"/>
        <v>0.18921384389025064</v>
      </c>
      <c r="H156" s="2">
        <f t="shared" si="17"/>
        <v>0</v>
      </c>
      <c r="I156" s="2">
        <f t="shared" ca="1" si="18"/>
        <v>0</v>
      </c>
    </row>
    <row r="157" spans="2:9" x14ac:dyDescent="0.2">
      <c r="B157" s="4">
        <f t="shared" ca="1" si="22"/>
        <v>44194</v>
      </c>
      <c r="C157">
        <f t="shared" si="22"/>
        <v>146</v>
      </c>
      <c r="D157">
        <f t="shared" ca="1" si="16"/>
        <v>3</v>
      </c>
      <c r="E157" s="2">
        <f t="shared" si="19"/>
        <v>0</v>
      </c>
      <c r="F157" s="2">
        <f t="shared" si="20"/>
        <v>0</v>
      </c>
      <c r="G157" s="2">
        <f t="shared" ca="1" si="21"/>
        <v>0.18921384389025064</v>
      </c>
      <c r="H157" s="2">
        <f t="shared" si="17"/>
        <v>0</v>
      </c>
      <c r="I157" s="2">
        <f t="shared" ca="1" si="18"/>
        <v>0</v>
      </c>
    </row>
    <row r="158" spans="2:9" x14ac:dyDescent="0.2">
      <c r="B158" s="4">
        <f t="shared" ca="1" si="22"/>
        <v>44195</v>
      </c>
      <c r="C158">
        <f t="shared" si="22"/>
        <v>147</v>
      </c>
      <c r="D158">
        <f t="shared" ca="1" si="16"/>
        <v>4</v>
      </c>
      <c r="E158" s="2">
        <f t="shared" si="19"/>
        <v>0</v>
      </c>
      <c r="F158" s="2">
        <f t="shared" si="20"/>
        <v>0</v>
      </c>
      <c r="G158" s="2">
        <f t="shared" ca="1" si="21"/>
        <v>0.18921384389025064</v>
      </c>
      <c r="H158" s="2">
        <f t="shared" si="17"/>
        <v>0</v>
      </c>
      <c r="I158" s="2">
        <f t="shared" ca="1" si="18"/>
        <v>0</v>
      </c>
    </row>
    <row r="159" spans="2:9" x14ac:dyDescent="0.2">
      <c r="B159" s="4">
        <f t="shared" ca="1" si="22"/>
        <v>44196</v>
      </c>
      <c r="C159">
        <f t="shared" si="22"/>
        <v>148</v>
      </c>
      <c r="D159">
        <f t="shared" ca="1" si="16"/>
        <v>5</v>
      </c>
      <c r="E159" s="2">
        <f t="shared" si="19"/>
        <v>0</v>
      </c>
      <c r="F159" s="2">
        <f t="shared" si="20"/>
        <v>0</v>
      </c>
      <c r="G159" s="2">
        <f t="shared" ca="1" si="21"/>
        <v>0.18921384389025064</v>
      </c>
      <c r="H159" s="2">
        <f t="shared" si="17"/>
        <v>0</v>
      </c>
      <c r="I159" s="2">
        <f t="shared" ca="1" si="18"/>
        <v>0</v>
      </c>
    </row>
    <row r="160" spans="2:9" x14ac:dyDescent="0.2">
      <c r="B160" s="4">
        <f t="shared" ca="1" si="22"/>
        <v>44197</v>
      </c>
      <c r="C160">
        <f t="shared" si="22"/>
        <v>149</v>
      </c>
      <c r="D160">
        <f t="shared" ca="1" si="16"/>
        <v>6</v>
      </c>
      <c r="E160" s="2">
        <f t="shared" si="19"/>
        <v>0</v>
      </c>
      <c r="F160" s="2">
        <f t="shared" si="20"/>
        <v>0</v>
      </c>
      <c r="G160" s="2">
        <f t="shared" ca="1" si="21"/>
        <v>0.18921384389025064</v>
      </c>
      <c r="H160" s="2">
        <f t="shared" si="17"/>
        <v>0</v>
      </c>
      <c r="I160" s="2">
        <f t="shared" ca="1" si="18"/>
        <v>0</v>
      </c>
    </row>
    <row r="161" spans="2:9" x14ac:dyDescent="0.2">
      <c r="B161" s="4">
        <f t="shared" ca="1" si="22"/>
        <v>44198</v>
      </c>
      <c r="C161">
        <f t="shared" si="22"/>
        <v>150</v>
      </c>
      <c r="D161">
        <f t="shared" ca="1" si="16"/>
        <v>7</v>
      </c>
      <c r="E161" s="2">
        <f t="shared" si="19"/>
        <v>0</v>
      </c>
      <c r="F161" s="2">
        <f t="shared" si="20"/>
        <v>0</v>
      </c>
      <c r="G161" s="2">
        <f t="shared" ca="1" si="21"/>
        <v>0.18921384389025064</v>
      </c>
      <c r="H161" s="2">
        <f t="shared" si="17"/>
        <v>0</v>
      </c>
      <c r="I161" s="2">
        <f t="shared" ca="1" si="18"/>
        <v>0</v>
      </c>
    </row>
    <row r="162" spans="2:9" x14ac:dyDescent="0.2">
      <c r="B162" s="4">
        <f t="shared" ca="1" si="22"/>
        <v>44199</v>
      </c>
      <c r="C162">
        <f t="shared" si="22"/>
        <v>151</v>
      </c>
      <c r="D162">
        <f t="shared" ca="1" si="16"/>
        <v>1</v>
      </c>
      <c r="E162" s="2">
        <f t="shared" si="19"/>
        <v>0</v>
      </c>
      <c r="F162" s="2">
        <f t="shared" si="20"/>
        <v>0</v>
      </c>
      <c r="G162" s="2">
        <f t="shared" ca="1" si="21"/>
        <v>0.18921384389025064</v>
      </c>
      <c r="H162" s="2">
        <f t="shared" si="17"/>
        <v>0</v>
      </c>
      <c r="I162" s="2">
        <f t="shared" ca="1" si="18"/>
        <v>0</v>
      </c>
    </row>
    <row r="163" spans="2:9" x14ac:dyDescent="0.2">
      <c r="B163" s="4">
        <f t="shared" ca="1" si="22"/>
        <v>44200</v>
      </c>
      <c r="C163">
        <f t="shared" si="22"/>
        <v>152</v>
      </c>
      <c r="D163">
        <f t="shared" ca="1" si="16"/>
        <v>2</v>
      </c>
      <c r="E163" s="2">
        <f t="shared" si="19"/>
        <v>0</v>
      </c>
      <c r="F163" s="2">
        <f t="shared" si="20"/>
        <v>0</v>
      </c>
      <c r="G163" s="2">
        <f t="shared" ca="1" si="21"/>
        <v>0.18921384389025064</v>
      </c>
      <c r="H163" s="2">
        <f t="shared" si="17"/>
        <v>0</v>
      </c>
      <c r="I163" s="2">
        <f t="shared" ca="1" si="18"/>
        <v>0</v>
      </c>
    </row>
    <row r="164" spans="2:9" x14ac:dyDescent="0.2">
      <c r="B164" s="4">
        <f t="shared" ca="1" si="22"/>
        <v>44201</v>
      </c>
      <c r="C164">
        <f t="shared" si="22"/>
        <v>153</v>
      </c>
      <c r="D164">
        <f t="shared" ca="1" si="16"/>
        <v>3</v>
      </c>
      <c r="E164" s="2">
        <f t="shared" si="19"/>
        <v>0</v>
      </c>
      <c r="F164" s="2">
        <f t="shared" si="20"/>
        <v>0</v>
      </c>
      <c r="G164" s="2">
        <f t="shared" ca="1" si="21"/>
        <v>0.18921384389025064</v>
      </c>
      <c r="H164" s="2">
        <f t="shared" si="17"/>
        <v>0</v>
      </c>
      <c r="I164" s="2">
        <f t="shared" ca="1" si="18"/>
        <v>0</v>
      </c>
    </row>
    <row r="165" spans="2:9" x14ac:dyDescent="0.2">
      <c r="B165" s="4">
        <f t="shared" ca="1" si="22"/>
        <v>44202</v>
      </c>
      <c r="C165">
        <f t="shared" si="22"/>
        <v>154</v>
      </c>
      <c r="D165">
        <f t="shared" ca="1" si="16"/>
        <v>4</v>
      </c>
      <c r="E165" s="2">
        <f t="shared" si="19"/>
        <v>0</v>
      </c>
      <c r="F165" s="2">
        <f t="shared" si="20"/>
        <v>0</v>
      </c>
      <c r="G165" s="2">
        <f t="shared" ca="1" si="21"/>
        <v>0.18921384389025064</v>
      </c>
      <c r="H165" s="2">
        <f t="shared" si="17"/>
        <v>0</v>
      </c>
      <c r="I165" s="2">
        <f t="shared" ca="1" si="18"/>
        <v>0</v>
      </c>
    </row>
    <row r="166" spans="2:9" x14ac:dyDescent="0.2">
      <c r="B166" s="4">
        <f t="shared" ca="1" si="22"/>
        <v>44203</v>
      </c>
      <c r="C166">
        <f t="shared" si="22"/>
        <v>155</v>
      </c>
      <c r="D166">
        <f t="shared" ca="1" si="16"/>
        <v>5</v>
      </c>
      <c r="E166" s="2">
        <f t="shared" si="19"/>
        <v>0</v>
      </c>
      <c r="F166" s="2">
        <f t="shared" si="20"/>
        <v>0</v>
      </c>
      <c r="G166" s="2">
        <f t="shared" ca="1" si="21"/>
        <v>0.18921384389025064</v>
      </c>
      <c r="H166" s="2">
        <f t="shared" si="17"/>
        <v>0</v>
      </c>
      <c r="I166" s="2">
        <f t="shared" ca="1" si="18"/>
        <v>0</v>
      </c>
    </row>
    <row r="167" spans="2:9" x14ac:dyDescent="0.2">
      <c r="B167" s="4">
        <f t="shared" ca="1" si="22"/>
        <v>44204</v>
      </c>
      <c r="C167">
        <f t="shared" si="22"/>
        <v>156</v>
      </c>
      <c r="D167">
        <f t="shared" ca="1" si="16"/>
        <v>6</v>
      </c>
      <c r="E167" s="2">
        <f t="shared" si="19"/>
        <v>0</v>
      </c>
      <c r="F167" s="2">
        <f t="shared" si="20"/>
        <v>0</v>
      </c>
      <c r="G167" s="2">
        <f t="shared" ca="1" si="21"/>
        <v>0.18921384389025064</v>
      </c>
      <c r="H167" s="2">
        <f t="shared" si="17"/>
        <v>0</v>
      </c>
      <c r="I167" s="2">
        <f t="shared" ca="1" si="18"/>
        <v>0</v>
      </c>
    </row>
    <row r="168" spans="2:9" x14ac:dyDescent="0.2">
      <c r="B168" s="4">
        <f t="shared" ca="1" si="22"/>
        <v>44205</v>
      </c>
      <c r="C168">
        <f t="shared" si="22"/>
        <v>157</v>
      </c>
      <c r="D168">
        <f t="shared" ca="1" si="16"/>
        <v>7</v>
      </c>
      <c r="E168" s="2">
        <f t="shared" si="19"/>
        <v>0</v>
      </c>
      <c r="F168" s="2">
        <f t="shared" si="20"/>
        <v>0</v>
      </c>
      <c r="G168" s="2">
        <f t="shared" ca="1" si="21"/>
        <v>0.18921384389025064</v>
      </c>
      <c r="H168" s="2">
        <f t="shared" si="17"/>
        <v>0</v>
      </c>
      <c r="I168" s="2">
        <f t="shared" ca="1" si="18"/>
        <v>0</v>
      </c>
    </row>
    <row r="169" spans="2:9" x14ac:dyDescent="0.2">
      <c r="B169" s="4">
        <f t="shared" ca="1" si="22"/>
        <v>44206</v>
      </c>
      <c r="C169">
        <f t="shared" si="22"/>
        <v>158</v>
      </c>
      <c r="D169">
        <f t="shared" ca="1" si="16"/>
        <v>1</v>
      </c>
      <c r="E169" s="2">
        <f t="shared" si="19"/>
        <v>0</v>
      </c>
      <c r="F169" s="2">
        <f t="shared" si="20"/>
        <v>0</v>
      </c>
      <c r="G169" s="2">
        <f t="shared" ca="1" si="21"/>
        <v>0.18921384389025064</v>
      </c>
      <c r="H169" s="2">
        <f t="shared" si="17"/>
        <v>0</v>
      </c>
      <c r="I169" s="2">
        <f t="shared" ca="1" si="18"/>
        <v>0</v>
      </c>
    </row>
    <row r="170" spans="2:9" x14ac:dyDescent="0.2">
      <c r="B170" s="4">
        <f t="shared" ca="1" si="22"/>
        <v>44207</v>
      </c>
      <c r="C170">
        <f t="shared" si="22"/>
        <v>159</v>
      </c>
      <c r="D170">
        <f t="shared" ca="1" si="16"/>
        <v>2</v>
      </c>
      <c r="E170" s="2">
        <f t="shared" si="19"/>
        <v>0</v>
      </c>
      <c r="F170" s="2">
        <f t="shared" si="20"/>
        <v>0</v>
      </c>
      <c r="G170" s="2">
        <f t="shared" ca="1" si="21"/>
        <v>0.18921384389025064</v>
      </c>
      <c r="H170" s="2">
        <f t="shared" si="17"/>
        <v>0</v>
      </c>
      <c r="I170" s="2">
        <f t="shared" ca="1" si="18"/>
        <v>0</v>
      </c>
    </row>
    <row r="171" spans="2:9" x14ac:dyDescent="0.2">
      <c r="B171" s="4">
        <f t="shared" ca="1" si="22"/>
        <v>44208</v>
      </c>
      <c r="C171">
        <f t="shared" si="22"/>
        <v>160</v>
      </c>
      <c r="D171">
        <f t="shared" ca="1" si="16"/>
        <v>3</v>
      </c>
      <c r="E171" s="2">
        <f t="shared" si="19"/>
        <v>0</v>
      </c>
      <c r="F171" s="2">
        <f t="shared" si="20"/>
        <v>0</v>
      </c>
      <c r="G171" s="2">
        <f t="shared" ca="1" si="21"/>
        <v>0.18921384389025064</v>
      </c>
      <c r="H171" s="2">
        <f t="shared" si="17"/>
        <v>0</v>
      </c>
      <c r="I171" s="2">
        <f t="shared" ca="1" si="18"/>
        <v>0</v>
      </c>
    </row>
    <row r="172" spans="2:9" x14ac:dyDescent="0.2">
      <c r="B172" s="4">
        <f t="shared" ca="1" si="22"/>
        <v>44209</v>
      </c>
      <c r="C172">
        <f t="shared" si="22"/>
        <v>161</v>
      </c>
      <c r="D172">
        <f t="shared" ca="1" si="16"/>
        <v>4</v>
      </c>
      <c r="E172" s="2">
        <f t="shared" si="19"/>
        <v>0</v>
      </c>
      <c r="F172" s="2">
        <f t="shared" si="20"/>
        <v>0</v>
      </c>
      <c r="G172" s="2">
        <f t="shared" ca="1" si="21"/>
        <v>0.18921384389025064</v>
      </c>
      <c r="H172" s="2">
        <f t="shared" si="17"/>
        <v>0</v>
      </c>
      <c r="I172" s="2">
        <f t="shared" ca="1" si="18"/>
        <v>0</v>
      </c>
    </row>
    <row r="173" spans="2:9" x14ac:dyDescent="0.2">
      <c r="B173" s="4">
        <f t="shared" ca="1" si="22"/>
        <v>44210</v>
      </c>
      <c r="C173">
        <f t="shared" si="22"/>
        <v>162</v>
      </c>
      <c r="D173">
        <f t="shared" ca="1" si="16"/>
        <v>5</v>
      </c>
      <c r="E173" s="2">
        <f t="shared" si="19"/>
        <v>0</v>
      </c>
      <c r="F173" s="2">
        <f t="shared" si="20"/>
        <v>0</v>
      </c>
      <c r="G173" s="2">
        <f t="shared" ca="1" si="21"/>
        <v>0.18921384389025064</v>
      </c>
      <c r="H173" s="2">
        <f t="shared" si="17"/>
        <v>0</v>
      </c>
      <c r="I173" s="2">
        <f t="shared" ca="1" si="18"/>
        <v>0</v>
      </c>
    </row>
    <row r="174" spans="2:9" x14ac:dyDescent="0.2">
      <c r="B174" s="4">
        <f t="shared" ca="1" si="22"/>
        <v>44211</v>
      </c>
      <c r="C174">
        <f t="shared" si="22"/>
        <v>163</v>
      </c>
      <c r="D174">
        <f t="shared" ca="1" si="16"/>
        <v>6</v>
      </c>
      <c r="E174" s="2">
        <f t="shared" si="19"/>
        <v>0</v>
      </c>
      <c r="F174" s="2">
        <f t="shared" si="20"/>
        <v>0</v>
      </c>
      <c r="G174" s="2">
        <f t="shared" ca="1" si="21"/>
        <v>0.18921384389025064</v>
      </c>
      <c r="H174" s="2">
        <f t="shared" si="17"/>
        <v>0</v>
      </c>
      <c r="I174" s="2">
        <f t="shared" ca="1" si="18"/>
        <v>0</v>
      </c>
    </row>
    <row r="175" spans="2:9" x14ac:dyDescent="0.2">
      <c r="B175" s="4">
        <f t="shared" ca="1" si="22"/>
        <v>44212</v>
      </c>
      <c r="C175">
        <f t="shared" si="22"/>
        <v>164</v>
      </c>
      <c r="D175">
        <f t="shared" ca="1" si="16"/>
        <v>7</v>
      </c>
      <c r="E175" s="2">
        <f t="shared" si="19"/>
        <v>0</v>
      </c>
      <c r="F175" s="2">
        <f t="shared" si="20"/>
        <v>0</v>
      </c>
      <c r="G175" s="2">
        <f t="shared" ca="1" si="21"/>
        <v>0.18921384389025064</v>
      </c>
      <c r="H175" s="2">
        <f t="shared" si="17"/>
        <v>0</v>
      </c>
      <c r="I175" s="2">
        <f t="shared" ca="1" si="18"/>
        <v>0</v>
      </c>
    </row>
    <row r="176" spans="2:9" x14ac:dyDescent="0.2">
      <c r="B176" s="4">
        <f t="shared" ca="1" si="22"/>
        <v>44213</v>
      </c>
      <c r="C176">
        <f t="shared" si="22"/>
        <v>165</v>
      </c>
      <c r="D176">
        <f t="shared" ca="1" si="16"/>
        <v>1</v>
      </c>
      <c r="E176" s="2">
        <f t="shared" si="19"/>
        <v>0</v>
      </c>
      <c r="F176" s="2">
        <f t="shared" si="20"/>
        <v>0</v>
      </c>
      <c r="G176" s="2">
        <f t="shared" ca="1" si="21"/>
        <v>0.18921384389025064</v>
      </c>
      <c r="H176" s="2">
        <f t="shared" si="17"/>
        <v>0</v>
      </c>
      <c r="I176" s="2">
        <f t="shared" ca="1" si="18"/>
        <v>0</v>
      </c>
    </row>
    <row r="177" spans="2:9" x14ac:dyDescent="0.2">
      <c r="B177" s="4">
        <f t="shared" ca="1" si="22"/>
        <v>44214</v>
      </c>
      <c r="C177">
        <f t="shared" si="22"/>
        <v>166</v>
      </c>
      <c r="D177">
        <f t="shared" ca="1" si="16"/>
        <v>2</v>
      </c>
      <c r="E177" s="2">
        <f t="shared" si="19"/>
        <v>0</v>
      </c>
      <c r="F177" s="2">
        <f t="shared" si="20"/>
        <v>0</v>
      </c>
      <c r="G177" s="2">
        <f t="shared" ca="1" si="21"/>
        <v>0.18921384389025064</v>
      </c>
      <c r="H177" s="2">
        <f t="shared" si="17"/>
        <v>0</v>
      </c>
      <c r="I177" s="2">
        <f t="shared" ca="1" si="18"/>
        <v>0</v>
      </c>
    </row>
    <row r="178" spans="2:9" x14ac:dyDescent="0.2">
      <c r="B178" s="4">
        <f t="shared" ca="1" si="22"/>
        <v>44215</v>
      </c>
      <c r="C178">
        <f t="shared" si="22"/>
        <v>167</v>
      </c>
      <c r="D178">
        <f t="shared" ca="1" si="16"/>
        <v>3</v>
      </c>
      <c r="E178" s="2">
        <f t="shared" si="19"/>
        <v>0</v>
      </c>
      <c r="F178" s="2">
        <f t="shared" si="20"/>
        <v>0</v>
      </c>
      <c r="G178" s="2">
        <f t="shared" ca="1" si="21"/>
        <v>0.18921384389025064</v>
      </c>
      <c r="H178" s="2">
        <f t="shared" si="17"/>
        <v>0</v>
      </c>
      <c r="I178" s="2">
        <f t="shared" ca="1" si="18"/>
        <v>0</v>
      </c>
    </row>
    <row r="179" spans="2:9" x14ac:dyDescent="0.2">
      <c r="B179" s="4">
        <f t="shared" ca="1" si="22"/>
        <v>44216</v>
      </c>
      <c r="C179">
        <f t="shared" si="22"/>
        <v>168</v>
      </c>
      <c r="D179">
        <f t="shared" ca="1" si="16"/>
        <v>4</v>
      </c>
      <c r="E179" s="2">
        <f t="shared" si="19"/>
        <v>0</v>
      </c>
      <c r="F179" s="2">
        <f t="shared" si="20"/>
        <v>0</v>
      </c>
      <c r="G179" s="2">
        <f t="shared" ca="1" si="21"/>
        <v>0.18921384389025064</v>
      </c>
      <c r="H179" s="2">
        <f t="shared" si="17"/>
        <v>0</v>
      </c>
      <c r="I179" s="2">
        <f t="shared" ca="1" si="18"/>
        <v>0</v>
      </c>
    </row>
    <row r="180" spans="2:9" x14ac:dyDescent="0.2">
      <c r="B180" s="4">
        <f t="shared" ref="B180:C211" ca="1" si="23">B179+1</f>
        <v>44217</v>
      </c>
      <c r="C180">
        <f t="shared" si="23"/>
        <v>169</v>
      </c>
      <c r="D180">
        <f t="shared" ca="1" si="16"/>
        <v>5</v>
      </c>
      <c r="E180" s="2">
        <f t="shared" si="19"/>
        <v>0</v>
      </c>
      <c r="F180" s="2">
        <f t="shared" si="20"/>
        <v>0</v>
      </c>
      <c r="G180" s="2">
        <f t="shared" ca="1" si="21"/>
        <v>0.18921384389025064</v>
      </c>
      <c r="H180" s="2">
        <f t="shared" si="17"/>
        <v>0</v>
      </c>
      <c r="I180" s="2">
        <f t="shared" ca="1" si="18"/>
        <v>0</v>
      </c>
    </row>
    <row r="181" spans="2:9" x14ac:dyDescent="0.2">
      <c r="B181" s="4">
        <f t="shared" ca="1" si="23"/>
        <v>44218</v>
      </c>
      <c r="C181">
        <f t="shared" si="23"/>
        <v>170</v>
      </c>
      <c r="D181">
        <f t="shared" ca="1" si="16"/>
        <v>6</v>
      </c>
      <c r="E181" s="2">
        <f t="shared" si="19"/>
        <v>0</v>
      </c>
      <c r="F181" s="2">
        <f t="shared" si="20"/>
        <v>0</v>
      </c>
      <c r="G181" s="2">
        <f t="shared" ca="1" si="21"/>
        <v>0.18921384389025064</v>
      </c>
      <c r="H181" s="2">
        <f t="shared" si="17"/>
        <v>0</v>
      </c>
      <c r="I181" s="2">
        <f t="shared" ca="1" si="18"/>
        <v>0</v>
      </c>
    </row>
    <row r="182" spans="2:9" x14ac:dyDescent="0.2">
      <c r="B182" s="4">
        <f t="shared" ca="1" si="23"/>
        <v>44219</v>
      </c>
      <c r="C182">
        <f t="shared" si="23"/>
        <v>171</v>
      </c>
      <c r="D182">
        <f t="shared" ca="1" si="16"/>
        <v>7</v>
      </c>
      <c r="E182" s="2">
        <f t="shared" si="19"/>
        <v>0</v>
      </c>
      <c r="F182" s="2">
        <f t="shared" si="20"/>
        <v>0</v>
      </c>
      <c r="G182" s="2">
        <f t="shared" ca="1" si="21"/>
        <v>0.18921384389025064</v>
      </c>
      <c r="H182" s="2">
        <f t="shared" si="17"/>
        <v>0</v>
      </c>
      <c r="I182" s="2">
        <f t="shared" ca="1" si="18"/>
        <v>0</v>
      </c>
    </row>
    <row r="183" spans="2:9" x14ac:dyDescent="0.2">
      <c r="B183" s="4">
        <f t="shared" ca="1" si="23"/>
        <v>44220</v>
      </c>
      <c r="C183">
        <f t="shared" si="23"/>
        <v>172</v>
      </c>
      <c r="D183">
        <f t="shared" ca="1" si="16"/>
        <v>1</v>
      </c>
      <c r="E183" s="2">
        <f t="shared" si="19"/>
        <v>0</v>
      </c>
      <c r="F183" s="2">
        <f t="shared" si="20"/>
        <v>0</v>
      </c>
      <c r="G183" s="2">
        <f t="shared" ca="1" si="21"/>
        <v>0.18921384389025064</v>
      </c>
      <c r="H183" s="2">
        <f t="shared" si="17"/>
        <v>0</v>
      </c>
      <c r="I183" s="2">
        <f t="shared" ca="1" si="18"/>
        <v>0</v>
      </c>
    </row>
    <row r="184" spans="2:9" x14ac:dyDescent="0.2">
      <c r="B184" s="4">
        <f t="shared" ca="1" si="23"/>
        <v>44221</v>
      </c>
      <c r="C184">
        <f t="shared" si="23"/>
        <v>173</v>
      </c>
      <c r="D184">
        <f t="shared" ca="1" si="16"/>
        <v>2</v>
      </c>
      <c r="E184" s="2">
        <f t="shared" si="19"/>
        <v>0</v>
      </c>
      <c r="F184" s="2">
        <f t="shared" si="20"/>
        <v>0</v>
      </c>
      <c r="G184" s="2">
        <f t="shared" ca="1" si="21"/>
        <v>0.18921384389025064</v>
      </c>
      <c r="H184" s="2">
        <f t="shared" si="17"/>
        <v>0</v>
      </c>
      <c r="I184" s="2">
        <f t="shared" ca="1" si="18"/>
        <v>0</v>
      </c>
    </row>
    <row r="185" spans="2:9" x14ac:dyDescent="0.2">
      <c r="B185" s="4">
        <f t="shared" ca="1" si="23"/>
        <v>44222</v>
      </c>
      <c r="C185">
        <f t="shared" si="23"/>
        <v>174</v>
      </c>
      <c r="D185">
        <f t="shared" ca="1" si="16"/>
        <v>3</v>
      </c>
      <c r="E185" s="2">
        <f t="shared" si="19"/>
        <v>0</v>
      </c>
      <c r="F185" s="2">
        <f t="shared" si="20"/>
        <v>0</v>
      </c>
      <c r="G185" s="2">
        <f t="shared" ca="1" si="21"/>
        <v>0.18921384389025064</v>
      </c>
      <c r="H185" s="2">
        <f t="shared" si="17"/>
        <v>0</v>
      </c>
      <c r="I185" s="2">
        <f t="shared" ca="1" si="18"/>
        <v>0</v>
      </c>
    </row>
    <row r="186" spans="2:9" x14ac:dyDescent="0.2">
      <c r="B186" s="4">
        <f t="shared" ca="1" si="23"/>
        <v>44223</v>
      </c>
      <c r="C186">
        <f t="shared" si="23"/>
        <v>175</v>
      </c>
      <c r="D186">
        <f t="shared" ca="1" si="16"/>
        <v>4</v>
      </c>
      <c r="E186" s="2">
        <f t="shared" si="19"/>
        <v>0</v>
      </c>
      <c r="F186" s="2">
        <f t="shared" si="20"/>
        <v>0</v>
      </c>
      <c r="G186" s="2">
        <f t="shared" ca="1" si="21"/>
        <v>0.18921384389025064</v>
      </c>
      <c r="H186" s="2">
        <f t="shared" si="17"/>
        <v>0</v>
      </c>
      <c r="I186" s="2">
        <f t="shared" ca="1" si="18"/>
        <v>0</v>
      </c>
    </row>
    <row r="187" spans="2:9" x14ac:dyDescent="0.2">
      <c r="B187" s="4">
        <f t="shared" ca="1" si="23"/>
        <v>44224</v>
      </c>
      <c r="C187">
        <f t="shared" si="23"/>
        <v>176</v>
      </c>
      <c r="D187">
        <f t="shared" ca="1" si="16"/>
        <v>5</v>
      </c>
      <c r="E187" s="2">
        <f t="shared" si="19"/>
        <v>0</v>
      </c>
      <c r="F187" s="2">
        <f t="shared" si="20"/>
        <v>0</v>
      </c>
      <c r="G187" s="2">
        <f t="shared" ca="1" si="21"/>
        <v>0.18921384389025064</v>
      </c>
      <c r="H187" s="2">
        <f t="shared" si="17"/>
        <v>0</v>
      </c>
      <c r="I187" s="2">
        <f t="shared" ca="1" si="18"/>
        <v>0</v>
      </c>
    </row>
    <row r="188" spans="2:9" x14ac:dyDescent="0.2">
      <c r="B188" s="4">
        <f t="shared" ca="1" si="23"/>
        <v>44225</v>
      </c>
      <c r="C188">
        <f t="shared" si="23"/>
        <v>177</v>
      </c>
      <c r="D188">
        <f t="shared" ca="1" si="16"/>
        <v>6</v>
      </c>
      <c r="E188" s="2">
        <f t="shared" si="19"/>
        <v>0</v>
      </c>
      <c r="F188" s="2">
        <f t="shared" si="20"/>
        <v>0</v>
      </c>
      <c r="G188" s="2">
        <f t="shared" ca="1" si="21"/>
        <v>0.18921384389025064</v>
      </c>
      <c r="H188" s="2">
        <f t="shared" si="17"/>
        <v>0</v>
      </c>
      <c r="I188" s="2">
        <f t="shared" ca="1" si="18"/>
        <v>0</v>
      </c>
    </row>
    <row r="189" spans="2:9" x14ac:dyDescent="0.2">
      <c r="B189" s="4">
        <f t="shared" ca="1" si="23"/>
        <v>44226</v>
      </c>
      <c r="C189">
        <f t="shared" si="23"/>
        <v>178</v>
      </c>
      <c r="D189">
        <f t="shared" ca="1" si="16"/>
        <v>7</v>
      </c>
      <c r="E189" s="2">
        <f t="shared" si="19"/>
        <v>0</v>
      </c>
      <c r="F189" s="2">
        <f t="shared" si="20"/>
        <v>0</v>
      </c>
      <c r="G189" s="2">
        <f t="shared" ca="1" si="21"/>
        <v>0.18921384389025064</v>
      </c>
      <c r="H189" s="2">
        <f t="shared" si="17"/>
        <v>0</v>
      </c>
      <c r="I189" s="2">
        <f t="shared" ca="1" si="18"/>
        <v>0</v>
      </c>
    </row>
    <row r="190" spans="2:9" x14ac:dyDescent="0.2">
      <c r="B190" s="4">
        <f t="shared" ca="1" si="23"/>
        <v>44227</v>
      </c>
      <c r="C190">
        <f t="shared" si="23"/>
        <v>179</v>
      </c>
      <c r="D190">
        <f t="shared" ca="1" si="16"/>
        <v>1</v>
      </c>
      <c r="E190" s="2">
        <f t="shared" si="19"/>
        <v>0</v>
      </c>
      <c r="F190" s="2">
        <f t="shared" si="20"/>
        <v>0</v>
      </c>
      <c r="G190" s="2">
        <f t="shared" ca="1" si="21"/>
        <v>0.18921384389025064</v>
      </c>
      <c r="H190" s="2">
        <f t="shared" si="17"/>
        <v>0</v>
      </c>
      <c r="I190" s="2">
        <f t="shared" ca="1" si="18"/>
        <v>0</v>
      </c>
    </row>
    <row r="191" spans="2:9" x14ac:dyDescent="0.2">
      <c r="B191" s="4">
        <f t="shared" ca="1" si="23"/>
        <v>44228</v>
      </c>
      <c r="C191">
        <f t="shared" si="23"/>
        <v>180</v>
      </c>
      <c r="D191">
        <f t="shared" ca="1" si="16"/>
        <v>2</v>
      </c>
      <c r="E191" s="2">
        <f t="shared" si="19"/>
        <v>0</v>
      </c>
      <c r="F191" s="2">
        <f t="shared" si="20"/>
        <v>0</v>
      </c>
      <c r="G191" s="2">
        <f t="shared" ca="1" si="21"/>
        <v>0.18921384389025064</v>
      </c>
      <c r="H191" s="2">
        <f t="shared" si="17"/>
        <v>0</v>
      </c>
      <c r="I191" s="2">
        <f t="shared" ca="1" si="18"/>
        <v>0</v>
      </c>
    </row>
    <row r="192" spans="2:9" x14ac:dyDescent="0.2">
      <c r="B192" s="4">
        <f t="shared" ca="1" si="23"/>
        <v>44229</v>
      </c>
      <c r="C192">
        <f t="shared" si="23"/>
        <v>181</v>
      </c>
      <c r="D192">
        <f t="shared" ca="1" si="16"/>
        <v>3</v>
      </c>
      <c r="E192" s="2">
        <f t="shared" si="19"/>
        <v>0</v>
      </c>
      <c r="F192" s="2">
        <f t="shared" si="20"/>
        <v>0</v>
      </c>
      <c r="G192" s="2">
        <f t="shared" ca="1" si="21"/>
        <v>0.18921384389025064</v>
      </c>
      <c r="H192" s="2">
        <f t="shared" si="17"/>
        <v>0</v>
      </c>
      <c r="I192" s="2">
        <f t="shared" ca="1" si="18"/>
        <v>0</v>
      </c>
    </row>
    <row r="193" spans="2:9" x14ac:dyDescent="0.2">
      <c r="B193" s="4">
        <f t="shared" ca="1" si="23"/>
        <v>44230</v>
      </c>
      <c r="C193">
        <f t="shared" si="23"/>
        <v>182</v>
      </c>
      <c r="D193">
        <f t="shared" ca="1" si="16"/>
        <v>4</v>
      </c>
      <c r="E193" s="2">
        <f t="shared" si="19"/>
        <v>0</v>
      </c>
      <c r="F193" s="2">
        <f t="shared" si="20"/>
        <v>0</v>
      </c>
      <c r="G193" s="2">
        <f t="shared" ca="1" si="21"/>
        <v>0.18921384389025064</v>
      </c>
      <c r="H193" s="2">
        <f t="shared" si="17"/>
        <v>0</v>
      </c>
      <c r="I193" s="2">
        <f t="shared" ca="1" si="18"/>
        <v>0</v>
      </c>
    </row>
    <row r="194" spans="2:9" x14ac:dyDescent="0.2">
      <c r="B194" s="4">
        <f t="shared" ca="1" si="23"/>
        <v>44231</v>
      </c>
      <c r="C194">
        <f t="shared" si="23"/>
        <v>183</v>
      </c>
      <c r="D194">
        <f t="shared" ca="1" si="16"/>
        <v>5</v>
      </c>
      <c r="E194" s="2">
        <f t="shared" si="19"/>
        <v>0</v>
      </c>
      <c r="F194" s="2">
        <f t="shared" si="20"/>
        <v>0</v>
      </c>
      <c r="G194" s="2">
        <f t="shared" ca="1" si="21"/>
        <v>0.18921384389025064</v>
      </c>
      <c r="H194" s="2">
        <f t="shared" si="17"/>
        <v>0</v>
      </c>
      <c r="I194" s="2">
        <f t="shared" ca="1" si="18"/>
        <v>0</v>
      </c>
    </row>
    <row r="195" spans="2:9" x14ac:dyDescent="0.2">
      <c r="B195" s="4">
        <f t="shared" ca="1" si="23"/>
        <v>44232</v>
      </c>
      <c r="C195">
        <f t="shared" si="23"/>
        <v>184</v>
      </c>
      <c r="D195">
        <f t="shared" ca="1" si="16"/>
        <v>6</v>
      </c>
      <c r="E195" s="2">
        <f t="shared" si="19"/>
        <v>0</v>
      </c>
      <c r="F195" s="2">
        <f t="shared" si="20"/>
        <v>0</v>
      </c>
      <c r="G195" s="2">
        <f t="shared" ca="1" si="21"/>
        <v>0.18921384389025064</v>
      </c>
      <c r="H195" s="2">
        <f t="shared" si="17"/>
        <v>0</v>
      </c>
      <c r="I195" s="2">
        <f t="shared" ca="1" si="18"/>
        <v>0</v>
      </c>
    </row>
    <row r="196" spans="2:9" x14ac:dyDescent="0.2">
      <c r="B196" s="4">
        <f t="shared" ca="1" si="23"/>
        <v>44233</v>
      </c>
      <c r="C196">
        <f t="shared" si="23"/>
        <v>185</v>
      </c>
      <c r="D196">
        <f t="shared" ca="1" si="16"/>
        <v>7</v>
      </c>
      <c r="E196" s="2">
        <f t="shared" si="19"/>
        <v>0</v>
      </c>
      <c r="F196" s="2">
        <f t="shared" si="20"/>
        <v>0</v>
      </c>
      <c r="G196" s="2">
        <f t="shared" ca="1" si="21"/>
        <v>0.18921384389025064</v>
      </c>
      <c r="H196" s="2">
        <f t="shared" si="17"/>
        <v>0</v>
      </c>
      <c r="I196" s="2">
        <f t="shared" ca="1" si="18"/>
        <v>0</v>
      </c>
    </row>
    <row r="197" spans="2:9" x14ac:dyDescent="0.2">
      <c r="B197" s="4">
        <f t="shared" ca="1" si="23"/>
        <v>44234</v>
      </c>
      <c r="C197">
        <f t="shared" si="23"/>
        <v>186</v>
      </c>
      <c r="D197">
        <f t="shared" ca="1" si="16"/>
        <v>1</v>
      </c>
      <c r="E197" s="2">
        <f t="shared" si="19"/>
        <v>0</v>
      </c>
      <c r="F197" s="2">
        <f t="shared" si="20"/>
        <v>0</v>
      </c>
      <c r="G197" s="2">
        <f t="shared" ca="1" si="21"/>
        <v>0.18921384389025064</v>
      </c>
      <c r="H197" s="2">
        <f t="shared" si="17"/>
        <v>0</v>
      </c>
      <c r="I197" s="2">
        <f t="shared" ca="1" si="18"/>
        <v>0</v>
      </c>
    </row>
    <row r="198" spans="2:9" x14ac:dyDescent="0.2">
      <c r="B198" s="4">
        <f t="shared" ca="1" si="23"/>
        <v>44235</v>
      </c>
      <c r="C198">
        <f t="shared" si="23"/>
        <v>187</v>
      </c>
      <c r="D198">
        <f t="shared" ca="1" si="16"/>
        <v>2</v>
      </c>
      <c r="E198" s="2">
        <f t="shared" si="19"/>
        <v>0</v>
      </c>
      <c r="F198" s="2">
        <f t="shared" si="20"/>
        <v>0</v>
      </c>
      <c r="G198" s="2">
        <f t="shared" ca="1" si="21"/>
        <v>0.18921384389025064</v>
      </c>
      <c r="H198" s="2">
        <f t="shared" si="17"/>
        <v>0</v>
      </c>
      <c r="I198" s="2">
        <f t="shared" ca="1" si="18"/>
        <v>0</v>
      </c>
    </row>
    <row r="199" spans="2:9" x14ac:dyDescent="0.2">
      <c r="B199" s="4">
        <f t="shared" ca="1" si="23"/>
        <v>44236</v>
      </c>
      <c r="C199">
        <f t="shared" si="23"/>
        <v>188</v>
      </c>
      <c r="D199">
        <f t="shared" ca="1" si="16"/>
        <v>3</v>
      </c>
      <c r="E199" s="2">
        <f t="shared" si="19"/>
        <v>0</v>
      </c>
      <c r="F199" s="2">
        <f t="shared" si="20"/>
        <v>0</v>
      </c>
      <c r="G199" s="2">
        <f t="shared" ca="1" si="21"/>
        <v>0.18921384389025064</v>
      </c>
      <c r="H199" s="2">
        <f t="shared" si="17"/>
        <v>0</v>
      </c>
      <c r="I199" s="2">
        <f t="shared" ca="1" si="18"/>
        <v>0</v>
      </c>
    </row>
    <row r="200" spans="2:9" x14ac:dyDescent="0.2">
      <c r="B200" s="4">
        <f t="shared" ca="1" si="23"/>
        <v>44237</v>
      </c>
      <c r="C200">
        <f t="shared" si="23"/>
        <v>189</v>
      </c>
      <c r="D200">
        <f t="shared" ca="1" si="16"/>
        <v>4</v>
      </c>
      <c r="E200" s="2">
        <f t="shared" si="19"/>
        <v>0</v>
      </c>
      <c r="F200" s="2">
        <f t="shared" si="20"/>
        <v>0</v>
      </c>
      <c r="G200" s="2">
        <f t="shared" ca="1" si="21"/>
        <v>0.18921384389025064</v>
      </c>
      <c r="H200" s="2">
        <f t="shared" si="17"/>
        <v>0</v>
      </c>
      <c r="I200" s="2">
        <f t="shared" ca="1" si="18"/>
        <v>0</v>
      </c>
    </row>
    <row r="201" spans="2:9" x14ac:dyDescent="0.2">
      <c r="B201" s="4">
        <f t="shared" ca="1" si="23"/>
        <v>44238</v>
      </c>
      <c r="C201">
        <f t="shared" si="23"/>
        <v>190</v>
      </c>
      <c r="D201">
        <f t="shared" ca="1" si="16"/>
        <v>5</v>
      </c>
      <c r="E201" s="2">
        <f t="shared" si="19"/>
        <v>0</v>
      </c>
      <c r="F201" s="2">
        <f t="shared" si="20"/>
        <v>0</v>
      </c>
      <c r="G201" s="2">
        <f t="shared" ca="1" si="21"/>
        <v>0.18921384389025064</v>
      </c>
      <c r="H201" s="2">
        <f t="shared" si="17"/>
        <v>0</v>
      </c>
      <c r="I201" s="2">
        <f t="shared" ca="1" si="18"/>
        <v>0</v>
      </c>
    </row>
    <row r="202" spans="2:9" x14ac:dyDescent="0.2">
      <c r="B202" s="4">
        <f t="shared" ca="1" si="23"/>
        <v>44239</v>
      </c>
      <c r="C202">
        <f t="shared" si="23"/>
        <v>191</v>
      </c>
      <c r="D202">
        <f t="shared" ca="1" si="16"/>
        <v>6</v>
      </c>
      <c r="E202" s="2">
        <f t="shared" si="19"/>
        <v>0</v>
      </c>
      <c r="F202" s="2">
        <f t="shared" si="20"/>
        <v>0</v>
      </c>
      <c r="G202" s="2">
        <f t="shared" ca="1" si="21"/>
        <v>0.18921384389025064</v>
      </c>
      <c r="H202" s="2">
        <f t="shared" si="17"/>
        <v>0</v>
      </c>
      <c r="I202" s="2">
        <f t="shared" ca="1" si="18"/>
        <v>0</v>
      </c>
    </row>
    <row r="203" spans="2:9" x14ac:dyDescent="0.2">
      <c r="B203" s="4">
        <f t="shared" ca="1" si="23"/>
        <v>44240</v>
      </c>
      <c r="C203">
        <f t="shared" si="23"/>
        <v>192</v>
      </c>
      <c r="D203">
        <f t="shared" ca="1" si="16"/>
        <v>7</v>
      </c>
      <c r="E203" s="2">
        <f t="shared" si="19"/>
        <v>0</v>
      </c>
      <c r="F203" s="2">
        <f t="shared" si="20"/>
        <v>0</v>
      </c>
      <c r="G203" s="2">
        <f t="shared" ca="1" si="21"/>
        <v>0.18921384389025064</v>
      </c>
      <c r="H203" s="2">
        <f t="shared" si="17"/>
        <v>0</v>
      </c>
      <c r="I203" s="2">
        <f t="shared" ca="1" si="18"/>
        <v>0</v>
      </c>
    </row>
    <row r="204" spans="2:9" x14ac:dyDescent="0.2">
      <c r="B204" s="4">
        <f t="shared" ca="1" si="23"/>
        <v>44241</v>
      </c>
      <c r="C204">
        <f t="shared" si="23"/>
        <v>193</v>
      </c>
      <c r="D204">
        <f t="shared" ref="D204:D211" ca="1" si="24">WEEKDAY(B204,1)</f>
        <v>1</v>
      </c>
      <c r="E204" s="2">
        <f t="shared" si="19"/>
        <v>0</v>
      </c>
      <c r="F204" s="2">
        <f t="shared" si="20"/>
        <v>0</v>
      </c>
      <c r="G204" s="2">
        <f t="shared" ca="1" si="21"/>
        <v>0.18921384389025064</v>
      </c>
      <c r="H204" s="2">
        <f t="shared" ref="H204:H211" si="25">IF(C204&gt;$C$7,0,(G204)*$C$5/365)</f>
        <v>0</v>
      </c>
      <c r="I204" s="2">
        <f t="shared" ref="I204:I211" ca="1" si="26">IF(AND(C204=0,D204=7),$C$6,IF(C204=$C$7,0,IF(C204&lt;$C$7,IF(D204=7,$C$6,0),0)))</f>
        <v>0</v>
      </c>
    </row>
    <row r="205" spans="2:9" x14ac:dyDescent="0.2">
      <c r="B205" s="4">
        <f t="shared" ca="1" si="23"/>
        <v>44242</v>
      </c>
      <c r="C205">
        <f t="shared" si="23"/>
        <v>194</v>
      </c>
      <c r="D205">
        <f t="shared" ca="1" si="24"/>
        <v>2</v>
      </c>
      <c r="E205" s="2">
        <f t="shared" ref="E205:E211" si="27">IF(C205&gt;$C$7,0,G204+H204+I204)</f>
        <v>0</v>
      </c>
      <c r="F205" s="2">
        <f t="shared" ref="F205:F211" si="28">IF(C205&gt;$C$7,0,IF(ROUND(E205,0)&gt;0,IF(C205=0,0,IF(MOD(C205,$C$3)&gt;0,0,$C$8)),0))</f>
        <v>0</v>
      </c>
      <c r="G205" s="2">
        <f t="shared" ref="G205:G211" ca="1" si="29">IF(C205&gt;$C$7,G204,E205-F205)</f>
        <v>0.18921384389025064</v>
      </c>
      <c r="H205" s="2">
        <f t="shared" si="25"/>
        <v>0</v>
      </c>
      <c r="I205" s="2">
        <f t="shared" ca="1" si="26"/>
        <v>0</v>
      </c>
    </row>
    <row r="206" spans="2:9" x14ac:dyDescent="0.2">
      <c r="B206" s="4">
        <f t="shared" ca="1" si="23"/>
        <v>44243</v>
      </c>
      <c r="C206">
        <f t="shared" si="23"/>
        <v>195</v>
      </c>
      <c r="D206">
        <f t="shared" ca="1" si="24"/>
        <v>3</v>
      </c>
      <c r="E206" s="2">
        <f t="shared" si="27"/>
        <v>0</v>
      </c>
      <c r="F206" s="2">
        <f t="shared" si="28"/>
        <v>0</v>
      </c>
      <c r="G206" s="2">
        <f t="shared" ca="1" si="29"/>
        <v>0.18921384389025064</v>
      </c>
      <c r="H206" s="2">
        <f t="shared" si="25"/>
        <v>0</v>
      </c>
      <c r="I206" s="2">
        <f t="shared" ca="1" si="26"/>
        <v>0</v>
      </c>
    </row>
    <row r="207" spans="2:9" x14ac:dyDescent="0.2">
      <c r="B207" s="4">
        <f t="shared" ca="1" si="23"/>
        <v>44244</v>
      </c>
      <c r="C207">
        <f t="shared" si="23"/>
        <v>196</v>
      </c>
      <c r="D207">
        <f t="shared" ca="1" si="24"/>
        <v>4</v>
      </c>
      <c r="E207" s="2">
        <f t="shared" si="27"/>
        <v>0</v>
      </c>
      <c r="F207" s="2">
        <f t="shared" si="28"/>
        <v>0</v>
      </c>
      <c r="G207" s="2">
        <f t="shared" ca="1" si="29"/>
        <v>0.18921384389025064</v>
      </c>
      <c r="H207" s="2">
        <f t="shared" si="25"/>
        <v>0</v>
      </c>
      <c r="I207" s="2">
        <f t="shared" ca="1" si="26"/>
        <v>0</v>
      </c>
    </row>
    <row r="208" spans="2:9" x14ac:dyDescent="0.2">
      <c r="B208" s="4">
        <f t="shared" ca="1" si="23"/>
        <v>44245</v>
      </c>
      <c r="C208">
        <f t="shared" si="23"/>
        <v>197</v>
      </c>
      <c r="D208">
        <f t="shared" ca="1" si="24"/>
        <v>5</v>
      </c>
      <c r="E208" s="2">
        <f t="shared" si="27"/>
        <v>0</v>
      </c>
      <c r="F208" s="2">
        <f t="shared" si="28"/>
        <v>0</v>
      </c>
      <c r="G208" s="2">
        <f t="shared" ca="1" si="29"/>
        <v>0.18921384389025064</v>
      </c>
      <c r="H208" s="2">
        <f t="shared" si="25"/>
        <v>0</v>
      </c>
      <c r="I208" s="2">
        <f t="shared" ca="1" si="26"/>
        <v>0</v>
      </c>
    </row>
    <row r="209" spans="2:9" x14ac:dyDescent="0.2">
      <c r="B209" s="4">
        <f t="shared" ca="1" si="23"/>
        <v>44246</v>
      </c>
      <c r="C209">
        <f t="shared" si="23"/>
        <v>198</v>
      </c>
      <c r="D209">
        <f t="shared" ca="1" si="24"/>
        <v>6</v>
      </c>
      <c r="E209" s="2">
        <f t="shared" si="27"/>
        <v>0</v>
      </c>
      <c r="F209" s="2">
        <f t="shared" si="28"/>
        <v>0</v>
      </c>
      <c r="G209" s="2">
        <f t="shared" ca="1" si="29"/>
        <v>0.18921384389025064</v>
      </c>
      <c r="H209" s="2">
        <f t="shared" si="25"/>
        <v>0</v>
      </c>
      <c r="I209" s="2">
        <f t="shared" ca="1" si="26"/>
        <v>0</v>
      </c>
    </row>
    <row r="210" spans="2:9" x14ac:dyDescent="0.2">
      <c r="B210" s="4">
        <f t="shared" ca="1" si="23"/>
        <v>44247</v>
      </c>
      <c r="C210">
        <f t="shared" si="23"/>
        <v>199</v>
      </c>
      <c r="D210">
        <f t="shared" ca="1" si="24"/>
        <v>7</v>
      </c>
      <c r="E210" s="2">
        <f t="shared" si="27"/>
        <v>0</v>
      </c>
      <c r="F210" s="2">
        <f t="shared" si="28"/>
        <v>0</v>
      </c>
      <c r="G210" s="2">
        <f t="shared" ca="1" si="29"/>
        <v>0.18921384389025064</v>
      </c>
      <c r="H210" s="2">
        <f t="shared" si="25"/>
        <v>0</v>
      </c>
      <c r="I210" s="2">
        <f t="shared" ca="1" si="26"/>
        <v>0</v>
      </c>
    </row>
    <row r="211" spans="2:9" x14ac:dyDescent="0.2">
      <c r="B211" s="4">
        <f t="shared" ca="1" si="23"/>
        <v>44248</v>
      </c>
      <c r="C211">
        <f t="shared" si="23"/>
        <v>200</v>
      </c>
      <c r="D211">
        <f t="shared" ca="1" si="24"/>
        <v>1</v>
      </c>
      <c r="E211" s="2">
        <f t="shared" si="27"/>
        <v>0</v>
      </c>
      <c r="F211" s="2">
        <f t="shared" si="28"/>
        <v>0</v>
      </c>
      <c r="G211" s="2">
        <f t="shared" ca="1" si="29"/>
        <v>0.18921384389025064</v>
      </c>
      <c r="H211" s="2">
        <f t="shared" si="25"/>
        <v>0</v>
      </c>
      <c r="I211" s="2">
        <f t="shared" ca="1" si="26"/>
        <v>0</v>
      </c>
    </row>
  </sheetData>
  <mergeCells count="2">
    <mergeCell ref="H2:I4"/>
    <mergeCell ref="E7:F8"/>
  </mergeCells>
  <conditionalFormatting sqref="B11:H211">
    <cfRule type="expression" dxfId="75" priority="9">
      <formula>$C11=$C$7</formula>
    </cfRule>
    <cfRule type="expression" dxfId="74" priority="10">
      <formula>$C11&gt;$C$7</formula>
    </cfRule>
  </conditionalFormatting>
  <conditionalFormatting sqref="E7">
    <cfRule type="cellIs" dxfId="73" priority="3" operator="equal">
      <formula>"No RESET Required"</formula>
    </cfRule>
    <cfRule type="cellIs" dxfId="72" priority="4" operator="equal">
      <formula>"RESET"</formula>
    </cfRule>
  </conditionalFormatting>
  <conditionalFormatting sqref="I11:I211">
    <cfRule type="expression" dxfId="71" priority="1">
      <formula>$C11=$C$7</formula>
    </cfRule>
    <cfRule type="expression" dxfId="70" priority="2">
      <formula>$C11&gt;$C$7</formula>
    </cfRule>
  </conditionalFormatting>
  <hyperlinks>
    <hyperlink ref="H2:I4" location="Summary!A1" display="Return to Home" xr:uid="{08C537B8-6238-4435-9FEB-BF8894B35703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215900</xdr:colOff>
                    <xdr:row>5</xdr:row>
                    <xdr:rowOff>25400</xdr:rowOff>
                  </from>
                  <to>
                    <xdr:col>8</xdr:col>
                    <xdr:colOff>1562100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AEE53-E2BB-43C5-9B28-CF8BC84AACDA}">
  <sheetPr codeName="Sheet11">
    <tabColor rgb="FF7030A0"/>
  </sheetPr>
  <dimension ref="B1:J211"/>
  <sheetViews>
    <sheetView zoomScaleNormal="85" workbookViewId="0">
      <pane ySplit="10" topLeftCell="A58" activePane="bottomLeft" state="frozen"/>
      <selection activeCell="A11" sqref="A11"/>
      <selection pane="bottomLeft" activeCell="C8" sqref="C8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8.5" bestFit="1" customWidth="1"/>
    <col min="8" max="8" width="13" customWidth="1"/>
    <col min="9" max="9" width="25" bestFit="1" customWidth="1"/>
    <col min="10" max="10" width="9.1640625" bestFit="1" customWidth="1"/>
  </cols>
  <sheetData>
    <row r="1" spans="2:10" ht="16" thickBot="1" x14ac:dyDescent="0.25"/>
    <row r="2" spans="2:10" x14ac:dyDescent="0.2">
      <c r="B2" s="33" t="s">
        <v>0</v>
      </c>
      <c r="C2" s="13">
        <v>250</v>
      </c>
      <c r="E2" s="33" t="s">
        <v>1</v>
      </c>
      <c r="F2" s="16">
        <f ca="1">TODAY()-1</f>
        <v>44048</v>
      </c>
      <c r="H2" s="23" t="s">
        <v>34</v>
      </c>
      <c r="I2" s="24"/>
    </row>
    <row r="3" spans="2:10" x14ac:dyDescent="0.2">
      <c r="B3" s="1" t="s">
        <v>2</v>
      </c>
      <c r="C3" s="34">
        <v>14</v>
      </c>
      <c r="E3" s="1" t="s">
        <v>3</v>
      </c>
      <c r="F3" s="15">
        <f ca="1">SUM(H11:H211)</f>
        <v>5.1321907470818697</v>
      </c>
      <c r="H3" s="25"/>
      <c r="I3" s="26"/>
    </row>
    <row r="4" spans="2:10" ht="16" thickBot="1" x14ac:dyDescent="0.25">
      <c r="B4" s="1" t="s">
        <v>4</v>
      </c>
      <c r="C4" s="9">
        <f>C7/C3</f>
        <v>4</v>
      </c>
      <c r="E4" s="1" t="s">
        <v>5</v>
      </c>
      <c r="F4" s="15">
        <f ca="1">SUM(I11:I211)</f>
        <v>160</v>
      </c>
      <c r="H4" s="27"/>
      <c r="I4" s="28"/>
    </row>
    <row r="5" spans="2:10" x14ac:dyDescent="0.2">
      <c r="B5" s="33" t="s">
        <v>6</v>
      </c>
      <c r="C5" s="12">
        <v>0.19</v>
      </c>
      <c r="E5" s="1" t="s">
        <v>7</v>
      </c>
      <c r="F5" s="15">
        <f ca="1">SUM(F12:F211)</f>
        <v>414.87884917148159</v>
      </c>
    </row>
    <row r="6" spans="2:10" ht="16" thickBot="1" x14ac:dyDescent="0.25">
      <c r="B6" s="33" t="s">
        <v>8</v>
      </c>
      <c r="C6" s="13">
        <v>20</v>
      </c>
    </row>
    <row r="7" spans="2:10" ht="15" customHeight="1" x14ac:dyDescent="0.2">
      <c r="B7" s="33" t="s">
        <v>9</v>
      </c>
      <c r="C7" s="11">
        <v>56</v>
      </c>
      <c r="E7" s="29" t="str">
        <f ca="1">IF(ROUND(G211,2)&lt;&gt;0,"RESET","No RESET Required")</f>
        <v>RESET</v>
      </c>
      <c r="F7" s="30"/>
    </row>
    <row r="8" spans="2:10" ht="15" customHeight="1" thickBot="1" x14ac:dyDescent="0.25">
      <c r="B8" s="1" t="s">
        <v>10</v>
      </c>
      <c r="C8" s="8">
        <v>103.7197122928704</v>
      </c>
      <c r="E8" s="31"/>
      <c r="F8" s="32"/>
    </row>
    <row r="9" spans="2:10" x14ac:dyDescent="0.2">
      <c r="C9" s="2"/>
      <c r="F9" s="3"/>
      <c r="G9" s="3"/>
      <c r="H9" s="3"/>
      <c r="I9" s="3"/>
      <c r="J9" s="3"/>
    </row>
    <row r="10" spans="2:10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10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250</v>
      </c>
      <c r="H11" s="2">
        <f ca="1">IF(C11&gt;$C$7,0,(G11)*$C$5/365)</f>
        <v>0.13013698630136986</v>
      </c>
      <c r="I11" s="2">
        <f ca="1">IF(AND(C11=0,D11=7),$C$6,IF(C11=$C$7,0,IF(C11&lt;$C$7,IF(D11=7,$C$6,0),0)))</f>
        <v>0</v>
      </c>
    </row>
    <row r="12" spans="2:10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250.13013698630138</v>
      </c>
      <c r="F12" s="2">
        <f ca="1">IF(C12&gt;$C$7,0,IF(ROUND(E12,0)&gt;0,IF(C12=0,0,IF(MOD(C12,$C$3)&gt;0,0,$C$8)),0))</f>
        <v>0</v>
      </c>
      <c r="G12" s="2">
        <f ca="1">IF(C12&gt;$C$7,G11,E12-F12)</f>
        <v>250.13013698630138</v>
      </c>
      <c r="H12" s="2">
        <f t="shared" ref="H12:H75" ca="1" si="1">IF(C12&gt;$C$7,0,(G12)*$C$5/365)</f>
        <v>0.13020472884218429</v>
      </c>
      <c r="I12" s="2">
        <f t="shared" ref="I12:I75" ca="1" si="2">IF(AND(C12=0,D12=7),$C$6,IF(C12=$C$7,0,IF(C12&lt;$C$7,IF(D12=7,$C$6,0),0)))</f>
        <v>0</v>
      </c>
    </row>
    <row r="13" spans="2:10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250.26034171514357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250.26034171514357</v>
      </c>
      <c r="H13" s="2">
        <f t="shared" ca="1" si="1"/>
        <v>0.13027250664623913</v>
      </c>
      <c r="I13" s="2">
        <f t="shared" ca="1" si="2"/>
        <v>0</v>
      </c>
    </row>
    <row r="14" spans="2:10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250.3906142217898</v>
      </c>
      <c r="F14" s="2">
        <f t="shared" ca="1" si="5"/>
        <v>0</v>
      </c>
      <c r="G14" s="2">
        <f t="shared" ca="1" si="6"/>
        <v>250.3906142217898</v>
      </c>
      <c r="H14" s="2">
        <f t="shared" ca="1" si="1"/>
        <v>0.13034031973189059</v>
      </c>
      <c r="I14" s="2">
        <f t="shared" ca="1" si="2"/>
        <v>20</v>
      </c>
    </row>
    <row r="15" spans="2:10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270.52095454152169</v>
      </c>
      <c r="F15" s="2">
        <f t="shared" ca="1" si="5"/>
        <v>0</v>
      </c>
      <c r="G15" s="2">
        <f t="shared" ca="1" si="6"/>
        <v>270.52095454152169</v>
      </c>
      <c r="H15" s="2">
        <f t="shared" ca="1" si="1"/>
        <v>0.14081912702161403</v>
      </c>
      <c r="I15" s="2">
        <f t="shared" ca="1" si="2"/>
        <v>0</v>
      </c>
    </row>
    <row r="16" spans="2:10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270.66177366854328</v>
      </c>
      <c r="F16" s="2">
        <f t="shared" ca="1" si="5"/>
        <v>0</v>
      </c>
      <c r="G16" s="2">
        <f t="shared" ca="1" si="6"/>
        <v>270.66177366854328</v>
      </c>
      <c r="H16" s="2">
        <f t="shared" ca="1" si="1"/>
        <v>0.14089243012883074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270.80266609867209</v>
      </c>
      <c r="F17" s="2">
        <f t="shared" ca="1" si="5"/>
        <v>0</v>
      </c>
      <c r="G17" s="2">
        <f t="shared" ca="1" si="6"/>
        <v>270.80266609867209</v>
      </c>
      <c r="H17" s="2">
        <f t="shared" ca="1" si="1"/>
        <v>0.14096577139382932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270.94363187006593</v>
      </c>
      <c r="F18" s="2">
        <f t="shared" ca="1" si="5"/>
        <v>0</v>
      </c>
      <c r="G18" s="2">
        <f t="shared" ca="1" si="6"/>
        <v>270.94363187006593</v>
      </c>
      <c r="H18" s="2">
        <f t="shared" ca="1" si="1"/>
        <v>0.14103915083647267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271.08467102090242</v>
      </c>
      <c r="F19" s="2">
        <f t="shared" ca="1" si="5"/>
        <v>0</v>
      </c>
      <c r="G19" s="2">
        <f t="shared" ca="1" si="6"/>
        <v>271.08467102090242</v>
      </c>
      <c r="H19" s="2">
        <f t="shared" ca="1" si="1"/>
        <v>0.14111256847663414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271.22578358937903</v>
      </c>
      <c r="F20" s="2">
        <f t="shared" ca="1" si="5"/>
        <v>0</v>
      </c>
      <c r="G20" s="2">
        <f t="shared" ca="1" si="6"/>
        <v>271.22578358937903</v>
      </c>
      <c r="H20" s="2">
        <f t="shared" ca="1" si="1"/>
        <v>0.1411860243341973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271.36696961371325</v>
      </c>
      <c r="F21" s="2">
        <f t="shared" ca="1" si="5"/>
        <v>0</v>
      </c>
      <c r="G21" s="2">
        <f t="shared" ca="1" si="6"/>
        <v>271.36696961371325</v>
      </c>
      <c r="H21" s="2">
        <f t="shared" ca="1" si="1"/>
        <v>0.14125951842905621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291.50822913214233</v>
      </c>
      <c r="F22" s="2">
        <f t="shared" ca="1" si="5"/>
        <v>0</v>
      </c>
      <c r="G22" s="2">
        <f t="shared" ca="1" si="6"/>
        <v>291.50822913214233</v>
      </c>
      <c r="H22" s="2">
        <f t="shared" ca="1" si="1"/>
        <v>0.15174400968522478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291.65997314182755</v>
      </c>
      <c r="F23" s="2">
        <f t="shared" ca="1" si="5"/>
        <v>0</v>
      </c>
      <c r="G23" s="2">
        <f t="shared" ca="1" si="6"/>
        <v>291.65997314182755</v>
      </c>
      <c r="H23" s="2">
        <f t="shared" ca="1" si="1"/>
        <v>0.15182299971766366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291.81179614154519</v>
      </c>
      <c r="F24" s="2">
        <f t="shared" ca="1" si="5"/>
        <v>0</v>
      </c>
      <c r="G24" s="2">
        <f t="shared" ca="1" si="6"/>
        <v>291.81179614154519</v>
      </c>
      <c r="H24" s="2">
        <f t="shared" ca="1" si="1"/>
        <v>0.15190203086820159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291.96369817241339</v>
      </c>
      <c r="F25" s="2">
        <f t="shared" ca="1" si="5"/>
        <v>103.7197122928704</v>
      </c>
      <c r="G25" s="2">
        <f t="shared" ca="1" si="6"/>
        <v>188.243985879543</v>
      </c>
      <c r="H25" s="2">
        <f t="shared" ca="1" si="1"/>
        <v>9.7990020046885395E-2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188.3419758995899</v>
      </c>
      <c r="F26" s="2">
        <f t="shared" ca="1" si="5"/>
        <v>0</v>
      </c>
      <c r="G26" s="2">
        <f t="shared" ca="1" si="6"/>
        <v>188.3419758995899</v>
      </c>
      <c r="H26" s="2">
        <f t="shared" ca="1" si="1"/>
        <v>9.8041028550471448E-2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188.44001692814038</v>
      </c>
      <c r="F27" s="2">
        <f t="shared" ca="1" si="5"/>
        <v>0</v>
      </c>
      <c r="G27" s="2">
        <f t="shared" ca="1" si="6"/>
        <v>188.44001692814038</v>
      </c>
      <c r="H27" s="2">
        <f t="shared" ca="1" si="1"/>
        <v>9.8092063606429247E-2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188.53810899174681</v>
      </c>
      <c r="F28" s="2">
        <f t="shared" ca="1" si="5"/>
        <v>0</v>
      </c>
      <c r="G28" s="2">
        <f t="shared" ca="1" si="6"/>
        <v>188.53810899174681</v>
      </c>
      <c r="H28" s="2">
        <f t="shared" ca="1" si="1"/>
        <v>9.8143125228580527E-2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208.63625211697538</v>
      </c>
      <c r="F29" s="2">
        <f t="shared" ca="1" si="5"/>
        <v>0</v>
      </c>
      <c r="G29" s="2">
        <f t="shared" ca="1" si="6"/>
        <v>208.63625211697538</v>
      </c>
      <c r="H29" s="2">
        <f t="shared" ca="1" si="1"/>
        <v>0.1086051723348639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208.74485728931026</v>
      </c>
      <c r="F30" s="2">
        <f t="shared" ca="1" si="5"/>
        <v>0</v>
      </c>
      <c r="G30" s="2">
        <f t="shared" ca="1" si="6"/>
        <v>208.74485728931026</v>
      </c>
      <c r="H30" s="2">
        <f t="shared" ca="1" si="1"/>
        <v>0.10866170653416152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208.85351899584441</v>
      </c>
      <c r="F31" s="2">
        <f t="shared" ca="1" si="5"/>
        <v>0</v>
      </c>
      <c r="G31" s="2">
        <f t="shared" ca="1" si="6"/>
        <v>208.85351899584441</v>
      </c>
      <c r="H31" s="2">
        <f t="shared" ca="1" si="1"/>
        <v>0.10871827016222037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208.96223726600664</v>
      </c>
      <c r="F32" s="2">
        <f t="shared" ca="1" si="5"/>
        <v>0</v>
      </c>
      <c r="G32" s="2">
        <f t="shared" ca="1" si="6"/>
        <v>208.96223726600664</v>
      </c>
      <c r="H32" s="2">
        <f t="shared" ca="1" si="1"/>
        <v>0.10877486323435961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209.07101212924101</v>
      </c>
      <c r="F33" s="2">
        <f t="shared" ca="1" si="5"/>
        <v>0</v>
      </c>
      <c r="G33" s="2">
        <f t="shared" ca="1" si="6"/>
        <v>209.07101212924101</v>
      </c>
      <c r="H33" s="2">
        <f t="shared" ca="1" si="1"/>
        <v>0.10883148576590627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209.17984361500692</v>
      </c>
      <c r="F34" s="2">
        <f t="shared" ca="1" si="5"/>
        <v>0</v>
      </c>
      <c r="G34" s="2">
        <f t="shared" ca="1" si="6"/>
        <v>209.17984361500692</v>
      </c>
      <c r="H34" s="2">
        <f t="shared" ca="1" si="1"/>
        <v>0.10888813777219539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209.28873175277911</v>
      </c>
      <c r="F35" s="2">
        <f t="shared" ca="1" si="5"/>
        <v>0</v>
      </c>
      <c r="G35" s="2">
        <f t="shared" ca="1" si="6"/>
        <v>209.28873175277911</v>
      </c>
      <c r="H35" s="2">
        <f t="shared" ca="1" si="1"/>
        <v>0.10894481926856994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229.39767657204769</v>
      </c>
      <c r="F36" s="2">
        <f t="shared" ca="1" si="5"/>
        <v>0</v>
      </c>
      <c r="G36" s="2">
        <f t="shared" ca="1" si="6"/>
        <v>229.39767657204769</v>
      </c>
      <c r="H36" s="2">
        <f t="shared" ca="1" si="1"/>
        <v>0.11941248917449057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229.51708906122218</v>
      </c>
      <c r="F37" s="2">
        <f t="shared" ca="1" si="5"/>
        <v>0</v>
      </c>
      <c r="G37" s="2">
        <f t="shared" ca="1" si="6"/>
        <v>229.51708906122218</v>
      </c>
      <c r="H37" s="2">
        <f t="shared" ca="1" si="1"/>
        <v>0.11947464910036223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229.63656371032255</v>
      </c>
      <c r="F38" s="2">
        <f t="shared" ca="1" si="5"/>
        <v>0</v>
      </c>
      <c r="G38" s="2">
        <f t="shared" ca="1" si="6"/>
        <v>229.63656371032255</v>
      </c>
      <c r="H38" s="2">
        <f t="shared" ca="1" si="1"/>
        <v>0.11953684138345558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229.756100551706</v>
      </c>
      <c r="F39" s="2">
        <f t="shared" ca="1" si="5"/>
        <v>103.7197122928704</v>
      </c>
      <c r="G39" s="2">
        <f t="shared" ca="1" si="6"/>
        <v>126.0363882588356</v>
      </c>
      <c r="H39" s="2">
        <f t="shared" ca="1" si="1"/>
        <v>6.5607982929256889E-2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126.10199624176485</v>
      </c>
      <c r="F40" s="2">
        <f t="shared" ca="1" si="5"/>
        <v>0</v>
      </c>
      <c r="G40" s="2">
        <f t="shared" ca="1" si="6"/>
        <v>126.10199624176485</v>
      </c>
      <c r="H40" s="2">
        <f t="shared" ca="1" si="1"/>
        <v>6.5642135029959789E-2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126.16763837679481</v>
      </c>
      <c r="F41" s="2">
        <f t="shared" ca="1" si="5"/>
        <v>0</v>
      </c>
      <c r="G41" s="2">
        <f t="shared" ca="1" si="6"/>
        <v>126.16763837679481</v>
      </c>
      <c r="H41" s="2">
        <f t="shared" ca="1" si="1"/>
        <v>6.5676304908468541E-2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126.23331468170328</v>
      </c>
      <c r="F42" s="2">
        <f t="shared" ca="1" si="5"/>
        <v>0</v>
      </c>
      <c r="G42" s="2">
        <f t="shared" ca="1" si="6"/>
        <v>126.23331468170328</v>
      </c>
      <c r="H42" s="2">
        <f t="shared" ca="1" si="1"/>
        <v>6.5710492574037327E-2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146.29902517427732</v>
      </c>
      <c r="F43" s="2">
        <f t="shared" ca="1" si="5"/>
        <v>0</v>
      </c>
      <c r="G43" s="2">
        <f t="shared" ca="1" si="6"/>
        <v>146.29902517427732</v>
      </c>
      <c r="H43" s="2">
        <f t="shared" ca="1" si="1"/>
        <v>7.6155656940034774E-2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146.37518083121736</v>
      </c>
      <c r="F44" s="2">
        <f t="shared" ca="1" si="5"/>
        <v>0</v>
      </c>
      <c r="G44" s="2">
        <f t="shared" ca="1" si="6"/>
        <v>146.37518083121736</v>
      </c>
      <c r="H44" s="2">
        <f t="shared" ca="1" si="1"/>
        <v>7.6195299610770678E-2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146.45137613082812</v>
      </c>
      <c r="F45" s="2">
        <f t="shared" ca="1" si="5"/>
        <v>0</v>
      </c>
      <c r="G45" s="2">
        <f t="shared" ca="1" si="6"/>
        <v>146.45137613082812</v>
      </c>
      <c r="H45" s="2">
        <f t="shared" ca="1" si="1"/>
        <v>7.6234962917417382E-2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146.52761109374555</v>
      </c>
      <c r="F46" s="2">
        <f t="shared" ca="1" si="5"/>
        <v>0</v>
      </c>
      <c r="G46" s="2">
        <f t="shared" ca="1" si="6"/>
        <v>146.52761109374555</v>
      </c>
      <c r="H46" s="2">
        <f t="shared" ca="1" si="1"/>
        <v>7.6274646870716861E-2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146.60388574061628</v>
      </c>
      <c r="F47" s="2">
        <f t="shared" ca="1" si="5"/>
        <v>0</v>
      </c>
      <c r="G47" s="2">
        <f t="shared" ca="1" si="6"/>
        <v>146.60388574061628</v>
      </c>
      <c r="H47" s="2">
        <f t="shared" ca="1" si="1"/>
        <v>7.6314351481416701E-2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146.68020009209769</v>
      </c>
      <c r="F48" s="2">
        <f t="shared" ca="1" si="5"/>
        <v>0</v>
      </c>
      <c r="G48" s="2">
        <f t="shared" ca="1" si="6"/>
        <v>146.68020009209769</v>
      </c>
      <c r="H48" s="2">
        <f t="shared" ca="1" si="1"/>
        <v>7.6354076760270034E-2</v>
      </c>
      <c r="I48" s="2">
        <f t="shared" ca="1" si="2"/>
        <v>0</v>
      </c>
    </row>
    <row r="49" spans="2:10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146.75655416885797</v>
      </c>
      <c r="F49" s="2">
        <f t="shared" ca="1" si="5"/>
        <v>0</v>
      </c>
      <c r="G49" s="2">
        <f t="shared" ca="1" si="6"/>
        <v>146.75655416885797</v>
      </c>
      <c r="H49" s="2">
        <f t="shared" ca="1" si="1"/>
        <v>7.6393822718035659E-2</v>
      </c>
      <c r="I49" s="2">
        <f t="shared" ca="1" si="2"/>
        <v>20</v>
      </c>
    </row>
    <row r="50" spans="2:10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166.83294799157602</v>
      </c>
      <c r="F50" s="2">
        <f t="shared" ca="1" si="5"/>
        <v>0</v>
      </c>
      <c r="G50" s="2">
        <f t="shared" ca="1" si="6"/>
        <v>166.83294799157602</v>
      </c>
      <c r="H50" s="2">
        <f t="shared" ca="1" si="1"/>
        <v>8.6844548269587513E-2</v>
      </c>
      <c r="I50" s="2">
        <f t="shared" ca="1" si="2"/>
        <v>0</v>
      </c>
    </row>
    <row r="51" spans="2:10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166.91979253984562</v>
      </c>
      <c r="F51" s="2">
        <f t="shared" ca="1" si="5"/>
        <v>0</v>
      </c>
      <c r="G51" s="2">
        <f t="shared" ca="1" si="6"/>
        <v>166.91979253984562</v>
      </c>
      <c r="H51" s="2">
        <f t="shared" ca="1" si="1"/>
        <v>8.688975502074156E-2</v>
      </c>
      <c r="I51" s="2">
        <f t="shared" ca="1" si="2"/>
        <v>0</v>
      </c>
    </row>
    <row r="52" spans="2:10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167.00668229486635</v>
      </c>
      <c r="F52" s="2">
        <f t="shared" ca="1" si="5"/>
        <v>0</v>
      </c>
      <c r="G52" s="2">
        <f t="shared" ca="1" si="6"/>
        <v>167.00668229486635</v>
      </c>
      <c r="H52" s="2">
        <f t="shared" ca="1" si="1"/>
        <v>8.6934985304177009E-2</v>
      </c>
      <c r="I52" s="2">
        <f t="shared" ca="1" si="2"/>
        <v>0</v>
      </c>
    </row>
    <row r="53" spans="2:10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167.09361728017052</v>
      </c>
      <c r="F53" s="2">
        <f t="shared" ca="1" si="5"/>
        <v>103.7197122928704</v>
      </c>
      <c r="G53" s="2">
        <f t="shared" ca="1" si="6"/>
        <v>63.373904987300122</v>
      </c>
      <c r="H53" s="2">
        <f t="shared" ca="1" si="1"/>
        <v>3.2989156020786364E-2</v>
      </c>
      <c r="I53" s="2">
        <f t="shared" ca="1" si="2"/>
        <v>0</v>
      </c>
      <c r="J53" s="5"/>
    </row>
    <row r="54" spans="2:10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63.406894143320912</v>
      </c>
      <c r="F54" s="2">
        <f t="shared" ca="1" si="5"/>
        <v>0</v>
      </c>
      <c r="G54" s="2">
        <f t="shared" ca="1" si="6"/>
        <v>63.406894143320912</v>
      </c>
      <c r="H54" s="2">
        <f t="shared" ca="1" si="1"/>
        <v>3.3006328458167047E-2</v>
      </c>
      <c r="I54" s="2">
        <f t="shared" ca="1" si="2"/>
        <v>0</v>
      </c>
    </row>
    <row r="55" spans="2:10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63.439900471779076</v>
      </c>
      <c r="F55" s="2">
        <f t="shared" ca="1" si="5"/>
        <v>0</v>
      </c>
      <c r="G55" s="2">
        <f t="shared" ca="1" si="6"/>
        <v>63.439900471779076</v>
      </c>
      <c r="H55" s="2">
        <f t="shared" ca="1" si="1"/>
        <v>3.3023509834624723E-2</v>
      </c>
      <c r="I55" s="2">
        <f t="shared" ca="1" si="2"/>
        <v>0</v>
      </c>
    </row>
    <row r="56" spans="2:10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63.472923981613704</v>
      </c>
      <c r="F56" s="2">
        <f t="shared" ca="1" si="5"/>
        <v>0</v>
      </c>
      <c r="G56" s="2">
        <f t="shared" ca="1" si="6"/>
        <v>63.472923981613704</v>
      </c>
      <c r="H56" s="2">
        <f t="shared" ca="1" si="1"/>
        <v>3.3040700154812613E-2</v>
      </c>
      <c r="I56" s="2">
        <f t="shared" ca="1" si="2"/>
        <v>20</v>
      </c>
    </row>
    <row r="57" spans="2:10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83.505964681768518</v>
      </c>
      <c r="F57" s="2">
        <f t="shared" ca="1" si="5"/>
        <v>0</v>
      </c>
      <c r="G57" s="2">
        <f t="shared" ca="1" si="6"/>
        <v>83.505964681768518</v>
      </c>
      <c r="H57" s="2">
        <f t="shared" ca="1" si="1"/>
        <v>4.3468858327495939E-2</v>
      </c>
      <c r="I57" s="2">
        <f t="shared" ca="1" si="2"/>
        <v>0</v>
      </c>
    </row>
    <row r="58" spans="2:10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83.549433540096018</v>
      </c>
      <c r="F58" s="2">
        <f t="shared" ca="1" si="5"/>
        <v>0</v>
      </c>
      <c r="G58" s="2">
        <f t="shared" ca="1" si="6"/>
        <v>83.549433540096018</v>
      </c>
      <c r="H58" s="2">
        <f t="shared" ca="1" si="1"/>
        <v>4.3491485952378749E-2</v>
      </c>
      <c r="I58" s="2">
        <f t="shared" ca="1" si="2"/>
        <v>0</v>
      </c>
    </row>
    <row r="59" spans="2:10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83.592925026048391</v>
      </c>
      <c r="F59" s="2">
        <f t="shared" ca="1" si="5"/>
        <v>0</v>
      </c>
      <c r="G59" s="2">
        <f t="shared" ca="1" si="6"/>
        <v>83.592925026048391</v>
      </c>
      <c r="H59" s="2">
        <f t="shared" ca="1" si="1"/>
        <v>4.3514125356025189E-2</v>
      </c>
      <c r="I59" s="2">
        <f t="shared" ca="1" si="2"/>
        <v>0</v>
      </c>
    </row>
    <row r="60" spans="2:10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83.636439151404417</v>
      </c>
      <c r="F60" s="2">
        <f t="shared" ca="1" si="5"/>
        <v>0</v>
      </c>
      <c r="G60" s="2">
        <f t="shared" ca="1" si="6"/>
        <v>83.636439151404417</v>
      </c>
      <c r="H60" s="2">
        <f t="shared" ca="1" si="1"/>
        <v>4.3536776544566683E-2</v>
      </c>
      <c r="I60" s="2">
        <f t="shared" ca="1" si="2"/>
        <v>0</v>
      </c>
    </row>
    <row r="61" spans="2:10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83.679975927948988</v>
      </c>
      <c r="F61" s="2">
        <f t="shared" ca="1" si="5"/>
        <v>0</v>
      </c>
      <c r="G61" s="2">
        <f t="shared" ca="1" si="6"/>
        <v>83.679975927948988</v>
      </c>
      <c r="H61" s="2">
        <f t="shared" ca="1" si="1"/>
        <v>4.3559439524137829E-2</v>
      </c>
      <c r="I61" s="2">
        <f t="shared" ca="1" si="2"/>
        <v>0</v>
      </c>
    </row>
    <row r="62" spans="2:10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83.723535367473119</v>
      </c>
      <c r="F62" s="2">
        <f t="shared" ca="1" si="5"/>
        <v>0</v>
      </c>
      <c r="G62" s="2">
        <f t="shared" ca="1" si="6"/>
        <v>83.723535367473119</v>
      </c>
      <c r="H62" s="2">
        <f t="shared" ca="1" si="1"/>
        <v>4.3582114300876419E-2</v>
      </c>
      <c r="I62" s="2">
        <f t="shared" ca="1" si="2"/>
        <v>0</v>
      </c>
    </row>
    <row r="63" spans="2:10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83.767117481773994</v>
      </c>
      <c r="F63" s="2">
        <f t="shared" ca="1" si="5"/>
        <v>0</v>
      </c>
      <c r="G63" s="2">
        <f t="shared" ca="1" si="6"/>
        <v>83.767117481773994</v>
      </c>
      <c r="H63" s="2">
        <f t="shared" ca="1" si="1"/>
        <v>4.3604800880923451E-2</v>
      </c>
      <c r="I63" s="2">
        <f t="shared" ca="1" si="2"/>
        <v>20</v>
      </c>
    </row>
    <row r="64" spans="2:10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103.81072228265492</v>
      </c>
      <c r="F64" s="2">
        <f t="shared" ca="1" si="5"/>
        <v>0</v>
      </c>
      <c r="G64" s="2">
        <f t="shared" ca="1" si="6"/>
        <v>103.81072228265492</v>
      </c>
      <c r="H64" s="2">
        <f t="shared" ca="1" si="1"/>
        <v>5.4038458174532705E-2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103.86476074082945</v>
      </c>
      <c r="F65" s="2">
        <f t="shared" ca="1" si="5"/>
        <v>0</v>
      </c>
      <c r="G65" s="2">
        <f t="shared" ca="1" si="6"/>
        <v>103.86476074082945</v>
      </c>
      <c r="H65" s="2">
        <f t="shared" ca="1" si="1"/>
        <v>5.4066587782897524E-2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103.91882732861235</v>
      </c>
      <c r="F66" s="2">
        <f t="shared" ca="1" si="5"/>
        <v>0</v>
      </c>
      <c r="G66" s="2">
        <f t="shared" ca="1" si="6"/>
        <v>103.91882732861235</v>
      </c>
      <c r="H66" s="2">
        <f t="shared" ca="1" si="1"/>
        <v>5.4094732034072182E-2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103.97292206064643</v>
      </c>
      <c r="F67" s="2">
        <f t="shared" ca="1" si="5"/>
        <v>103.7197122928704</v>
      </c>
      <c r="G67" s="2">
        <f t="shared" ca="1" si="6"/>
        <v>0.25320976777602766</v>
      </c>
      <c r="H67" s="2">
        <f t="shared" ca="1" si="1"/>
        <v>1.3180782432176783E-4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si="4"/>
        <v>0</v>
      </c>
      <c r="F68" s="2">
        <f t="shared" si="5"/>
        <v>0</v>
      </c>
      <c r="G68" s="2">
        <f t="shared" ca="1" si="6"/>
        <v>0.25320976777602766</v>
      </c>
      <c r="H68" s="2">
        <f t="shared" si="1"/>
        <v>0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si="4"/>
        <v>0</v>
      </c>
      <c r="F69" s="2">
        <f t="shared" si="5"/>
        <v>0</v>
      </c>
      <c r="G69" s="2">
        <f t="shared" ca="1" si="6"/>
        <v>0.25320976777602766</v>
      </c>
      <c r="H69" s="2">
        <f t="shared" si="1"/>
        <v>0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si="4"/>
        <v>0</v>
      </c>
      <c r="F70" s="2">
        <f t="shared" si="5"/>
        <v>0</v>
      </c>
      <c r="G70" s="2">
        <f t="shared" ca="1" si="6"/>
        <v>0.25320976777602766</v>
      </c>
      <c r="H70" s="2">
        <f t="shared" si="1"/>
        <v>0</v>
      </c>
      <c r="I70" s="2">
        <f t="shared" ca="1" si="2"/>
        <v>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si="4"/>
        <v>0</v>
      </c>
      <c r="F71" s="2">
        <f t="shared" si="5"/>
        <v>0</v>
      </c>
      <c r="G71" s="2">
        <f t="shared" ca="1" si="6"/>
        <v>0.25320976777602766</v>
      </c>
      <c r="H71" s="2">
        <f t="shared" si="1"/>
        <v>0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si="4"/>
        <v>0</v>
      </c>
      <c r="F72" s="2">
        <f t="shared" si="5"/>
        <v>0</v>
      </c>
      <c r="G72" s="2">
        <f t="shared" ca="1" si="6"/>
        <v>0.25320976777602766</v>
      </c>
      <c r="H72" s="2">
        <f t="shared" si="1"/>
        <v>0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si="4"/>
        <v>0</v>
      </c>
      <c r="F73" s="2">
        <f t="shared" si="5"/>
        <v>0</v>
      </c>
      <c r="G73" s="2">
        <f t="shared" ca="1" si="6"/>
        <v>0.25320976777602766</v>
      </c>
      <c r="H73" s="2">
        <f t="shared" si="1"/>
        <v>0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si="4"/>
        <v>0</v>
      </c>
      <c r="F74" s="2">
        <f t="shared" si="5"/>
        <v>0</v>
      </c>
      <c r="G74" s="2">
        <f t="shared" ca="1" si="6"/>
        <v>0.25320976777602766</v>
      </c>
      <c r="H74" s="2">
        <f t="shared" si="1"/>
        <v>0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si="4"/>
        <v>0</v>
      </c>
      <c r="F75" s="2">
        <f t="shared" si="5"/>
        <v>0</v>
      </c>
      <c r="G75" s="2">
        <f t="shared" ca="1" si="6"/>
        <v>0.25320976777602766</v>
      </c>
      <c r="H75" s="2">
        <f t="shared" si="1"/>
        <v>0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si="4"/>
        <v>0</v>
      </c>
      <c r="F76" s="2">
        <f t="shared" si="5"/>
        <v>0</v>
      </c>
      <c r="G76" s="2">
        <f t="shared" ca="1" si="6"/>
        <v>0.25320976777602766</v>
      </c>
      <c r="H76" s="2">
        <f t="shared" ref="H76:H139" si="11">IF(C76&gt;$C$7,0,(G76)*$C$5/365)</f>
        <v>0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si="14">IF(C77&gt;$C$7,0,G76+H76+I76)</f>
        <v>0</v>
      </c>
      <c r="F77" s="2">
        <f t="shared" ref="F77:F140" si="15">IF(C77&gt;$C$7,0,IF(ROUND(E77,0)&gt;0,IF(C77=0,0,IF(MOD(C77,$C$3)&gt;0,0,$C$8)),0))</f>
        <v>0</v>
      </c>
      <c r="G77" s="2">
        <f t="shared" ref="G77:G140" ca="1" si="16">IF(C77&gt;$C$7,G76,E77-F77)</f>
        <v>0.25320976777602766</v>
      </c>
      <c r="H77" s="2">
        <f t="shared" si="11"/>
        <v>0</v>
      </c>
      <c r="I77" s="2">
        <f t="shared" ca="1" si="12"/>
        <v>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si="14"/>
        <v>0</v>
      </c>
      <c r="F78" s="2">
        <f t="shared" si="15"/>
        <v>0</v>
      </c>
      <c r="G78" s="2">
        <f t="shared" ca="1" si="16"/>
        <v>0.25320976777602766</v>
      </c>
      <c r="H78" s="2">
        <f t="shared" si="11"/>
        <v>0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si="14"/>
        <v>0</v>
      </c>
      <c r="F79" s="2">
        <f t="shared" si="15"/>
        <v>0</v>
      </c>
      <c r="G79" s="2">
        <f t="shared" ca="1" si="16"/>
        <v>0.25320976777602766</v>
      </c>
      <c r="H79" s="2">
        <f t="shared" si="11"/>
        <v>0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si="14"/>
        <v>0</v>
      </c>
      <c r="F80" s="2">
        <f t="shared" si="15"/>
        <v>0</v>
      </c>
      <c r="G80" s="2">
        <f t="shared" ca="1" si="16"/>
        <v>0.25320976777602766</v>
      </c>
      <c r="H80" s="2">
        <f t="shared" si="11"/>
        <v>0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si="14"/>
        <v>0</v>
      </c>
      <c r="F81" s="2">
        <f t="shared" si="15"/>
        <v>0</v>
      </c>
      <c r="G81" s="2">
        <f t="shared" ca="1" si="16"/>
        <v>0.25320976777602766</v>
      </c>
      <c r="H81" s="2">
        <f t="shared" si="11"/>
        <v>0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si="14"/>
        <v>0</v>
      </c>
      <c r="F82" s="2">
        <f t="shared" si="15"/>
        <v>0</v>
      </c>
      <c r="G82" s="2">
        <f t="shared" ca="1" si="16"/>
        <v>0.25320976777602766</v>
      </c>
      <c r="H82" s="2">
        <f t="shared" si="11"/>
        <v>0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si="14"/>
        <v>0</v>
      </c>
      <c r="F83" s="2">
        <f t="shared" si="15"/>
        <v>0</v>
      </c>
      <c r="G83" s="2">
        <f t="shared" ca="1" si="16"/>
        <v>0.25320976777602766</v>
      </c>
      <c r="H83" s="2">
        <f t="shared" si="11"/>
        <v>0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si="14"/>
        <v>0</v>
      </c>
      <c r="F84" s="2">
        <f t="shared" si="15"/>
        <v>0</v>
      </c>
      <c r="G84" s="2">
        <f t="shared" ca="1" si="16"/>
        <v>0.25320976777602766</v>
      </c>
      <c r="H84" s="2">
        <f t="shared" si="11"/>
        <v>0</v>
      </c>
      <c r="I84" s="2">
        <f t="shared" ca="1" si="12"/>
        <v>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si="14"/>
        <v>0</v>
      </c>
      <c r="F85" s="2">
        <f t="shared" si="15"/>
        <v>0</v>
      </c>
      <c r="G85" s="2">
        <f t="shared" ca="1" si="16"/>
        <v>0.25320976777602766</v>
      </c>
      <c r="H85" s="2">
        <f t="shared" si="11"/>
        <v>0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si="14"/>
        <v>0</v>
      </c>
      <c r="F86" s="2">
        <f t="shared" si="15"/>
        <v>0</v>
      </c>
      <c r="G86" s="2">
        <f t="shared" ca="1" si="16"/>
        <v>0.25320976777602766</v>
      </c>
      <c r="H86" s="2">
        <f t="shared" si="11"/>
        <v>0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si="14"/>
        <v>0</v>
      </c>
      <c r="F87" s="2">
        <f t="shared" si="15"/>
        <v>0</v>
      </c>
      <c r="G87" s="2">
        <f t="shared" ca="1" si="16"/>
        <v>0.25320976777602766</v>
      </c>
      <c r="H87" s="2">
        <f t="shared" si="11"/>
        <v>0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si="14"/>
        <v>0</v>
      </c>
      <c r="F88" s="2">
        <f t="shared" si="15"/>
        <v>0</v>
      </c>
      <c r="G88" s="2">
        <f t="shared" ca="1" si="16"/>
        <v>0.25320976777602766</v>
      </c>
      <c r="H88" s="2">
        <f t="shared" si="11"/>
        <v>0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si="14"/>
        <v>0</v>
      </c>
      <c r="F89" s="2">
        <f t="shared" si="15"/>
        <v>0</v>
      </c>
      <c r="G89" s="2">
        <f t="shared" ca="1" si="16"/>
        <v>0.25320976777602766</v>
      </c>
      <c r="H89" s="2">
        <f t="shared" si="11"/>
        <v>0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si="14"/>
        <v>0</v>
      </c>
      <c r="F90" s="2">
        <f t="shared" si="15"/>
        <v>0</v>
      </c>
      <c r="G90" s="2">
        <f t="shared" ca="1" si="16"/>
        <v>0.25320976777602766</v>
      </c>
      <c r="H90" s="2">
        <f t="shared" si="11"/>
        <v>0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si="14"/>
        <v>0</v>
      </c>
      <c r="F91" s="2">
        <f t="shared" si="15"/>
        <v>0</v>
      </c>
      <c r="G91" s="2">
        <f t="shared" ca="1" si="16"/>
        <v>0.25320976777602766</v>
      </c>
      <c r="H91" s="2">
        <f t="shared" si="11"/>
        <v>0</v>
      </c>
      <c r="I91" s="2">
        <f t="shared" ca="1" si="12"/>
        <v>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si="14"/>
        <v>0</v>
      </c>
      <c r="F92" s="2">
        <f t="shared" si="15"/>
        <v>0</v>
      </c>
      <c r="G92" s="2">
        <f t="shared" ca="1" si="16"/>
        <v>0.25320976777602766</v>
      </c>
      <c r="H92" s="2">
        <f t="shared" si="11"/>
        <v>0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si="14"/>
        <v>0</v>
      </c>
      <c r="F93" s="2">
        <f t="shared" si="15"/>
        <v>0</v>
      </c>
      <c r="G93" s="2">
        <f t="shared" ca="1" si="16"/>
        <v>0.25320976777602766</v>
      </c>
      <c r="H93" s="2">
        <f t="shared" si="11"/>
        <v>0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si="14"/>
        <v>0</v>
      </c>
      <c r="F94" s="2">
        <f t="shared" si="15"/>
        <v>0</v>
      </c>
      <c r="G94" s="2">
        <f t="shared" ca="1" si="16"/>
        <v>0.25320976777602766</v>
      </c>
      <c r="H94" s="2">
        <f t="shared" si="11"/>
        <v>0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si="14"/>
        <v>0</v>
      </c>
      <c r="F95" s="2">
        <f t="shared" si="15"/>
        <v>0</v>
      </c>
      <c r="G95" s="2">
        <f t="shared" ca="1" si="16"/>
        <v>0.25320976777602766</v>
      </c>
      <c r="H95" s="2">
        <f t="shared" si="11"/>
        <v>0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si="14"/>
        <v>0</v>
      </c>
      <c r="F96" s="2">
        <f t="shared" si="15"/>
        <v>0</v>
      </c>
      <c r="G96" s="2">
        <f t="shared" ca="1" si="16"/>
        <v>0.25320976777602766</v>
      </c>
      <c r="H96" s="2">
        <f t="shared" si="11"/>
        <v>0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si="14"/>
        <v>0</v>
      </c>
      <c r="F97" s="2">
        <f t="shared" si="15"/>
        <v>0</v>
      </c>
      <c r="G97" s="2">
        <f t="shared" ca="1" si="16"/>
        <v>0.25320976777602766</v>
      </c>
      <c r="H97" s="2">
        <f t="shared" si="11"/>
        <v>0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si="14"/>
        <v>0</v>
      </c>
      <c r="F98" s="2">
        <f t="shared" si="15"/>
        <v>0</v>
      </c>
      <c r="G98" s="2">
        <f t="shared" ca="1" si="16"/>
        <v>0.25320976777602766</v>
      </c>
      <c r="H98" s="2">
        <f t="shared" si="11"/>
        <v>0</v>
      </c>
      <c r="I98" s="2">
        <f t="shared" ca="1" si="12"/>
        <v>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si="14"/>
        <v>0</v>
      </c>
      <c r="F99" s="2">
        <f t="shared" si="15"/>
        <v>0</v>
      </c>
      <c r="G99" s="2">
        <f t="shared" ca="1" si="16"/>
        <v>0.25320976777602766</v>
      </c>
      <c r="H99" s="2">
        <f t="shared" si="11"/>
        <v>0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si="14"/>
        <v>0</v>
      </c>
      <c r="F100" s="2">
        <f t="shared" si="15"/>
        <v>0</v>
      </c>
      <c r="G100" s="2">
        <f t="shared" ca="1" si="16"/>
        <v>0.25320976777602766</v>
      </c>
      <c r="H100" s="2">
        <f t="shared" si="11"/>
        <v>0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si="14"/>
        <v>0</v>
      </c>
      <c r="F101" s="2">
        <f t="shared" si="15"/>
        <v>0</v>
      </c>
      <c r="G101" s="2">
        <f t="shared" ca="1" si="16"/>
        <v>0.25320976777602766</v>
      </c>
      <c r="H101" s="2">
        <f t="shared" si="11"/>
        <v>0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si="14"/>
        <v>0</v>
      </c>
      <c r="F102" s="2">
        <f t="shared" si="15"/>
        <v>0</v>
      </c>
      <c r="G102" s="2">
        <f t="shared" ca="1" si="16"/>
        <v>0.25320976777602766</v>
      </c>
      <c r="H102" s="2">
        <f t="shared" si="11"/>
        <v>0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si="14"/>
        <v>0</v>
      </c>
      <c r="F103" s="2">
        <f t="shared" si="15"/>
        <v>0</v>
      </c>
      <c r="G103" s="2">
        <f t="shared" ca="1" si="16"/>
        <v>0.25320976777602766</v>
      </c>
      <c r="H103" s="2">
        <f t="shared" si="11"/>
        <v>0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si="14"/>
        <v>0</v>
      </c>
      <c r="F104" s="2">
        <f t="shared" si="15"/>
        <v>0</v>
      </c>
      <c r="G104" s="2">
        <f t="shared" ca="1" si="16"/>
        <v>0.25320976777602766</v>
      </c>
      <c r="H104" s="2">
        <f t="shared" si="11"/>
        <v>0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si="14"/>
        <v>0</v>
      </c>
      <c r="F105" s="2">
        <f t="shared" si="15"/>
        <v>0</v>
      </c>
      <c r="G105" s="2">
        <f t="shared" ca="1" si="16"/>
        <v>0.25320976777602766</v>
      </c>
      <c r="H105" s="2">
        <f t="shared" si="11"/>
        <v>0</v>
      </c>
      <c r="I105" s="2">
        <f t="shared" ca="1" si="12"/>
        <v>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si="14"/>
        <v>0</v>
      </c>
      <c r="F106" s="2">
        <f t="shared" si="15"/>
        <v>0</v>
      </c>
      <c r="G106" s="2">
        <f t="shared" ca="1" si="16"/>
        <v>0.25320976777602766</v>
      </c>
      <c r="H106" s="2">
        <f t="shared" si="11"/>
        <v>0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si="14"/>
        <v>0</v>
      </c>
      <c r="F107" s="2">
        <f t="shared" si="15"/>
        <v>0</v>
      </c>
      <c r="G107" s="2">
        <f t="shared" ca="1" si="16"/>
        <v>0.25320976777602766</v>
      </c>
      <c r="H107" s="2">
        <f t="shared" si="11"/>
        <v>0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si="14"/>
        <v>0</v>
      </c>
      <c r="F108" s="2">
        <f t="shared" si="15"/>
        <v>0</v>
      </c>
      <c r="G108" s="2">
        <f t="shared" ca="1" si="16"/>
        <v>0.25320976777602766</v>
      </c>
      <c r="H108" s="2">
        <f t="shared" si="11"/>
        <v>0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si="14"/>
        <v>0</v>
      </c>
      <c r="F109" s="2">
        <f t="shared" si="15"/>
        <v>0</v>
      </c>
      <c r="G109" s="2">
        <f t="shared" ca="1" si="16"/>
        <v>0.25320976777602766</v>
      </c>
      <c r="H109" s="2">
        <f t="shared" si="11"/>
        <v>0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si="14"/>
        <v>0</v>
      </c>
      <c r="F110" s="2">
        <f t="shared" si="15"/>
        <v>0</v>
      </c>
      <c r="G110" s="2">
        <f t="shared" ca="1" si="16"/>
        <v>0.25320976777602766</v>
      </c>
      <c r="H110" s="2">
        <f t="shared" si="11"/>
        <v>0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si="14"/>
        <v>0</v>
      </c>
      <c r="F111" s="2">
        <f t="shared" si="15"/>
        <v>0</v>
      </c>
      <c r="G111" s="2">
        <f t="shared" ca="1" si="16"/>
        <v>0.25320976777602766</v>
      </c>
      <c r="H111" s="2">
        <f t="shared" si="11"/>
        <v>0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si="14"/>
        <v>0</v>
      </c>
      <c r="F112" s="2">
        <f t="shared" si="15"/>
        <v>0</v>
      </c>
      <c r="G112" s="2">
        <f t="shared" ca="1" si="16"/>
        <v>0.25320976777602766</v>
      </c>
      <c r="H112" s="2">
        <f t="shared" si="11"/>
        <v>0</v>
      </c>
      <c r="I112" s="2">
        <f t="shared" ca="1" si="12"/>
        <v>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si="14"/>
        <v>0</v>
      </c>
      <c r="F113" s="2">
        <f t="shared" si="15"/>
        <v>0</v>
      </c>
      <c r="G113" s="2">
        <f t="shared" ca="1" si="16"/>
        <v>0.25320976777602766</v>
      </c>
      <c r="H113" s="2">
        <f t="shared" si="11"/>
        <v>0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si="14"/>
        <v>0</v>
      </c>
      <c r="F114" s="2">
        <f t="shared" si="15"/>
        <v>0</v>
      </c>
      <c r="G114" s="2">
        <f t="shared" ca="1" si="16"/>
        <v>0.25320976777602766</v>
      </c>
      <c r="H114" s="2">
        <f t="shared" si="11"/>
        <v>0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si="14"/>
        <v>0</v>
      </c>
      <c r="F115" s="2">
        <f t="shared" si="15"/>
        <v>0</v>
      </c>
      <c r="G115" s="2">
        <f t="shared" ca="1" si="16"/>
        <v>0.25320976777602766</v>
      </c>
      <c r="H115" s="2">
        <f t="shared" si="11"/>
        <v>0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si="14"/>
        <v>0</v>
      </c>
      <c r="F116" s="2">
        <f t="shared" si="15"/>
        <v>0</v>
      </c>
      <c r="G116" s="2">
        <f t="shared" ca="1" si="16"/>
        <v>0.25320976777602766</v>
      </c>
      <c r="H116" s="2">
        <f t="shared" si="11"/>
        <v>0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si="14"/>
        <v>0</v>
      </c>
      <c r="F117" s="2">
        <f t="shared" si="15"/>
        <v>0</v>
      </c>
      <c r="G117" s="2">
        <f t="shared" ca="1" si="16"/>
        <v>0.25320976777602766</v>
      </c>
      <c r="H117" s="2">
        <f t="shared" si="11"/>
        <v>0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si="14"/>
        <v>0</v>
      </c>
      <c r="F118" s="2">
        <f t="shared" si="15"/>
        <v>0</v>
      </c>
      <c r="G118" s="2">
        <f t="shared" ca="1" si="16"/>
        <v>0.25320976777602766</v>
      </c>
      <c r="H118" s="2">
        <f t="shared" si="11"/>
        <v>0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si="14"/>
        <v>0</v>
      </c>
      <c r="F119" s="2">
        <f t="shared" si="15"/>
        <v>0</v>
      </c>
      <c r="G119" s="2">
        <f t="shared" ca="1" si="16"/>
        <v>0.25320976777602766</v>
      </c>
      <c r="H119" s="2">
        <f t="shared" si="11"/>
        <v>0</v>
      </c>
      <c r="I119" s="2">
        <f t="shared" ca="1" si="12"/>
        <v>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si="14"/>
        <v>0</v>
      </c>
      <c r="F120" s="2">
        <f t="shared" si="15"/>
        <v>0</v>
      </c>
      <c r="G120" s="2">
        <f t="shared" ca="1" si="16"/>
        <v>0.25320976777602766</v>
      </c>
      <c r="H120" s="2">
        <f t="shared" si="11"/>
        <v>0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si="14"/>
        <v>0</v>
      </c>
      <c r="F121" s="2">
        <f t="shared" si="15"/>
        <v>0</v>
      </c>
      <c r="G121" s="2">
        <f t="shared" ca="1" si="16"/>
        <v>0.25320976777602766</v>
      </c>
      <c r="H121" s="2">
        <f t="shared" si="11"/>
        <v>0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si="14"/>
        <v>0</v>
      </c>
      <c r="F122" s="2">
        <f t="shared" si="15"/>
        <v>0</v>
      </c>
      <c r="G122" s="2">
        <f t="shared" ca="1" si="16"/>
        <v>0.25320976777602766</v>
      </c>
      <c r="H122" s="2">
        <f t="shared" si="11"/>
        <v>0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si="14"/>
        <v>0</v>
      </c>
      <c r="F123" s="2">
        <f t="shared" si="15"/>
        <v>0</v>
      </c>
      <c r="G123" s="2">
        <f t="shared" ca="1" si="16"/>
        <v>0.25320976777602766</v>
      </c>
      <c r="H123" s="2">
        <f t="shared" si="11"/>
        <v>0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si="14"/>
        <v>0</v>
      </c>
      <c r="F124" s="2">
        <f t="shared" si="15"/>
        <v>0</v>
      </c>
      <c r="G124" s="2">
        <f t="shared" ca="1" si="16"/>
        <v>0.25320976777602766</v>
      </c>
      <c r="H124" s="2">
        <f t="shared" si="11"/>
        <v>0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si="14"/>
        <v>0</v>
      </c>
      <c r="F125" s="2">
        <f t="shared" si="15"/>
        <v>0</v>
      </c>
      <c r="G125" s="2">
        <f t="shared" ca="1" si="16"/>
        <v>0.25320976777602766</v>
      </c>
      <c r="H125" s="2">
        <f t="shared" si="11"/>
        <v>0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si="14"/>
        <v>0</v>
      </c>
      <c r="F126" s="2">
        <f t="shared" si="15"/>
        <v>0</v>
      </c>
      <c r="G126" s="2">
        <f t="shared" ca="1" si="16"/>
        <v>0.25320976777602766</v>
      </c>
      <c r="H126" s="2">
        <f t="shared" si="11"/>
        <v>0</v>
      </c>
      <c r="I126" s="2">
        <f t="shared" ca="1" si="12"/>
        <v>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si="14"/>
        <v>0</v>
      </c>
      <c r="F127" s="2">
        <f t="shared" si="15"/>
        <v>0</v>
      </c>
      <c r="G127" s="2">
        <f t="shared" ca="1" si="16"/>
        <v>0.25320976777602766</v>
      </c>
      <c r="H127" s="2">
        <f t="shared" si="11"/>
        <v>0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si="14"/>
        <v>0</v>
      </c>
      <c r="F128" s="2">
        <f t="shared" si="15"/>
        <v>0</v>
      </c>
      <c r="G128" s="2">
        <f t="shared" ca="1" si="16"/>
        <v>0.25320976777602766</v>
      </c>
      <c r="H128" s="2">
        <f t="shared" si="11"/>
        <v>0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si="14"/>
        <v>0</v>
      </c>
      <c r="F129" s="2">
        <f t="shared" si="15"/>
        <v>0</v>
      </c>
      <c r="G129" s="2">
        <f t="shared" ca="1" si="16"/>
        <v>0.25320976777602766</v>
      </c>
      <c r="H129" s="2">
        <f t="shared" si="11"/>
        <v>0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si="14"/>
        <v>0</v>
      </c>
      <c r="F130" s="2">
        <f t="shared" si="15"/>
        <v>0</v>
      </c>
      <c r="G130" s="2">
        <f t="shared" ca="1" si="16"/>
        <v>0.25320976777602766</v>
      </c>
      <c r="H130" s="2">
        <f t="shared" si="11"/>
        <v>0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si="14"/>
        <v>0</v>
      </c>
      <c r="F131" s="2">
        <f t="shared" si="15"/>
        <v>0</v>
      </c>
      <c r="G131" s="2">
        <f t="shared" ca="1" si="16"/>
        <v>0.25320976777602766</v>
      </c>
      <c r="H131" s="2">
        <f t="shared" si="11"/>
        <v>0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si="14"/>
        <v>0</v>
      </c>
      <c r="F132" s="2">
        <f t="shared" si="15"/>
        <v>0</v>
      </c>
      <c r="G132" s="2">
        <f t="shared" ca="1" si="16"/>
        <v>0.25320976777602766</v>
      </c>
      <c r="H132" s="2">
        <f t="shared" si="11"/>
        <v>0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si="14"/>
        <v>0</v>
      </c>
      <c r="F133" s="2">
        <f t="shared" si="15"/>
        <v>0</v>
      </c>
      <c r="G133" s="2">
        <f t="shared" ca="1" si="16"/>
        <v>0.25320976777602766</v>
      </c>
      <c r="H133" s="2">
        <f t="shared" si="11"/>
        <v>0</v>
      </c>
      <c r="I133" s="2">
        <f t="shared" ca="1" si="12"/>
        <v>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si="14"/>
        <v>0</v>
      </c>
      <c r="F134" s="2">
        <f t="shared" si="15"/>
        <v>0</v>
      </c>
      <c r="G134" s="2">
        <f t="shared" ca="1" si="16"/>
        <v>0.25320976777602766</v>
      </c>
      <c r="H134" s="2">
        <f t="shared" si="11"/>
        <v>0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si="14"/>
        <v>0</v>
      </c>
      <c r="F135" s="2">
        <f t="shared" si="15"/>
        <v>0</v>
      </c>
      <c r="G135" s="2">
        <f t="shared" ca="1" si="16"/>
        <v>0.25320976777602766</v>
      </c>
      <c r="H135" s="2">
        <f t="shared" si="11"/>
        <v>0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si="14"/>
        <v>0</v>
      </c>
      <c r="F136" s="2">
        <f t="shared" si="15"/>
        <v>0</v>
      </c>
      <c r="G136" s="2">
        <f t="shared" ca="1" si="16"/>
        <v>0.25320976777602766</v>
      </c>
      <c r="H136" s="2">
        <f t="shared" si="11"/>
        <v>0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si="14"/>
        <v>0</v>
      </c>
      <c r="F137" s="2">
        <f t="shared" si="15"/>
        <v>0</v>
      </c>
      <c r="G137" s="2">
        <f t="shared" ca="1" si="16"/>
        <v>0.25320976777602766</v>
      </c>
      <c r="H137" s="2">
        <f t="shared" si="11"/>
        <v>0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si="14"/>
        <v>0</v>
      </c>
      <c r="F138" s="2">
        <f t="shared" si="15"/>
        <v>0</v>
      </c>
      <c r="G138" s="2">
        <f t="shared" ca="1" si="16"/>
        <v>0.25320976777602766</v>
      </c>
      <c r="H138" s="2">
        <f t="shared" si="11"/>
        <v>0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si="14"/>
        <v>0</v>
      </c>
      <c r="F139" s="2">
        <f t="shared" si="15"/>
        <v>0</v>
      </c>
      <c r="G139" s="2">
        <f t="shared" ca="1" si="16"/>
        <v>0.25320976777602766</v>
      </c>
      <c r="H139" s="2">
        <f t="shared" si="11"/>
        <v>0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si="14"/>
        <v>0</v>
      </c>
      <c r="F140" s="2">
        <f t="shared" si="15"/>
        <v>0</v>
      </c>
      <c r="G140" s="2">
        <f t="shared" ca="1" si="16"/>
        <v>0.25320976777602766</v>
      </c>
      <c r="H140" s="2">
        <f t="shared" ref="H140:H203" si="21">IF(C140&gt;$C$7,0,(G140)*$C$5/365)</f>
        <v>0</v>
      </c>
      <c r="I140" s="2">
        <f t="shared" ref="I140:I203" ca="1" si="22">IF(AND(C140=0,D140=7),$C$6,IF(C140=$C$7,0,IF(C140&lt;$C$7,IF(D140=7,$C$6,0),0)))</f>
        <v>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si="24">IF(C141&gt;$C$7,0,G140+H140+I140)</f>
        <v>0</v>
      </c>
      <c r="F141" s="2">
        <f t="shared" ref="F141:F204" si="25">IF(C141&gt;$C$7,0,IF(ROUND(E141,0)&gt;0,IF(C141=0,0,IF(MOD(C141,$C$3)&gt;0,0,$C$8)),0))</f>
        <v>0</v>
      </c>
      <c r="G141" s="2">
        <f t="shared" ref="G141:G204" ca="1" si="26">IF(C141&gt;$C$7,G140,E141-F141)</f>
        <v>0.25320976777602766</v>
      </c>
      <c r="H141" s="2">
        <f t="shared" si="21"/>
        <v>0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si="24"/>
        <v>0</v>
      </c>
      <c r="F142" s="2">
        <f t="shared" si="25"/>
        <v>0</v>
      </c>
      <c r="G142" s="2">
        <f t="shared" ca="1" si="26"/>
        <v>0.25320976777602766</v>
      </c>
      <c r="H142" s="2">
        <f t="shared" si="21"/>
        <v>0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si="24"/>
        <v>0</v>
      </c>
      <c r="F143" s="2">
        <f t="shared" si="25"/>
        <v>0</v>
      </c>
      <c r="G143" s="2">
        <f t="shared" ca="1" si="26"/>
        <v>0.25320976777602766</v>
      </c>
      <c r="H143" s="2">
        <f t="shared" si="21"/>
        <v>0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si="24"/>
        <v>0</v>
      </c>
      <c r="F144" s="2">
        <f t="shared" si="25"/>
        <v>0</v>
      </c>
      <c r="G144" s="2">
        <f t="shared" ca="1" si="26"/>
        <v>0.25320976777602766</v>
      </c>
      <c r="H144" s="2">
        <f t="shared" si="21"/>
        <v>0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si="24"/>
        <v>0</v>
      </c>
      <c r="F145" s="2">
        <f t="shared" si="25"/>
        <v>0</v>
      </c>
      <c r="G145" s="2">
        <f t="shared" ca="1" si="26"/>
        <v>0.25320976777602766</v>
      </c>
      <c r="H145" s="2">
        <f t="shared" si="21"/>
        <v>0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si="24"/>
        <v>0</v>
      </c>
      <c r="F146" s="2">
        <f t="shared" si="25"/>
        <v>0</v>
      </c>
      <c r="G146" s="2">
        <f t="shared" ca="1" si="26"/>
        <v>0.25320976777602766</v>
      </c>
      <c r="H146" s="2">
        <f t="shared" si="21"/>
        <v>0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si="24"/>
        <v>0</v>
      </c>
      <c r="F147" s="2">
        <f t="shared" si="25"/>
        <v>0</v>
      </c>
      <c r="G147" s="2">
        <f t="shared" ca="1" si="26"/>
        <v>0.25320976777602766</v>
      </c>
      <c r="H147" s="2">
        <f t="shared" si="21"/>
        <v>0</v>
      </c>
      <c r="I147" s="2">
        <f t="shared" ca="1" si="22"/>
        <v>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si="24"/>
        <v>0</v>
      </c>
      <c r="F148" s="2">
        <f t="shared" si="25"/>
        <v>0</v>
      </c>
      <c r="G148" s="2">
        <f t="shared" ca="1" si="26"/>
        <v>0.25320976777602766</v>
      </c>
      <c r="H148" s="2">
        <f t="shared" si="21"/>
        <v>0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si="24"/>
        <v>0</v>
      </c>
      <c r="F149" s="2">
        <f t="shared" si="25"/>
        <v>0</v>
      </c>
      <c r="G149" s="2">
        <f t="shared" ca="1" si="26"/>
        <v>0.25320976777602766</v>
      </c>
      <c r="H149" s="2">
        <f t="shared" si="21"/>
        <v>0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si="24"/>
        <v>0</v>
      </c>
      <c r="F150" s="2">
        <f t="shared" si="25"/>
        <v>0</v>
      </c>
      <c r="G150" s="2">
        <f t="shared" ca="1" si="26"/>
        <v>0.25320976777602766</v>
      </c>
      <c r="H150" s="2">
        <f t="shared" si="21"/>
        <v>0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si="24"/>
        <v>0</v>
      </c>
      <c r="F151" s="2">
        <f t="shared" si="25"/>
        <v>0</v>
      </c>
      <c r="G151" s="2">
        <f t="shared" ca="1" si="26"/>
        <v>0.25320976777602766</v>
      </c>
      <c r="H151" s="2">
        <f t="shared" si="21"/>
        <v>0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si="24"/>
        <v>0</v>
      </c>
      <c r="F152" s="2">
        <f t="shared" si="25"/>
        <v>0</v>
      </c>
      <c r="G152" s="2">
        <f t="shared" ca="1" si="26"/>
        <v>0.25320976777602766</v>
      </c>
      <c r="H152" s="2">
        <f t="shared" si="21"/>
        <v>0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si="24"/>
        <v>0</v>
      </c>
      <c r="F153" s="2">
        <f t="shared" si="25"/>
        <v>0</v>
      </c>
      <c r="G153" s="2">
        <f t="shared" ca="1" si="26"/>
        <v>0.25320976777602766</v>
      </c>
      <c r="H153" s="2">
        <f t="shared" si="21"/>
        <v>0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si="24"/>
        <v>0</v>
      </c>
      <c r="F154" s="2">
        <f t="shared" si="25"/>
        <v>0</v>
      </c>
      <c r="G154" s="2">
        <f t="shared" ca="1" si="26"/>
        <v>0.25320976777602766</v>
      </c>
      <c r="H154" s="2">
        <f t="shared" si="21"/>
        <v>0</v>
      </c>
      <c r="I154" s="2">
        <f t="shared" ca="1" si="22"/>
        <v>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si="24"/>
        <v>0</v>
      </c>
      <c r="F155" s="2">
        <f t="shared" si="25"/>
        <v>0</v>
      </c>
      <c r="G155" s="2">
        <f t="shared" ca="1" si="26"/>
        <v>0.25320976777602766</v>
      </c>
      <c r="H155" s="2">
        <f t="shared" si="21"/>
        <v>0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si="24"/>
        <v>0</v>
      </c>
      <c r="F156" s="2">
        <f t="shared" si="25"/>
        <v>0</v>
      </c>
      <c r="G156" s="2">
        <f t="shared" ca="1" si="26"/>
        <v>0.25320976777602766</v>
      </c>
      <c r="H156" s="2">
        <f t="shared" si="21"/>
        <v>0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si="24"/>
        <v>0</v>
      </c>
      <c r="F157" s="2">
        <f t="shared" si="25"/>
        <v>0</v>
      </c>
      <c r="G157" s="2">
        <f t="shared" ca="1" si="26"/>
        <v>0.25320976777602766</v>
      </c>
      <c r="H157" s="2">
        <f t="shared" si="21"/>
        <v>0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si="24"/>
        <v>0</v>
      </c>
      <c r="F158" s="2">
        <f t="shared" si="25"/>
        <v>0</v>
      </c>
      <c r="G158" s="2">
        <f t="shared" ca="1" si="26"/>
        <v>0.25320976777602766</v>
      </c>
      <c r="H158" s="2">
        <f t="shared" si="21"/>
        <v>0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si="24"/>
        <v>0</v>
      </c>
      <c r="F159" s="2">
        <f t="shared" si="25"/>
        <v>0</v>
      </c>
      <c r="G159" s="2">
        <f t="shared" ca="1" si="26"/>
        <v>0.25320976777602766</v>
      </c>
      <c r="H159" s="2">
        <f t="shared" si="21"/>
        <v>0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si="24"/>
        <v>0</v>
      </c>
      <c r="F160" s="2">
        <f t="shared" si="25"/>
        <v>0</v>
      </c>
      <c r="G160" s="2">
        <f t="shared" ca="1" si="26"/>
        <v>0.25320976777602766</v>
      </c>
      <c r="H160" s="2">
        <f t="shared" si="21"/>
        <v>0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si="24"/>
        <v>0</v>
      </c>
      <c r="F161" s="2">
        <f t="shared" si="25"/>
        <v>0</v>
      </c>
      <c r="G161" s="2">
        <f t="shared" ca="1" si="26"/>
        <v>0.25320976777602766</v>
      </c>
      <c r="H161" s="2">
        <f t="shared" si="21"/>
        <v>0</v>
      </c>
      <c r="I161" s="2">
        <f t="shared" ca="1" si="22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si="24"/>
        <v>0</v>
      </c>
      <c r="F162" s="2">
        <f t="shared" si="25"/>
        <v>0</v>
      </c>
      <c r="G162" s="2">
        <f t="shared" ca="1" si="26"/>
        <v>0.25320976777602766</v>
      </c>
      <c r="H162" s="2">
        <f t="shared" si="21"/>
        <v>0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si="24"/>
        <v>0</v>
      </c>
      <c r="F163" s="2">
        <f t="shared" si="25"/>
        <v>0</v>
      </c>
      <c r="G163" s="2">
        <f t="shared" ca="1" si="26"/>
        <v>0.25320976777602766</v>
      </c>
      <c r="H163" s="2">
        <f t="shared" si="21"/>
        <v>0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si="24"/>
        <v>0</v>
      </c>
      <c r="F164" s="2">
        <f t="shared" si="25"/>
        <v>0</v>
      </c>
      <c r="G164" s="2">
        <f t="shared" ca="1" si="26"/>
        <v>0.25320976777602766</v>
      </c>
      <c r="H164" s="2">
        <f t="shared" si="21"/>
        <v>0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si="24"/>
        <v>0</v>
      </c>
      <c r="F165" s="2">
        <f t="shared" si="25"/>
        <v>0</v>
      </c>
      <c r="G165" s="2">
        <f t="shared" ca="1" si="26"/>
        <v>0.25320976777602766</v>
      </c>
      <c r="H165" s="2">
        <f t="shared" si="21"/>
        <v>0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0.25320976777602766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0.25320976777602766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0.25320976777602766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0.25320976777602766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0.25320976777602766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0.25320976777602766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0.25320976777602766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0.25320976777602766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0.25320976777602766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0.25320976777602766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0.25320976777602766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0.25320976777602766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0.25320976777602766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0.25320976777602766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0.25320976777602766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0.25320976777602766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0.25320976777602766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0.25320976777602766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0.25320976777602766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0.25320976777602766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0.25320976777602766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0.25320976777602766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0.25320976777602766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0.25320976777602766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0.25320976777602766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0.25320976777602766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0.25320976777602766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0.25320976777602766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0.25320976777602766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0.25320976777602766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0.25320976777602766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0.25320976777602766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0.25320976777602766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0.25320976777602766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0.25320976777602766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0.25320976777602766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0.25320976777602766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0.25320976777602766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0.25320976777602766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0.25320976777602766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0.25320976777602766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0.25320976777602766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0.25320976777602766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0.25320976777602766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0.25320976777602766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0.25320976777602766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B11:I211">
    <cfRule type="expression" dxfId="49" priority="3">
      <formula>$C11=$C$7</formula>
    </cfRule>
    <cfRule type="expression" dxfId="48" priority="4">
      <formula>$C11&gt;$C$7</formula>
    </cfRule>
  </conditionalFormatting>
  <conditionalFormatting sqref="E7">
    <cfRule type="cellIs" dxfId="47" priority="1" operator="equal">
      <formula>"No RESET Required"</formula>
    </cfRule>
    <cfRule type="cellIs" dxfId="46" priority="2" operator="equal">
      <formula>"RESET"</formula>
    </cfRule>
  </conditionalFormatting>
  <hyperlinks>
    <hyperlink ref="H2:I4" location="Summary!A1" display="Return to Home" xr:uid="{0AD8558F-1428-44AB-B51B-3844A56346F6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215900</xdr:colOff>
                    <xdr:row>5</xdr:row>
                    <xdr:rowOff>76200</xdr:rowOff>
                  </from>
                  <to>
                    <xdr:col>8</xdr:col>
                    <xdr:colOff>1562100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4D240-091E-4443-A735-2CA7BBF2C155}">
  <sheetPr codeName="Sheet16">
    <tabColor rgb="FF00B050"/>
  </sheetPr>
  <dimension ref="B2:J211"/>
  <sheetViews>
    <sheetView zoomScale="125" zoomScaleNormal="85" workbookViewId="0">
      <pane ySplit="10" topLeftCell="A11" activePane="bottomLeft" state="frozen"/>
      <selection activeCell="A11" sqref="A11"/>
      <selection pane="bottomLeft" activeCell="C8" sqref="C8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4.1640625" bestFit="1" customWidth="1"/>
    <col min="9" max="9" width="18.5" customWidth="1"/>
    <col min="10" max="10" width="9.1640625" bestFit="1" customWidth="1"/>
  </cols>
  <sheetData>
    <row r="2" spans="2:10" x14ac:dyDescent="0.2">
      <c r="B2" s="33" t="s">
        <v>0</v>
      </c>
      <c r="C2" s="13">
        <v>250</v>
      </c>
      <c r="E2" s="33" t="s">
        <v>1</v>
      </c>
      <c r="F2" s="16">
        <f ca="1">TODAY()-1</f>
        <v>44048</v>
      </c>
      <c r="H2" s="1" t="s">
        <v>16</v>
      </c>
      <c r="I2" s="10">
        <f ca="1">COUNTIF($F$12:$F$211,"&gt;0")</f>
        <v>2</v>
      </c>
    </row>
    <row r="3" spans="2:10" ht="16" thickBot="1" x14ac:dyDescent="0.25">
      <c r="B3" s="1" t="s">
        <v>2</v>
      </c>
      <c r="C3" s="14">
        <f ca="1">C7/I2</f>
        <v>30.5</v>
      </c>
      <c r="E3" s="1" t="s">
        <v>3</v>
      </c>
      <c r="F3" s="15">
        <f ca="1">SUM(H11:H211)</f>
        <v>7.5357046056574681</v>
      </c>
    </row>
    <row r="4" spans="2:10" ht="15" customHeight="1" x14ac:dyDescent="0.2">
      <c r="B4" s="1" t="s">
        <v>4</v>
      </c>
      <c r="C4" s="34">
        <v>61</v>
      </c>
      <c r="E4" s="1" t="s">
        <v>5</v>
      </c>
      <c r="F4" s="15">
        <f ca="1">SUM(I11:I211)</f>
        <v>180</v>
      </c>
      <c r="H4" s="23" t="s">
        <v>34</v>
      </c>
      <c r="I4" s="24"/>
    </row>
    <row r="5" spans="2:10" ht="14.5" customHeight="1" x14ac:dyDescent="0.2">
      <c r="B5" s="33" t="s">
        <v>6</v>
      </c>
      <c r="C5" s="12">
        <v>0.19</v>
      </c>
      <c r="E5" s="1" t="s">
        <v>7</v>
      </c>
      <c r="F5" s="15">
        <f ca="1">SUM(F12:F211)</f>
        <v>417.36950604320629</v>
      </c>
      <c r="H5" s="25"/>
      <c r="I5" s="26"/>
    </row>
    <row r="6" spans="2:10" ht="15" customHeight="1" thickBot="1" x14ac:dyDescent="0.25">
      <c r="B6" s="33" t="s">
        <v>8</v>
      </c>
      <c r="C6" s="13">
        <v>20</v>
      </c>
      <c r="H6" s="27"/>
      <c r="I6" s="28"/>
    </row>
    <row r="7" spans="2:10" ht="14.5" customHeight="1" x14ac:dyDescent="0.2">
      <c r="B7" s="33" t="s">
        <v>9</v>
      </c>
      <c r="C7" s="35">
        <f ca="1">DATE(YEAR($F$2+$C$4),MONTH($F$2+$C$4),DAY($F$2)) - $F$2</f>
        <v>61</v>
      </c>
      <c r="E7" s="29" t="str">
        <f ca="1">IF(ROUND(G211,2)&lt;&gt;0,"RESET","No RESET Required")</f>
        <v>RESET</v>
      </c>
      <c r="F7" s="30"/>
    </row>
    <row r="8" spans="2:10" ht="15" customHeight="1" thickBot="1" x14ac:dyDescent="0.25">
      <c r="B8" s="1" t="s">
        <v>10</v>
      </c>
      <c r="C8" s="8">
        <v>208.68475302160314</v>
      </c>
      <c r="E8" s="31"/>
      <c r="F8" s="32"/>
    </row>
    <row r="9" spans="2:10" x14ac:dyDescent="0.2">
      <c r="C9" s="2"/>
      <c r="F9" s="3"/>
      <c r="G9" s="3"/>
      <c r="H9" s="3"/>
      <c r="I9" s="3"/>
      <c r="J9" s="3"/>
    </row>
    <row r="10" spans="2:10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10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250</v>
      </c>
      <c r="H11" s="2">
        <f ca="1">IF(C11&gt;$C$7,0,(G11)*$C$5/365)</f>
        <v>0.13013698630136986</v>
      </c>
      <c r="I11" s="2">
        <f ca="1">IF(AND(C11=0,D11=7),$C$6,IF(C11=$C$7,0,IF(C11&lt;$C$7,IF(D11=7,$C$6,0),0)))</f>
        <v>0</v>
      </c>
    </row>
    <row r="12" spans="2:10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250.13013698630138</v>
      </c>
      <c r="F12" s="2">
        <f t="shared" ref="F12:F34" ca="1" si="1">IF(C12&gt;$C$7,0,IF(ROUND(E12,0)&gt;0,IF(C12=0,0,IF(DAY($F$2)&lt;&gt;DAY(B12),0,$C$8)),0))</f>
        <v>0</v>
      </c>
      <c r="G12" s="2">
        <f ca="1">IF(C12&gt;$C$7,G11,E12-F12)</f>
        <v>250.13013698630138</v>
      </c>
      <c r="H12" s="2">
        <f t="shared" ref="H12:H75" ca="1" si="2">IF(C12&gt;$C$7,0,(G12)*$C$5/365)</f>
        <v>0.13020472884218429</v>
      </c>
      <c r="I12" s="2">
        <f t="shared" ref="I12:I75" ca="1" si="3">IF(AND(C12=0,D12=7),$C$6,IF(C12=$C$7,0,IF(C12&lt;$C$7,IF(D12=7,$C$6,0),0)))</f>
        <v>0</v>
      </c>
    </row>
    <row r="13" spans="2:10" x14ac:dyDescent="0.2">
      <c r="B13" s="4">
        <f t="shared" ref="B13:C28" ca="1" si="4">B12+1</f>
        <v>44050</v>
      </c>
      <c r="C13">
        <f t="shared" si="4"/>
        <v>2</v>
      </c>
      <c r="D13">
        <f t="shared" ca="1" si="0"/>
        <v>6</v>
      </c>
      <c r="E13" s="2">
        <f t="shared" ref="E13:E76" ca="1" si="5">IF(C13&gt;$C$7,0,G12+H12+I12)</f>
        <v>250.26034171514357</v>
      </c>
      <c r="F13" s="2">
        <f t="shared" ca="1" si="1"/>
        <v>0</v>
      </c>
      <c r="G13" s="2">
        <f t="shared" ref="G13:G76" ca="1" si="6">IF(C13&gt;$C$7,G12,E13-F13)</f>
        <v>250.26034171514357</v>
      </c>
      <c r="H13" s="2">
        <f t="shared" ca="1" si="2"/>
        <v>0.13027250664623913</v>
      </c>
      <c r="I13" s="2">
        <f t="shared" ca="1" si="3"/>
        <v>0</v>
      </c>
    </row>
    <row r="14" spans="2:10" x14ac:dyDescent="0.2">
      <c r="B14" s="4">
        <f t="shared" ca="1" si="4"/>
        <v>44051</v>
      </c>
      <c r="C14">
        <f t="shared" si="4"/>
        <v>3</v>
      </c>
      <c r="D14">
        <f t="shared" ca="1" si="0"/>
        <v>7</v>
      </c>
      <c r="E14" s="2">
        <f t="shared" ca="1" si="5"/>
        <v>250.3906142217898</v>
      </c>
      <c r="F14" s="2">
        <f t="shared" ca="1" si="1"/>
        <v>0</v>
      </c>
      <c r="G14" s="2">
        <f t="shared" ca="1" si="6"/>
        <v>250.3906142217898</v>
      </c>
      <c r="H14" s="2">
        <f t="shared" ca="1" si="2"/>
        <v>0.13034031973189059</v>
      </c>
      <c r="I14" s="2">
        <f t="shared" ca="1" si="3"/>
        <v>20</v>
      </c>
    </row>
    <row r="15" spans="2:10" x14ac:dyDescent="0.2">
      <c r="B15" s="4">
        <f t="shared" ca="1" si="4"/>
        <v>44052</v>
      </c>
      <c r="C15">
        <f t="shared" si="4"/>
        <v>4</v>
      </c>
      <c r="D15">
        <f t="shared" ca="1" si="0"/>
        <v>1</v>
      </c>
      <c r="E15" s="2">
        <f t="shared" ca="1" si="5"/>
        <v>270.52095454152169</v>
      </c>
      <c r="F15" s="2">
        <f t="shared" ca="1" si="1"/>
        <v>0</v>
      </c>
      <c r="G15" s="2">
        <f t="shared" ca="1" si="6"/>
        <v>270.52095454152169</v>
      </c>
      <c r="H15" s="2">
        <f t="shared" ca="1" si="2"/>
        <v>0.14081912702161403</v>
      </c>
      <c r="I15" s="2">
        <f t="shared" ca="1" si="3"/>
        <v>0</v>
      </c>
    </row>
    <row r="16" spans="2:10" x14ac:dyDescent="0.2">
      <c r="B16" s="4">
        <f t="shared" ca="1" si="4"/>
        <v>44053</v>
      </c>
      <c r="C16">
        <f t="shared" si="4"/>
        <v>5</v>
      </c>
      <c r="D16">
        <f t="shared" ca="1" si="0"/>
        <v>2</v>
      </c>
      <c r="E16" s="2">
        <f t="shared" ca="1" si="5"/>
        <v>270.66177366854328</v>
      </c>
      <c r="F16" s="2">
        <f t="shared" ca="1" si="1"/>
        <v>0</v>
      </c>
      <c r="G16" s="2">
        <f t="shared" ca="1" si="6"/>
        <v>270.66177366854328</v>
      </c>
      <c r="H16" s="2">
        <f t="shared" ca="1" si="2"/>
        <v>0.14089243012883074</v>
      </c>
      <c r="I16" s="2">
        <f t="shared" ca="1" si="3"/>
        <v>0</v>
      </c>
    </row>
    <row r="17" spans="2:9" x14ac:dyDescent="0.2">
      <c r="B17" s="4">
        <f t="shared" ca="1" si="4"/>
        <v>44054</v>
      </c>
      <c r="C17">
        <f t="shared" si="4"/>
        <v>6</v>
      </c>
      <c r="D17">
        <f t="shared" ca="1" si="0"/>
        <v>3</v>
      </c>
      <c r="E17" s="2">
        <f t="shared" ca="1" si="5"/>
        <v>270.80266609867209</v>
      </c>
      <c r="F17" s="2">
        <f t="shared" ca="1" si="1"/>
        <v>0</v>
      </c>
      <c r="G17" s="2">
        <f t="shared" ca="1" si="6"/>
        <v>270.80266609867209</v>
      </c>
      <c r="H17" s="2">
        <f t="shared" ca="1" si="2"/>
        <v>0.14096577139382932</v>
      </c>
      <c r="I17" s="2">
        <f t="shared" ca="1" si="3"/>
        <v>0</v>
      </c>
    </row>
    <row r="18" spans="2:9" x14ac:dyDescent="0.2">
      <c r="B18" s="4">
        <f t="shared" ca="1" si="4"/>
        <v>44055</v>
      </c>
      <c r="C18">
        <f t="shared" si="4"/>
        <v>7</v>
      </c>
      <c r="D18">
        <f t="shared" ca="1" si="0"/>
        <v>4</v>
      </c>
      <c r="E18" s="2">
        <f t="shared" ca="1" si="5"/>
        <v>270.94363187006593</v>
      </c>
      <c r="F18" s="2">
        <f t="shared" ca="1" si="1"/>
        <v>0</v>
      </c>
      <c r="G18" s="2">
        <f t="shared" ca="1" si="6"/>
        <v>270.94363187006593</v>
      </c>
      <c r="H18" s="2">
        <f t="shared" ca="1" si="2"/>
        <v>0.14103915083647267</v>
      </c>
      <c r="I18" s="2">
        <f t="shared" ca="1" si="3"/>
        <v>0</v>
      </c>
    </row>
    <row r="19" spans="2:9" x14ac:dyDescent="0.2">
      <c r="B19" s="4">
        <f t="shared" ca="1" si="4"/>
        <v>44056</v>
      </c>
      <c r="C19">
        <f t="shared" si="4"/>
        <v>8</v>
      </c>
      <c r="D19">
        <f t="shared" ca="1" si="0"/>
        <v>5</v>
      </c>
      <c r="E19" s="2">
        <f t="shared" ca="1" si="5"/>
        <v>271.08467102090242</v>
      </c>
      <c r="F19" s="2">
        <f t="shared" ca="1" si="1"/>
        <v>0</v>
      </c>
      <c r="G19" s="2">
        <f t="shared" ca="1" si="6"/>
        <v>271.08467102090242</v>
      </c>
      <c r="H19" s="2">
        <f t="shared" ca="1" si="2"/>
        <v>0.14111256847663414</v>
      </c>
      <c r="I19" s="2">
        <f t="shared" ca="1" si="3"/>
        <v>0</v>
      </c>
    </row>
    <row r="20" spans="2:9" x14ac:dyDescent="0.2">
      <c r="B20" s="4">
        <f t="shared" ca="1" si="4"/>
        <v>44057</v>
      </c>
      <c r="C20">
        <f t="shared" si="4"/>
        <v>9</v>
      </c>
      <c r="D20">
        <f t="shared" ca="1" si="0"/>
        <v>6</v>
      </c>
      <c r="E20" s="2">
        <f t="shared" ca="1" si="5"/>
        <v>271.22578358937903</v>
      </c>
      <c r="F20" s="2">
        <f t="shared" ca="1" si="1"/>
        <v>0</v>
      </c>
      <c r="G20" s="2">
        <f t="shared" ca="1" si="6"/>
        <v>271.22578358937903</v>
      </c>
      <c r="H20" s="2">
        <f t="shared" ca="1" si="2"/>
        <v>0.1411860243341973</v>
      </c>
      <c r="I20" s="2">
        <f t="shared" ca="1" si="3"/>
        <v>0</v>
      </c>
    </row>
    <row r="21" spans="2:9" x14ac:dyDescent="0.2">
      <c r="B21" s="4">
        <f t="shared" ca="1" si="4"/>
        <v>44058</v>
      </c>
      <c r="C21">
        <f t="shared" si="4"/>
        <v>10</v>
      </c>
      <c r="D21">
        <f t="shared" ca="1" si="0"/>
        <v>7</v>
      </c>
      <c r="E21" s="2">
        <f t="shared" ca="1" si="5"/>
        <v>271.36696961371325</v>
      </c>
      <c r="F21" s="2">
        <f t="shared" ca="1" si="1"/>
        <v>0</v>
      </c>
      <c r="G21" s="2">
        <f t="shared" ca="1" si="6"/>
        <v>271.36696961371325</v>
      </c>
      <c r="H21" s="2">
        <f t="shared" ca="1" si="2"/>
        <v>0.14125951842905621</v>
      </c>
      <c r="I21" s="2">
        <f t="shared" ca="1" si="3"/>
        <v>20</v>
      </c>
    </row>
    <row r="22" spans="2:9" x14ac:dyDescent="0.2">
      <c r="B22" s="4">
        <f t="shared" ca="1" si="4"/>
        <v>44059</v>
      </c>
      <c r="C22">
        <f t="shared" si="4"/>
        <v>11</v>
      </c>
      <c r="D22">
        <f t="shared" ca="1" si="0"/>
        <v>1</v>
      </c>
      <c r="E22" s="2">
        <f t="shared" ca="1" si="5"/>
        <v>291.50822913214233</v>
      </c>
      <c r="F22" s="2">
        <f t="shared" ca="1" si="1"/>
        <v>0</v>
      </c>
      <c r="G22" s="2">
        <f t="shared" ca="1" si="6"/>
        <v>291.50822913214233</v>
      </c>
      <c r="H22" s="2">
        <f t="shared" ca="1" si="2"/>
        <v>0.15174400968522478</v>
      </c>
      <c r="I22" s="2">
        <f t="shared" ca="1" si="3"/>
        <v>0</v>
      </c>
    </row>
    <row r="23" spans="2:9" x14ac:dyDescent="0.2">
      <c r="B23" s="4">
        <f t="shared" ca="1" si="4"/>
        <v>44060</v>
      </c>
      <c r="C23">
        <f t="shared" si="4"/>
        <v>12</v>
      </c>
      <c r="D23">
        <f t="shared" ca="1" si="0"/>
        <v>2</v>
      </c>
      <c r="E23" s="2">
        <f t="shared" ca="1" si="5"/>
        <v>291.65997314182755</v>
      </c>
      <c r="F23" s="2">
        <f t="shared" ca="1" si="1"/>
        <v>0</v>
      </c>
      <c r="G23" s="2">
        <f t="shared" ca="1" si="6"/>
        <v>291.65997314182755</v>
      </c>
      <c r="H23" s="2">
        <f t="shared" ca="1" si="2"/>
        <v>0.15182299971766366</v>
      </c>
      <c r="I23" s="2">
        <f t="shared" ca="1" si="3"/>
        <v>0</v>
      </c>
    </row>
    <row r="24" spans="2:9" x14ac:dyDescent="0.2">
      <c r="B24" s="4">
        <f t="shared" ca="1" si="4"/>
        <v>44061</v>
      </c>
      <c r="C24">
        <f t="shared" si="4"/>
        <v>13</v>
      </c>
      <c r="D24">
        <f t="shared" ca="1" si="0"/>
        <v>3</v>
      </c>
      <c r="E24" s="2">
        <f t="shared" ca="1" si="5"/>
        <v>291.81179614154519</v>
      </c>
      <c r="F24" s="2">
        <f t="shared" ca="1" si="1"/>
        <v>0</v>
      </c>
      <c r="G24" s="2">
        <f t="shared" ca="1" si="6"/>
        <v>291.81179614154519</v>
      </c>
      <c r="H24" s="2">
        <f t="shared" ca="1" si="2"/>
        <v>0.15190203086820159</v>
      </c>
      <c r="I24" s="2">
        <f t="shared" ca="1" si="3"/>
        <v>0</v>
      </c>
    </row>
    <row r="25" spans="2:9" x14ac:dyDescent="0.2">
      <c r="B25" s="4">
        <f t="shared" ca="1" si="4"/>
        <v>44062</v>
      </c>
      <c r="C25">
        <f t="shared" si="4"/>
        <v>14</v>
      </c>
      <c r="D25">
        <f t="shared" ca="1" si="0"/>
        <v>4</v>
      </c>
      <c r="E25" s="2">
        <f t="shared" ca="1" si="5"/>
        <v>291.96369817241339</v>
      </c>
      <c r="F25" s="2">
        <f t="shared" ca="1" si="1"/>
        <v>0</v>
      </c>
      <c r="G25" s="2">
        <f t="shared" ca="1" si="6"/>
        <v>291.96369817241339</v>
      </c>
      <c r="H25" s="2">
        <f t="shared" ca="1" si="2"/>
        <v>0.15198110315824259</v>
      </c>
      <c r="I25" s="2">
        <f t="shared" ca="1" si="3"/>
        <v>0</v>
      </c>
    </row>
    <row r="26" spans="2:9" x14ac:dyDescent="0.2">
      <c r="B26" s="4">
        <f t="shared" ca="1" si="4"/>
        <v>44063</v>
      </c>
      <c r="C26">
        <f t="shared" si="4"/>
        <v>15</v>
      </c>
      <c r="D26">
        <f t="shared" ca="1" si="0"/>
        <v>5</v>
      </c>
      <c r="E26" s="2">
        <f t="shared" ca="1" si="5"/>
        <v>292.11567927557161</v>
      </c>
      <c r="F26" s="2">
        <f t="shared" ca="1" si="1"/>
        <v>0</v>
      </c>
      <c r="G26" s="2">
        <f t="shared" ca="1" si="6"/>
        <v>292.11567927557161</v>
      </c>
      <c r="H26" s="2">
        <f t="shared" ca="1" si="2"/>
        <v>0.15206021660920166</v>
      </c>
      <c r="I26" s="2">
        <f t="shared" ca="1" si="3"/>
        <v>0</v>
      </c>
    </row>
    <row r="27" spans="2:9" x14ac:dyDescent="0.2">
      <c r="B27" s="4">
        <f t="shared" ca="1" si="4"/>
        <v>44064</v>
      </c>
      <c r="C27">
        <f t="shared" si="4"/>
        <v>16</v>
      </c>
      <c r="D27">
        <f t="shared" ca="1" si="0"/>
        <v>6</v>
      </c>
      <c r="E27" s="2">
        <f t="shared" ca="1" si="5"/>
        <v>292.26773949218079</v>
      </c>
      <c r="F27" s="2">
        <f t="shared" ca="1" si="1"/>
        <v>0</v>
      </c>
      <c r="G27" s="2">
        <f t="shared" ca="1" si="6"/>
        <v>292.26773949218079</v>
      </c>
      <c r="H27" s="2">
        <f t="shared" ca="1" si="2"/>
        <v>0.15213937124250507</v>
      </c>
      <c r="I27" s="2">
        <f t="shared" ca="1" si="3"/>
        <v>0</v>
      </c>
    </row>
    <row r="28" spans="2:9" x14ac:dyDescent="0.2">
      <c r="B28" s="4">
        <f t="shared" ca="1" si="4"/>
        <v>44065</v>
      </c>
      <c r="C28">
        <f t="shared" si="4"/>
        <v>17</v>
      </c>
      <c r="D28">
        <f t="shared" ca="1" si="0"/>
        <v>7</v>
      </c>
      <c r="E28" s="2">
        <f t="shared" ca="1" si="5"/>
        <v>292.41987886342332</v>
      </c>
      <c r="F28" s="2">
        <f t="shared" ca="1" si="1"/>
        <v>0</v>
      </c>
      <c r="G28" s="2">
        <f t="shared" ca="1" si="6"/>
        <v>292.41987886342332</v>
      </c>
      <c r="H28" s="2">
        <f t="shared" ca="1" si="2"/>
        <v>0.15221856707959022</v>
      </c>
      <c r="I28" s="2">
        <f t="shared" ca="1" si="3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5"/>
        <v>312.57209743050294</v>
      </c>
      <c r="F29" s="2">
        <f t="shared" ca="1" si="1"/>
        <v>0</v>
      </c>
      <c r="G29" s="2">
        <f t="shared" ca="1" si="6"/>
        <v>312.57209743050294</v>
      </c>
      <c r="H29" s="2">
        <f t="shared" ca="1" si="2"/>
        <v>0.16270876304601523</v>
      </c>
      <c r="I29" s="2">
        <f t="shared" ca="1" si="3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5"/>
        <v>312.73480619354893</v>
      </c>
      <c r="F30" s="2">
        <f t="shared" ca="1" si="1"/>
        <v>0</v>
      </c>
      <c r="G30" s="2">
        <f t="shared" ca="1" si="6"/>
        <v>312.73480619354893</v>
      </c>
      <c r="H30" s="2">
        <f t="shared" ca="1" si="2"/>
        <v>0.16279346075828574</v>
      </c>
      <c r="I30" s="2">
        <f t="shared" ca="1" si="3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5"/>
        <v>312.89759965430721</v>
      </c>
      <c r="F31" s="2">
        <f t="shared" ca="1" si="1"/>
        <v>0</v>
      </c>
      <c r="G31" s="2">
        <f t="shared" ca="1" si="6"/>
        <v>312.89759965430721</v>
      </c>
      <c r="H31" s="2">
        <f t="shared" ca="1" si="2"/>
        <v>0.16287820255977636</v>
      </c>
      <c r="I31" s="2">
        <f t="shared" ca="1" si="3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5"/>
        <v>313.06047785686701</v>
      </c>
      <c r="F32" s="2">
        <f t="shared" ca="1" si="1"/>
        <v>0</v>
      </c>
      <c r="G32" s="2">
        <f t="shared" ca="1" si="6"/>
        <v>313.06047785686701</v>
      </c>
      <c r="H32" s="2">
        <f t="shared" ca="1" si="2"/>
        <v>0.16296298847343763</v>
      </c>
      <c r="I32" s="2">
        <f t="shared" ca="1" si="3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5"/>
        <v>313.22344084534046</v>
      </c>
      <c r="F33" s="2">
        <f t="shared" ca="1" si="1"/>
        <v>0</v>
      </c>
      <c r="G33" s="2">
        <f t="shared" ca="1" si="6"/>
        <v>313.22344084534046</v>
      </c>
      <c r="H33" s="2">
        <f t="shared" ca="1" si="2"/>
        <v>0.16304781852223202</v>
      </c>
      <c r="I33" s="2">
        <f t="shared" ca="1" si="3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5"/>
        <v>313.38648866386268</v>
      </c>
      <c r="F34" s="2">
        <f t="shared" ca="1" si="1"/>
        <v>0</v>
      </c>
      <c r="G34" s="2">
        <f t="shared" ca="1" si="6"/>
        <v>313.38648866386268</v>
      </c>
      <c r="H34" s="2">
        <f t="shared" ca="1" si="2"/>
        <v>0.163132692729134</v>
      </c>
      <c r="I34" s="2">
        <f t="shared" ca="1" si="3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5"/>
        <v>313.54962135659179</v>
      </c>
      <c r="F35" s="2">
        <f ca="1">IF(C35&gt;$C$7,0,IF(ROUND(E35,0)&gt;0,IF(C35=0,0,IF(DAY($F$2)&lt;&gt;DAY(B35),0,$C$8)),0))</f>
        <v>0</v>
      </c>
      <c r="G35" s="2">
        <f t="shared" ca="1" si="6"/>
        <v>313.54962135659179</v>
      </c>
      <c r="H35" s="2">
        <f t="shared" ca="1" si="2"/>
        <v>0.16321761111712998</v>
      </c>
      <c r="I35" s="2">
        <f t="shared" ca="1" si="3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5"/>
        <v>333.71283896770893</v>
      </c>
      <c r="F36" s="2">
        <f t="shared" ref="F36:F99" ca="1" si="8">IF(C36&gt;$C$7,0,IF(ROUND(E36,0)&gt;0,IF(C36=0,0,IF(DAY($F$2)&lt;&gt;DAY(B36),0,$C$8)),0))</f>
        <v>0</v>
      </c>
      <c r="G36" s="2">
        <f t="shared" ca="1" si="6"/>
        <v>333.71283896770893</v>
      </c>
      <c r="H36" s="2">
        <f t="shared" ca="1" si="2"/>
        <v>0.17371353261332795</v>
      </c>
      <c r="I36" s="2">
        <f t="shared" ca="1" si="3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5"/>
        <v>333.88655250032224</v>
      </c>
      <c r="F37" s="2">
        <f t="shared" ca="1" si="8"/>
        <v>0</v>
      </c>
      <c r="G37" s="2">
        <f t="shared" ca="1" si="6"/>
        <v>333.88655250032224</v>
      </c>
      <c r="H37" s="2">
        <f t="shared" ca="1" si="2"/>
        <v>0.17380395883578417</v>
      </c>
      <c r="I37" s="2">
        <f t="shared" ca="1" si="3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5"/>
        <v>334.06035645915802</v>
      </c>
      <c r="F38" s="2">
        <f t="shared" ca="1" si="8"/>
        <v>0</v>
      </c>
      <c r="G38" s="2">
        <f t="shared" ca="1" si="6"/>
        <v>334.06035645915802</v>
      </c>
      <c r="H38" s="2">
        <f t="shared" ca="1" si="2"/>
        <v>0.17389443212942474</v>
      </c>
      <c r="I38" s="2">
        <f t="shared" ca="1" si="3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5"/>
        <v>334.23425089128745</v>
      </c>
      <c r="F39" s="2">
        <f t="shared" ca="1" si="8"/>
        <v>0</v>
      </c>
      <c r="G39" s="2">
        <f t="shared" ca="1" si="6"/>
        <v>334.23425089128745</v>
      </c>
      <c r="H39" s="2">
        <f t="shared" ca="1" si="2"/>
        <v>0.17398495251875237</v>
      </c>
      <c r="I39" s="2">
        <f t="shared" ca="1" si="3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5"/>
        <v>334.40823584380621</v>
      </c>
      <c r="F40" s="2">
        <f t="shared" ca="1" si="8"/>
        <v>0</v>
      </c>
      <c r="G40" s="2">
        <f t="shared" ca="1" si="6"/>
        <v>334.40823584380621</v>
      </c>
      <c r="H40" s="2">
        <f t="shared" ca="1" si="2"/>
        <v>0.17407552002828269</v>
      </c>
      <c r="I40" s="2">
        <f t="shared" ca="1" si="3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5"/>
        <v>334.58231136383449</v>
      </c>
      <c r="F41" s="2">
        <f t="shared" ca="1" si="8"/>
        <v>0</v>
      </c>
      <c r="G41" s="2">
        <f t="shared" ca="1" si="6"/>
        <v>334.58231136383449</v>
      </c>
      <c r="H41" s="2">
        <f t="shared" ca="1" si="2"/>
        <v>0.17416613468254399</v>
      </c>
      <c r="I41" s="2">
        <f t="shared" ca="1" si="3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5"/>
        <v>334.75647749851703</v>
      </c>
      <c r="F42" s="2">
        <f t="shared" ca="1" si="8"/>
        <v>208.68475302160314</v>
      </c>
      <c r="G42" s="2">
        <f t="shared" ca="1" si="6"/>
        <v>126.07172447691389</v>
      </c>
      <c r="H42" s="2">
        <f t="shared" ca="1" si="2"/>
        <v>6.5626377124968882E-2</v>
      </c>
      <c r="I42" s="2">
        <f t="shared" ca="1" si="3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5"/>
        <v>146.13735085403886</v>
      </c>
      <c r="F43" s="2">
        <f t="shared" ca="1" si="8"/>
        <v>0</v>
      </c>
      <c r="G43" s="2">
        <f t="shared" ca="1" si="6"/>
        <v>146.13735085403886</v>
      </c>
      <c r="H43" s="2">
        <f t="shared" ca="1" si="2"/>
        <v>7.6071497704842145E-2</v>
      </c>
      <c r="I43" s="2">
        <f t="shared" ca="1" si="3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5"/>
        <v>146.2134223517437</v>
      </c>
      <c r="F44" s="2">
        <f t="shared" ca="1" si="8"/>
        <v>0</v>
      </c>
      <c r="G44" s="2">
        <f t="shared" ca="1" si="6"/>
        <v>146.2134223517437</v>
      </c>
      <c r="H44" s="2">
        <f t="shared" ca="1" si="2"/>
        <v>7.611109656666111E-2</v>
      </c>
      <c r="I44" s="2">
        <f t="shared" ca="1" si="3"/>
        <v>0</v>
      </c>
    </row>
    <row r="45" spans="2:9" x14ac:dyDescent="0.2">
      <c r="B45" s="4">
        <f t="shared" ref="B45:C60" ca="1" si="9">B44+1</f>
        <v>44082</v>
      </c>
      <c r="C45">
        <f t="shared" si="9"/>
        <v>34</v>
      </c>
      <c r="D45">
        <f t="shared" ca="1" si="0"/>
        <v>3</v>
      </c>
      <c r="E45" s="2">
        <f t="shared" ca="1" si="5"/>
        <v>146.28953344831035</v>
      </c>
      <c r="F45" s="2">
        <f t="shared" ca="1" si="8"/>
        <v>0</v>
      </c>
      <c r="G45" s="2">
        <f t="shared" ca="1" si="6"/>
        <v>146.28953344831035</v>
      </c>
      <c r="H45" s="2">
        <f t="shared" ca="1" si="2"/>
        <v>7.6150716041586214E-2</v>
      </c>
      <c r="I45" s="2">
        <f t="shared" ca="1" si="3"/>
        <v>0</v>
      </c>
    </row>
    <row r="46" spans="2:9" x14ac:dyDescent="0.2">
      <c r="B46" s="4">
        <f t="shared" ca="1" si="9"/>
        <v>44083</v>
      </c>
      <c r="C46">
        <f t="shared" si="9"/>
        <v>35</v>
      </c>
      <c r="D46">
        <f t="shared" ca="1" si="0"/>
        <v>4</v>
      </c>
      <c r="E46" s="2">
        <f t="shared" ca="1" si="5"/>
        <v>146.36568416435193</v>
      </c>
      <c r="F46" s="2">
        <f t="shared" ca="1" si="8"/>
        <v>0</v>
      </c>
      <c r="G46" s="2">
        <f t="shared" ca="1" si="6"/>
        <v>146.36568416435193</v>
      </c>
      <c r="H46" s="2">
        <f t="shared" ca="1" si="2"/>
        <v>7.6190356140347582E-2</v>
      </c>
      <c r="I46" s="2">
        <f t="shared" ca="1" si="3"/>
        <v>0</v>
      </c>
    </row>
    <row r="47" spans="2:9" x14ac:dyDescent="0.2">
      <c r="B47" s="4">
        <f t="shared" ca="1" si="9"/>
        <v>44084</v>
      </c>
      <c r="C47">
        <f t="shared" si="9"/>
        <v>36</v>
      </c>
      <c r="D47">
        <f t="shared" ca="1" si="0"/>
        <v>5</v>
      </c>
      <c r="E47" s="2">
        <f t="shared" ca="1" si="5"/>
        <v>146.44187452049229</v>
      </c>
      <c r="F47" s="2">
        <f t="shared" ca="1" si="8"/>
        <v>0</v>
      </c>
      <c r="G47" s="2">
        <f t="shared" ca="1" si="6"/>
        <v>146.44187452049229</v>
      </c>
      <c r="H47" s="2">
        <f t="shared" ca="1" si="2"/>
        <v>7.6230016873680931E-2</v>
      </c>
      <c r="I47" s="2">
        <f t="shared" ca="1" si="3"/>
        <v>0</v>
      </c>
    </row>
    <row r="48" spans="2:9" x14ac:dyDescent="0.2">
      <c r="B48" s="4">
        <f t="shared" ca="1" si="9"/>
        <v>44085</v>
      </c>
      <c r="C48">
        <f t="shared" si="9"/>
        <v>37</v>
      </c>
      <c r="D48">
        <f t="shared" ca="1" si="0"/>
        <v>6</v>
      </c>
      <c r="E48" s="2">
        <f t="shared" ca="1" si="5"/>
        <v>146.51810453736599</v>
      </c>
      <c r="F48" s="2">
        <f t="shared" ca="1" si="8"/>
        <v>0</v>
      </c>
      <c r="G48" s="2">
        <f t="shared" ca="1" si="6"/>
        <v>146.51810453736599</v>
      </c>
      <c r="H48" s="2">
        <f t="shared" ca="1" si="2"/>
        <v>7.6269698252327503E-2</v>
      </c>
      <c r="I48" s="2">
        <f t="shared" ca="1" si="3"/>
        <v>0</v>
      </c>
    </row>
    <row r="49" spans="2:10" x14ac:dyDescent="0.2">
      <c r="B49" s="4">
        <f t="shared" ca="1" si="9"/>
        <v>44086</v>
      </c>
      <c r="C49">
        <f t="shared" si="9"/>
        <v>38</v>
      </c>
      <c r="D49">
        <f t="shared" ca="1" si="0"/>
        <v>7</v>
      </c>
      <c r="E49" s="2">
        <f t="shared" ca="1" si="5"/>
        <v>146.59437423561832</v>
      </c>
      <c r="F49" s="2">
        <f t="shared" ca="1" si="8"/>
        <v>0</v>
      </c>
      <c r="G49" s="2">
        <f t="shared" ca="1" si="6"/>
        <v>146.59437423561832</v>
      </c>
      <c r="H49" s="2">
        <f t="shared" ca="1" si="2"/>
        <v>7.6309400287034201E-2</v>
      </c>
      <c r="I49" s="2">
        <f t="shared" ca="1" si="3"/>
        <v>20</v>
      </c>
    </row>
    <row r="50" spans="2:10" x14ac:dyDescent="0.2">
      <c r="B50" s="4">
        <f t="shared" ca="1" si="9"/>
        <v>44087</v>
      </c>
      <c r="C50">
        <f t="shared" si="9"/>
        <v>39</v>
      </c>
      <c r="D50">
        <f t="shared" ca="1" si="0"/>
        <v>1</v>
      </c>
      <c r="E50" s="2">
        <f t="shared" ca="1" si="5"/>
        <v>166.67068363590536</v>
      </c>
      <c r="F50" s="2">
        <f t="shared" ca="1" si="8"/>
        <v>0</v>
      </c>
      <c r="G50" s="2">
        <f t="shared" ca="1" si="6"/>
        <v>166.67068363590536</v>
      </c>
      <c r="H50" s="2">
        <f t="shared" ca="1" si="2"/>
        <v>8.6760081892663071E-2</v>
      </c>
      <c r="I50" s="2">
        <f t="shared" ca="1" si="3"/>
        <v>0</v>
      </c>
    </row>
    <row r="51" spans="2:10" x14ac:dyDescent="0.2">
      <c r="B51" s="4">
        <f t="shared" ca="1" si="9"/>
        <v>44088</v>
      </c>
      <c r="C51">
        <f t="shared" si="9"/>
        <v>40</v>
      </c>
      <c r="D51">
        <f t="shared" ca="1" si="0"/>
        <v>2</v>
      </c>
      <c r="E51" s="2">
        <f t="shared" ca="1" si="5"/>
        <v>166.75744371779803</v>
      </c>
      <c r="F51" s="2">
        <f t="shared" ca="1" si="8"/>
        <v>0</v>
      </c>
      <c r="G51" s="2">
        <f t="shared" ca="1" si="6"/>
        <v>166.75744371779803</v>
      </c>
      <c r="H51" s="2">
        <f t="shared" ca="1" si="2"/>
        <v>8.6805244675018142E-2</v>
      </c>
      <c r="I51" s="2">
        <f t="shared" ca="1" si="3"/>
        <v>0</v>
      </c>
    </row>
    <row r="52" spans="2:10" x14ac:dyDescent="0.2">
      <c r="B52" s="4">
        <f t="shared" ca="1" si="9"/>
        <v>44089</v>
      </c>
      <c r="C52">
        <f t="shared" si="9"/>
        <v>41</v>
      </c>
      <c r="D52">
        <f t="shared" ca="1" si="0"/>
        <v>3</v>
      </c>
      <c r="E52" s="2">
        <f t="shared" ca="1" si="5"/>
        <v>166.84424896247305</v>
      </c>
      <c r="F52" s="2">
        <f t="shared" ca="1" si="8"/>
        <v>0</v>
      </c>
      <c r="G52" s="2">
        <f t="shared" ca="1" si="6"/>
        <v>166.84424896247305</v>
      </c>
      <c r="H52" s="2">
        <f t="shared" ca="1" si="2"/>
        <v>8.6850430966766798E-2</v>
      </c>
      <c r="I52" s="2">
        <f t="shared" ca="1" si="3"/>
        <v>0</v>
      </c>
    </row>
    <row r="53" spans="2:10" x14ac:dyDescent="0.2">
      <c r="B53" s="4">
        <f t="shared" ca="1" si="9"/>
        <v>44090</v>
      </c>
      <c r="C53">
        <f t="shared" si="9"/>
        <v>42</v>
      </c>
      <c r="D53">
        <f t="shared" ca="1" si="0"/>
        <v>4</v>
      </c>
      <c r="E53" s="2">
        <f t="shared" ca="1" si="5"/>
        <v>166.93109939343981</v>
      </c>
      <c r="F53" s="2">
        <f t="shared" ca="1" si="8"/>
        <v>0</v>
      </c>
      <c r="G53" s="2">
        <f t="shared" ca="1" si="6"/>
        <v>166.93109939343981</v>
      </c>
      <c r="H53" s="2">
        <f t="shared" ca="1" si="2"/>
        <v>8.6895640780146749E-2</v>
      </c>
      <c r="I53" s="2">
        <f t="shared" ca="1" si="3"/>
        <v>0</v>
      </c>
      <c r="J53" s="5"/>
    </row>
    <row r="54" spans="2:10" x14ac:dyDescent="0.2">
      <c r="B54" s="4">
        <f t="shared" ca="1" si="9"/>
        <v>44091</v>
      </c>
      <c r="C54">
        <f t="shared" si="9"/>
        <v>43</v>
      </c>
      <c r="D54">
        <f t="shared" ca="1" si="0"/>
        <v>5</v>
      </c>
      <c r="E54" s="2">
        <f t="shared" ca="1" si="5"/>
        <v>167.01799503421995</v>
      </c>
      <c r="F54" s="2">
        <f t="shared" ca="1" si="8"/>
        <v>0</v>
      </c>
      <c r="G54" s="2">
        <f t="shared" ca="1" si="6"/>
        <v>167.01799503421995</v>
      </c>
      <c r="H54" s="2">
        <f t="shared" ca="1" si="2"/>
        <v>8.6940874127402173E-2</v>
      </c>
      <c r="I54" s="2">
        <f t="shared" ca="1" si="3"/>
        <v>0</v>
      </c>
    </row>
    <row r="55" spans="2:10" x14ac:dyDescent="0.2">
      <c r="B55" s="4">
        <f t="shared" ca="1" si="9"/>
        <v>44092</v>
      </c>
      <c r="C55">
        <f t="shared" si="9"/>
        <v>44</v>
      </c>
      <c r="D55">
        <f t="shared" ca="1" si="0"/>
        <v>6</v>
      </c>
      <c r="E55" s="2">
        <f t="shared" ca="1" si="5"/>
        <v>167.10493590834736</v>
      </c>
      <c r="F55" s="2">
        <f t="shared" ca="1" si="8"/>
        <v>0</v>
      </c>
      <c r="G55" s="2">
        <f t="shared" ca="1" si="6"/>
        <v>167.10493590834736</v>
      </c>
      <c r="H55" s="2">
        <f t="shared" ca="1" si="2"/>
        <v>8.6986131020783564E-2</v>
      </c>
      <c r="I55" s="2">
        <f t="shared" ca="1" si="3"/>
        <v>0</v>
      </c>
    </row>
    <row r="56" spans="2:10" x14ac:dyDescent="0.2">
      <c r="B56" s="4">
        <f t="shared" ca="1" si="9"/>
        <v>44093</v>
      </c>
      <c r="C56">
        <f t="shared" si="9"/>
        <v>45</v>
      </c>
      <c r="D56">
        <f t="shared" ca="1" si="0"/>
        <v>7</v>
      </c>
      <c r="E56" s="2">
        <f t="shared" ca="1" si="5"/>
        <v>167.19192203936814</v>
      </c>
      <c r="F56" s="2">
        <f t="shared" ca="1" si="8"/>
        <v>0</v>
      </c>
      <c r="G56" s="2">
        <f t="shared" ca="1" si="6"/>
        <v>167.19192203936814</v>
      </c>
      <c r="H56" s="2">
        <f t="shared" ca="1" si="2"/>
        <v>8.7031411472547809E-2</v>
      </c>
      <c r="I56" s="2">
        <f t="shared" ca="1" si="3"/>
        <v>20</v>
      </c>
    </row>
    <row r="57" spans="2:10" x14ac:dyDescent="0.2">
      <c r="B57" s="4">
        <f t="shared" ca="1" si="9"/>
        <v>44094</v>
      </c>
      <c r="C57">
        <f t="shared" si="9"/>
        <v>46</v>
      </c>
      <c r="D57">
        <f t="shared" ca="1" si="0"/>
        <v>1</v>
      </c>
      <c r="E57" s="2">
        <f t="shared" ca="1" si="5"/>
        <v>187.27895345084067</v>
      </c>
      <c r="F57" s="2">
        <f t="shared" ca="1" si="8"/>
        <v>0</v>
      </c>
      <c r="G57" s="2">
        <f t="shared" ca="1" si="6"/>
        <v>187.27895345084067</v>
      </c>
      <c r="H57" s="2">
        <f t="shared" ca="1" si="2"/>
        <v>9.7487674399067747E-2</v>
      </c>
      <c r="I57" s="2">
        <f t="shared" ca="1" si="3"/>
        <v>0</v>
      </c>
    </row>
    <row r="58" spans="2:10" x14ac:dyDescent="0.2">
      <c r="B58" s="4">
        <f t="shared" ca="1" si="9"/>
        <v>44095</v>
      </c>
      <c r="C58">
        <f t="shared" si="9"/>
        <v>47</v>
      </c>
      <c r="D58">
        <f t="shared" ca="1" si="0"/>
        <v>2</v>
      </c>
      <c r="E58" s="2">
        <f t="shared" ca="1" si="5"/>
        <v>187.37644112523975</v>
      </c>
      <c r="F58" s="2">
        <f t="shared" ca="1" si="8"/>
        <v>0</v>
      </c>
      <c r="G58" s="2">
        <f t="shared" ca="1" si="6"/>
        <v>187.37644112523975</v>
      </c>
      <c r="H58" s="2">
        <f t="shared" ca="1" si="2"/>
        <v>9.7538421407659046E-2</v>
      </c>
      <c r="I58" s="2">
        <f t="shared" ca="1" si="3"/>
        <v>0</v>
      </c>
    </row>
    <row r="59" spans="2:10" x14ac:dyDescent="0.2">
      <c r="B59" s="4">
        <f t="shared" ca="1" si="9"/>
        <v>44096</v>
      </c>
      <c r="C59">
        <f t="shared" si="9"/>
        <v>48</v>
      </c>
      <c r="D59">
        <f t="shared" ca="1" si="0"/>
        <v>3</v>
      </c>
      <c r="E59" s="2">
        <f t="shared" ca="1" si="5"/>
        <v>187.4739795466474</v>
      </c>
      <c r="F59" s="2">
        <f t="shared" ca="1" si="8"/>
        <v>0</v>
      </c>
      <c r="G59" s="2">
        <f t="shared" ca="1" si="6"/>
        <v>187.4739795466474</v>
      </c>
      <c r="H59" s="2">
        <f t="shared" ca="1" si="2"/>
        <v>9.7589194832501391E-2</v>
      </c>
      <c r="I59" s="2">
        <f t="shared" ca="1" si="3"/>
        <v>0</v>
      </c>
    </row>
    <row r="60" spans="2:10" x14ac:dyDescent="0.2">
      <c r="B60" s="4">
        <f t="shared" ca="1" si="9"/>
        <v>44097</v>
      </c>
      <c r="C60">
        <f t="shared" si="9"/>
        <v>49</v>
      </c>
      <c r="D60">
        <f t="shared" ca="1" si="0"/>
        <v>4</v>
      </c>
      <c r="E60" s="2">
        <f t="shared" ca="1" si="5"/>
        <v>187.57156874147989</v>
      </c>
      <c r="F60" s="2">
        <f t="shared" ca="1" si="8"/>
        <v>0</v>
      </c>
      <c r="G60" s="2">
        <f t="shared" ca="1" si="6"/>
        <v>187.57156874147989</v>
      </c>
      <c r="H60" s="2">
        <f t="shared" ca="1" si="2"/>
        <v>9.7639994687345702E-2</v>
      </c>
      <c r="I60" s="2">
        <f t="shared" ca="1" si="3"/>
        <v>0</v>
      </c>
    </row>
    <row r="61" spans="2:10" x14ac:dyDescent="0.2">
      <c r="B61" s="4">
        <f t="shared" ref="B61:C76" ca="1" si="10">B60+1</f>
        <v>44098</v>
      </c>
      <c r="C61">
        <f t="shared" si="10"/>
        <v>50</v>
      </c>
      <c r="D61">
        <f t="shared" ca="1" si="0"/>
        <v>5</v>
      </c>
      <c r="E61" s="2">
        <f t="shared" ca="1" si="5"/>
        <v>187.66920873616723</v>
      </c>
      <c r="F61" s="2">
        <f t="shared" ca="1" si="8"/>
        <v>0</v>
      </c>
      <c r="G61" s="2">
        <f t="shared" ca="1" si="6"/>
        <v>187.66920873616723</v>
      </c>
      <c r="H61" s="2">
        <f t="shared" ca="1" si="2"/>
        <v>9.7690820985950069E-2</v>
      </c>
      <c r="I61" s="2">
        <f t="shared" ca="1" si="3"/>
        <v>0</v>
      </c>
    </row>
    <row r="62" spans="2:10" x14ac:dyDescent="0.2">
      <c r="B62" s="4">
        <f t="shared" ca="1" si="10"/>
        <v>44099</v>
      </c>
      <c r="C62">
        <f t="shared" si="10"/>
        <v>51</v>
      </c>
      <c r="D62">
        <f t="shared" ca="1" si="0"/>
        <v>6</v>
      </c>
      <c r="E62" s="2">
        <f t="shared" ca="1" si="5"/>
        <v>187.76689955715318</v>
      </c>
      <c r="F62" s="2">
        <f t="shared" ca="1" si="8"/>
        <v>0</v>
      </c>
      <c r="G62" s="2">
        <f t="shared" ca="1" si="6"/>
        <v>187.76689955715318</v>
      </c>
      <c r="H62" s="2">
        <f t="shared" ca="1" si="2"/>
        <v>9.7741673742079746E-2</v>
      </c>
      <c r="I62" s="2">
        <f t="shared" ca="1" si="3"/>
        <v>0</v>
      </c>
    </row>
    <row r="63" spans="2:10" x14ac:dyDescent="0.2">
      <c r="B63" s="4">
        <f t="shared" ca="1" si="10"/>
        <v>44100</v>
      </c>
      <c r="C63">
        <f t="shared" si="10"/>
        <v>52</v>
      </c>
      <c r="D63">
        <f t="shared" ca="1" si="0"/>
        <v>7</v>
      </c>
      <c r="E63" s="2">
        <f t="shared" ca="1" si="5"/>
        <v>187.86464123089527</v>
      </c>
      <c r="F63" s="2">
        <f t="shared" ca="1" si="8"/>
        <v>0</v>
      </c>
      <c r="G63" s="2">
        <f t="shared" ca="1" si="6"/>
        <v>187.86464123089527</v>
      </c>
      <c r="H63" s="2">
        <f t="shared" ca="1" si="2"/>
        <v>9.7792552969507118E-2</v>
      </c>
      <c r="I63" s="2">
        <f t="shared" ca="1" si="3"/>
        <v>20</v>
      </c>
    </row>
    <row r="64" spans="2:10" x14ac:dyDescent="0.2">
      <c r="B64" s="4">
        <f t="shared" ca="1" si="10"/>
        <v>44101</v>
      </c>
      <c r="C64">
        <f t="shared" si="10"/>
        <v>53</v>
      </c>
      <c r="D64">
        <f t="shared" ca="1" si="0"/>
        <v>1</v>
      </c>
      <c r="E64" s="2">
        <f t="shared" ca="1" si="5"/>
        <v>207.96243378386478</v>
      </c>
      <c r="F64" s="2">
        <f t="shared" ca="1" si="8"/>
        <v>0</v>
      </c>
      <c r="G64" s="2">
        <f t="shared" ca="1" si="6"/>
        <v>207.96243378386478</v>
      </c>
      <c r="H64" s="2">
        <f t="shared" ca="1" si="2"/>
        <v>0.10825441758612141</v>
      </c>
      <c r="I64" s="2">
        <f t="shared" ca="1" si="3"/>
        <v>0</v>
      </c>
    </row>
    <row r="65" spans="2:9" x14ac:dyDescent="0.2">
      <c r="B65" s="4">
        <f t="shared" ca="1" si="10"/>
        <v>44102</v>
      </c>
      <c r="C65">
        <f t="shared" si="10"/>
        <v>54</v>
      </c>
      <c r="D65">
        <f t="shared" ca="1" si="0"/>
        <v>2</v>
      </c>
      <c r="E65" s="2">
        <f t="shared" ca="1" si="5"/>
        <v>208.07068820145091</v>
      </c>
      <c r="F65" s="2">
        <f t="shared" ca="1" si="8"/>
        <v>0</v>
      </c>
      <c r="G65" s="2">
        <f t="shared" ca="1" si="6"/>
        <v>208.07068820145091</v>
      </c>
      <c r="H65" s="2">
        <f t="shared" ca="1" si="2"/>
        <v>0.10831076920075526</v>
      </c>
      <c r="I65" s="2">
        <f t="shared" ca="1" si="3"/>
        <v>0</v>
      </c>
    </row>
    <row r="66" spans="2:9" x14ac:dyDescent="0.2">
      <c r="B66" s="4">
        <f t="shared" ca="1" si="10"/>
        <v>44103</v>
      </c>
      <c r="C66">
        <f t="shared" si="10"/>
        <v>55</v>
      </c>
      <c r="D66">
        <f t="shared" ca="1" si="0"/>
        <v>3</v>
      </c>
      <c r="E66" s="2">
        <f t="shared" ca="1" si="5"/>
        <v>208.17899897065166</v>
      </c>
      <c r="F66" s="2">
        <f t="shared" ca="1" si="8"/>
        <v>0</v>
      </c>
      <c r="G66" s="2">
        <f t="shared" ca="1" si="6"/>
        <v>208.17899897065166</v>
      </c>
      <c r="H66" s="2">
        <f t="shared" ca="1" si="2"/>
        <v>0.10836715014910633</v>
      </c>
      <c r="I66" s="2">
        <f t="shared" ca="1" si="3"/>
        <v>0</v>
      </c>
    </row>
    <row r="67" spans="2:9" x14ac:dyDescent="0.2">
      <c r="B67" s="4">
        <f t="shared" ca="1" si="10"/>
        <v>44104</v>
      </c>
      <c r="C67">
        <f t="shared" si="10"/>
        <v>56</v>
      </c>
      <c r="D67">
        <f t="shared" ca="1" si="0"/>
        <v>4</v>
      </c>
      <c r="E67" s="2">
        <f t="shared" ca="1" si="5"/>
        <v>208.28736612080075</v>
      </c>
      <c r="F67" s="2">
        <f t="shared" ca="1" si="8"/>
        <v>0</v>
      </c>
      <c r="G67" s="2">
        <f t="shared" ca="1" si="6"/>
        <v>208.28736612080075</v>
      </c>
      <c r="H67" s="2">
        <f t="shared" ca="1" si="2"/>
        <v>0.10842356044644423</v>
      </c>
      <c r="I67" s="2">
        <f t="shared" ca="1" si="3"/>
        <v>0</v>
      </c>
    </row>
    <row r="68" spans="2:9" x14ac:dyDescent="0.2">
      <c r="B68" s="4">
        <f t="shared" ca="1" si="10"/>
        <v>44105</v>
      </c>
      <c r="C68">
        <f t="shared" si="10"/>
        <v>57</v>
      </c>
      <c r="D68">
        <f t="shared" ca="1" si="0"/>
        <v>5</v>
      </c>
      <c r="E68" s="2">
        <f t="shared" ca="1" si="5"/>
        <v>208.39578968124721</v>
      </c>
      <c r="F68" s="2">
        <f t="shared" ca="1" si="8"/>
        <v>0</v>
      </c>
      <c r="G68" s="2">
        <f t="shared" ca="1" si="6"/>
        <v>208.39578968124721</v>
      </c>
      <c r="H68" s="2">
        <f t="shared" ca="1" si="2"/>
        <v>0.10848000010804648</v>
      </c>
      <c r="I68" s="2">
        <f t="shared" ca="1" si="3"/>
        <v>0</v>
      </c>
    </row>
    <row r="69" spans="2:9" x14ac:dyDescent="0.2">
      <c r="B69" s="4">
        <f t="shared" ca="1" si="10"/>
        <v>44106</v>
      </c>
      <c r="C69">
        <f t="shared" si="10"/>
        <v>58</v>
      </c>
      <c r="D69">
        <f t="shared" ca="1" si="0"/>
        <v>6</v>
      </c>
      <c r="E69" s="2">
        <f t="shared" ca="1" si="5"/>
        <v>208.50426968135525</v>
      </c>
      <c r="F69" s="2">
        <f t="shared" ca="1" si="8"/>
        <v>0</v>
      </c>
      <c r="G69" s="2">
        <f t="shared" ca="1" si="6"/>
        <v>208.50426968135525</v>
      </c>
      <c r="H69" s="2">
        <f t="shared" ca="1" si="2"/>
        <v>0.10853646914919864</v>
      </c>
      <c r="I69" s="2">
        <f t="shared" ca="1" si="3"/>
        <v>0</v>
      </c>
    </row>
    <row r="70" spans="2:9" x14ac:dyDescent="0.2">
      <c r="B70" s="4">
        <f t="shared" ca="1" si="10"/>
        <v>44107</v>
      </c>
      <c r="C70">
        <f t="shared" si="10"/>
        <v>59</v>
      </c>
      <c r="D70">
        <f t="shared" ca="1" si="0"/>
        <v>7</v>
      </c>
      <c r="E70" s="2">
        <f t="shared" ca="1" si="5"/>
        <v>208.61280615050444</v>
      </c>
      <c r="F70" s="2">
        <f t="shared" ca="1" si="8"/>
        <v>0</v>
      </c>
      <c r="G70" s="2">
        <f t="shared" ca="1" si="6"/>
        <v>208.61280615050444</v>
      </c>
      <c r="H70" s="2">
        <f t="shared" ca="1" si="2"/>
        <v>0.10859296758519409</v>
      </c>
      <c r="I70" s="2">
        <f t="shared" ca="1" si="3"/>
        <v>20</v>
      </c>
    </row>
    <row r="71" spans="2:9" x14ac:dyDescent="0.2">
      <c r="B71" s="4">
        <f t="shared" ca="1" si="10"/>
        <v>44108</v>
      </c>
      <c r="C71">
        <f t="shared" si="10"/>
        <v>60</v>
      </c>
      <c r="D71">
        <f t="shared" ca="1" si="0"/>
        <v>1</v>
      </c>
      <c r="E71" s="2">
        <f t="shared" ca="1" si="5"/>
        <v>228.72139911808964</v>
      </c>
      <c r="F71" s="2">
        <f t="shared" ca="1" si="8"/>
        <v>0</v>
      </c>
      <c r="G71" s="2">
        <f t="shared" ca="1" si="6"/>
        <v>228.72139911808964</v>
      </c>
      <c r="H71" s="2">
        <f t="shared" ca="1" si="2"/>
        <v>0.11906045433544392</v>
      </c>
      <c r="I71" s="2">
        <f t="shared" ca="1" si="3"/>
        <v>0</v>
      </c>
    </row>
    <row r="72" spans="2:9" x14ac:dyDescent="0.2">
      <c r="B72" s="4">
        <f t="shared" ca="1" si="10"/>
        <v>44109</v>
      </c>
      <c r="C72">
        <f t="shared" si="10"/>
        <v>61</v>
      </c>
      <c r="D72">
        <f t="shared" ca="1" si="0"/>
        <v>2</v>
      </c>
      <c r="E72" s="2">
        <f t="shared" ca="1" si="5"/>
        <v>228.84045957242509</v>
      </c>
      <c r="F72" s="2">
        <f t="shared" ca="1" si="8"/>
        <v>208.68475302160314</v>
      </c>
      <c r="G72" s="2">
        <f t="shared" ca="1" si="6"/>
        <v>20.155706550821947</v>
      </c>
      <c r="H72" s="2">
        <f t="shared" ca="1" si="2"/>
        <v>1.0492011629194987E-2</v>
      </c>
      <c r="I72" s="2">
        <f t="shared" ca="1" si="3"/>
        <v>0</v>
      </c>
    </row>
    <row r="73" spans="2:9" x14ac:dyDescent="0.2">
      <c r="B73" s="4">
        <f t="shared" ca="1" si="10"/>
        <v>44110</v>
      </c>
      <c r="C73">
        <f t="shared" si="10"/>
        <v>62</v>
      </c>
      <c r="D73">
        <f t="shared" ca="1" si="0"/>
        <v>3</v>
      </c>
      <c r="E73" s="2">
        <f t="shared" ca="1" si="5"/>
        <v>0</v>
      </c>
      <c r="F73" s="2">
        <f t="shared" ca="1" si="8"/>
        <v>0</v>
      </c>
      <c r="G73" s="2">
        <f t="shared" ca="1" si="6"/>
        <v>20.155706550821947</v>
      </c>
      <c r="H73" s="2">
        <f t="shared" ca="1" si="2"/>
        <v>0</v>
      </c>
      <c r="I73" s="2">
        <f t="shared" ca="1" si="3"/>
        <v>0</v>
      </c>
    </row>
    <row r="74" spans="2:9" x14ac:dyDescent="0.2">
      <c r="B74" s="4">
        <f t="shared" ca="1" si="10"/>
        <v>44111</v>
      </c>
      <c r="C74">
        <f t="shared" si="10"/>
        <v>63</v>
      </c>
      <c r="D74">
        <f t="shared" ca="1" si="0"/>
        <v>4</v>
      </c>
      <c r="E74" s="2">
        <f t="shared" ca="1" si="5"/>
        <v>0</v>
      </c>
      <c r="F74" s="2">
        <f t="shared" ca="1" si="8"/>
        <v>0</v>
      </c>
      <c r="G74" s="2">
        <f t="shared" ca="1" si="6"/>
        <v>20.155706550821947</v>
      </c>
      <c r="H74" s="2">
        <f t="shared" ca="1" si="2"/>
        <v>0</v>
      </c>
      <c r="I74" s="2">
        <f t="shared" ca="1" si="3"/>
        <v>0</v>
      </c>
    </row>
    <row r="75" spans="2:9" x14ac:dyDescent="0.2">
      <c r="B75" s="4">
        <f t="shared" ca="1" si="10"/>
        <v>44112</v>
      </c>
      <c r="C75">
        <f t="shared" si="10"/>
        <v>64</v>
      </c>
      <c r="D75">
        <f t="shared" ca="1" si="0"/>
        <v>5</v>
      </c>
      <c r="E75" s="2">
        <f t="shared" ca="1" si="5"/>
        <v>0</v>
      </c>
      <c r="F75" s="2">
        <f t="shared" ca="1" si="8"/>
        <v>0</v>
      </c>
      <c r="G75" s="2">
        <f t="shared" ca="1" si="6"/>
        <v>20.155706550821947</v>
      </c>
      <c r="H75" s="2">
        <f t="shared" ca="1" si="2"/>
        <v>0</v>
      </c>
      <c r="I75" s="2">
        <f t="shared" ca="1" si="3"/>
        <v>0</v>
      </c>
    </row>
    <row r="76" spans="2:9" x14ac:dyDescent="0.2">
      <c r="B76" s="4">
        <f t="shared" ca="1" si="10"/>
        <v>44113</v>
      </c>
      <c r="C76">
        <f t="shared" si="10"/>
        <v>65</v>
      </c>
      <c r="D76">
        <f t="shared" ref="D76:D139" ca="1" si="11">WEEKDAY(B76,1)</f>
        <v>6</v>
      </c>
      <c r="E76" s="2">
        <f t="shared" ca="1" si="5"/>
        <v>0</v>
      </c>
      <c r="F76" s="2">
        <f t="shared" ca="1" si="8"/>
        <v>0</v>
      </c>
      <c r="G76" s="2">
        <f t="shared" ca="1" si="6"/>
        <v>20.155706550821947</v>
      </c>
      <c r="H76" s="2">
        <f t="shared" ref="H76:H139" ca="1" si="12">IF(C76&gt;$C$7,0,(G76)*$C$5/365)</f>
        <v>0</v>
      </c>
      <c r="I76" s="2">
        <f t="shared" ref="I76:I139" ca="1" si="13">IF(AND(C76=0,D76=7),$C$6,IF(C76=$C$7,0,IF(C76&lt;$C$7,IF(D76=7,$C$6,0),0)))</f>
        <v>0</v>
      </c>
    </row>
    <row r="77" spans="2:9" x14ac:dyDescent="0.2">
      <c r="B77" s="4">
        <f t="shared" ref="B77:C92" ca="1" si="14">B76+1</f>
        <v>44114</v>
      </c>
      <c r="C77">
        <f t="shared" si="14"/>
        <v>66</v>
      </c>
      <c r="D77">
        <f t="shared" ca="1" si="11"/>
        <v>7</v>
      </c>
      <c r="E77" s="2">
        <f t="shared" ref="E77:E140" ca="1" si="15">IF(C77&gt;$C$7,0,G76+H76+I76)</f>
        <v>0</v>
      </c>
      <c r="F77" s="2">
        <f t="shared" ca="1" si="8"/>
        <v>0</v>
      </c>
      <c r="G77" s="2">
        <f t="shared" ref="G77:G140" ca="1" si="16">IF(C77&gt;$C$7,G76,E77-F77)</f>
        <v>20.155706550821947</v>
      </c>
      <c r="H77" s="2">
        <f t="shared" ca="1" si="12"/>
        <v>0</v>
      </c>
      <c r="I77" s="2">
        <f t="shared" ca="1" si="13"/>
        <v>0</v>
      </c>
    </row>
    <row r="78" spans="2:9" x14ac:dyDescent="0.2">
      <c r="B78" s="4">
        <f t="shared" ca="1" si="14"/>
        <v>44115</v>
      </c>
      <c r="C78">
        <f t="shared" si="14"/>
        <v>67</v>
      </c>
      <c r="D78">
        <f t="shared" ca="1" si="11"/>
        <v>1</v>
      </c>
      <c r="E78" s="2">
        <f t="shared" ca="1" si="15"/>
        <v>0</v>
      </c>
      <c r="F78" s="2">
        <f t="shared" ca="1" si="8"/>
        <v>0</v>
      </c>
      <c r="G78" s="2">
        <f t="shared" ca="1" si="16"/>
        <v>20.155706550821947</v>
      </c>
      <c r="H78" s="2">
        <f t="shared" ca="1" si="12"/>
        <v>0</v>
      </c>
      <c r="I78" s="2">
        <f t="shared" ca="1" si="13"/>
        <v>0</v>
      </c>
    </row>
    <row r="79" spans="2:9" x14ac:dyDescent="0.2">
      <c r="B79" s="4">
        <f t="shared" ca="1" si="14"/>
        <v>44116</v>
      </c>
      <c r="C79">
        <f t="shared" si="14"/>
        <v>68</v>
      </c>
      <c r="D79">
        <f t="shared" ca="1" si="11"/>
        <v>2</v>
      </c>
      <c r="E79" s="2">
        <f t="shared" ca="1" si="15"/>
        <v>0</v>
      </c>
      <c r="F79" s="2">
        <f t="shared" ca="1" si="8"/>
        <v>0</v>
      </c>
      <c r="G79" s="2">
        <f t="shared" ca="1" si="16"/>
        <v>20.155706550821947</v>
      </c>
      <c r="H79" s="2">
        <f t="shared" ca="1" si="12"/>
        <v>0</v>
      </c>
      <c r="I79" s="2">
        <f t="shared" ca="1" si="13"/>
        <v>0</v>
      </c>
    </row>
    <row r="80" spans="2:9" x14ac:dyDescent="0.2">
      <c r="B80" s="4">
        <f t="shared" ca="1" si="14"/>
        <v>44117</v>
      </c>
      <c r="C80">
        <f t="shared" si="14"/>
        <v>69</v>
      </c>
      <c r="D80">
        <f t="shared" ca="1" si="11"/>
        <v>3</v>
      </c>
      <c r="E80" s="2">
        <f t="shared" ca="1" si="15"/>
        <v>0</v>
      </c>
      <c r="F80" s="2">
        <f t="shared" ca="1" si="8"/>
        <v>0</v>
      </c>
      <c r="G80" s="2">
        <f t="shared" ca="1" si="16"/>
        <v>20.155706550821947</v>
      </c>
      <c r="H80" s="2">
        <f t="shared" ca="1" si="12"/>
        <v>0</v>
      </c>
      <c r="I80" s="2">
        <f t="shared" ca="1" si="13"/>
        <v>0</v>
      </c>
    </row>
    <row r="81" spans="2:9" x14ac:dyDescent="0.2">
      <c r="B81" s="4">
        <f t="shared" ca="1" si="14"/>
        <v>44118</v>
      </c>
      <c r="C81">
        <f t="shared" si="14"/>
        <v>70</v>
      </c>
      <c r="D81">
        <f t="shared" ca="1" si="11"/>
        <v>4</v>
      </c>
      <c r="E81" s="2">
        <f t="shared" ca="1" si="15"/>
        <v>0</v>
      </c>
      <c r="F81" s="2">
        <f t="shared" ca="1" si="8"/>
        <v>0</v>
      </c>
      <c r="G81" s="2">
        <f t="shared" ca="1" si="16"/>
        <v>20.155706550821947</v>
      </c>
      <c r="H81" s="2">
        <f t="shared" ca="1" si="12"/>
        <v>0</v>
      </c>
      <c r="I81" s="2">
        <f t="shared" ca="1" si="13"/>
        <v>0</v>
      </c>
    </row>
    <row r="82" spans="2:9" x14ac:dyDescent="0.2">
      <c r="B82" s="4">
        <f t="shared" ca="1" si="14"/>
        <v>44119</v>
      </c>
      <c r="C82">
        <f t="shared" si="14"/>
        <v>71</v>
      </c>
      <c r="D82">
        <f t="shared" ca="1" si="11"/>
        <v>5</v>
      </c>
      <c r="E82" s="2">
        <f t="shared" ca="1" si="15"/>
        <v>0</v>
      </c>
      <c r="F82" s="2">
        <f t="shared" ca="1" si="8"/>
        <v>0</v>
      </c>
      <c r="G82" s="2">
        <f t="shared" ca="1" si="16"/>
        <v>20.155706550821947</v>
      </c>
      <c r="H82" s="2">
        <f t="shared" ca="1" si="12"/>
        <v>0</v>
      </c>
      <c r="I82" s="2">
        <f t="shared" ca="1" si="13"/>
        <v>0</v>
      </c>
    </row>
    <row r="83" spans="2:9" x14ac:dyDescent="0.2">
      <c r="B83" s="4">
        <f t="shared" ca="1" si="14"/>
        <v>44120</v>
      </c>
      <c r="C83">
        <f t="shared" si="14"/>
        <v>72</v>
      </c>
      <c r="D83">
        <f t="shared" ca="1" si="11"/>
        <v>6</v>
      </c>
      <c r="E83" s="2">
        <f t="shared" ca="1" si="15"/>
        <v>0</v>
      </c>
      <c r="F83" s="2">
        <f t="shared" ca="1" si="8"/>
        <v>0</v>
      </c>
      <c r="G83" s="2">
        <f t="shared" ca="1" si="16"/>
        <v>20.155706550821947</v>
      </c>
      <c r="H83" s="2">
        <f t="shared" ca="1" si="12"/>
        <v>0</v>
      </c>
      <c r="I83" s="2">
        <f t="shared" ca="1" si="13"/>
        <v>0</v>
      </c>
    </row>
    <row r="84" spans="2:9" x14ac:dyDescent="0.2">
      <c r="B84" s="4">
        <f t="shared" ca="1" si="14"/>
        <v>44121</v>
      </c>
      <c r="C84">
        <f t="shared" si="14"/>
        <v>73</v>
      </c>
      <c r="D84">
        <f t="shared" ca="1" si="11"/>
        <v>7</v>
      </c>
      <c r="E84" s="2">
        <f t="shared" ca="1" si="15"/>
        <v>0</v>
      </c>
      <c r="F84" s="2">
        <f t="shared" ca="1" si="8"/>
        <v>0</v>
      </c>
      <c r="G84" s="2">
        <f t="shared" ca="1" si="16"/>
        <v>20.155706550821947</v>
      </c>
      <c r="H84" s="2">
        <f t="shared" ca="1" si="12"/>
        <v>0</v>
      </c>
      <c r="I84" s="2">
        <f t="shared" ca="1" si="13"/>
        <v>0</v>
      </c>
    </row>
    <row r="85" spans="2:9" x14ac:dyDescent="0.2">
      <c r="B85" s="4">
        <f t="shared" ca="1" si="14"/>
        <v>44122</v>
      </c>
      <c r="C85">
        <f t="shared" si="14"/>
        <v>74</v>
      </c>
      <c r="D85">
        <f t="shared" ca="1" si="11"/>
        <v>1</v>
      </c>
      <c r="E85" s="2">
        <f t="shared" ca="1" si="15"/>
        <v>0</v>
      </c>
      <c r="F85" s="2">
        <f t="shared" ca="1" si="8"/>
        <v>0</v>
      </c>
      <c r="G85" s="2">
        <f t="shared" ca="1" si="16"/>
        <v>20.155706550821947</v>
      </c>
      <c r="H85" s="2">
        <f t="shared" ca="1" si="12"/>
        <v>0</v>
      </c>
      <c r="I85" s="2">
        <f t="shared" ca="1" si="13"/>
        <v>0</v>
      </c>
    </row>
    <row r="86" spans="2:9" x14ac:dyDescent="0.2">
      <c r="B86" s="4">
        <f t="shared" ca="1" si="14"/>
        <v>44123</v>
      </c>
      <c r="C86">
        <f t="shared" si="14"/>
        <v>75</v>
      </c>
      <c r="D86">
        <f t="shared" ca="1" si="11"/>
        <v>2</v>
      </c>
      <c r="E86" s="2">
        <f t="shared" ca="1" si="15"/>
        <v>0</v>
      </c>
      <c r="F86" s="2">
        <f t="shared" ca="1" si="8"/>
        <v>0</v>
      </c>
      <c r="G86" s="2">
        <f t="shared" ca="1" si="16"/>
        <v>20.155706550821947</v>
      </c>
      <c r="H86" s="2">
        <f t="shared" ca="1" si="12"/>
        <v>0</v>
      </c>
      <c r="I86" s="2">
        <f t="shared" ca="1" si="13"/>
        <v>0</v>
      </c>
    </row>
    <row r="87" spans="2:9" x14ac:dyDescent="0.2">
      <c r="B87" s="4">
        <f t="shared" ca="1" si="14"/>
        <v>44124</v>
      </c>
      <c r="C87">
        <f t="shared" si="14"/>
        <v>76</v>
      </c>
      <c r="D87">
        <f t="shared" ca="1" si="11"/>
        <v>3</v>
      </c>
      <c r="E87" s="2">
        <f t="shared" ca="1" si="15"/>
        <v>0</v>
      </c>
      <c r="F87" s="2">
        <f t="shared" ca="1" si="8"/>
        <v>0</v>
      </c>
      <c r="G87" s="2">
        <f t="shared" ca="1" si="16"/>
        <v>20.155706550821947</v>
      </c>
      <c r="H87" s="2">
        <f t="shared" ca="1" si="12"/>
        <v>0</v>
      </c>
      <c r="I87" s="2">
        <f t="shared" ca="1" si="13"/>
        <v>0</v>
      </c>
    </row>
    <row r="88" spans="2:9" x14ac:dyDescent="0.2">
      <c r="B88" s="4">
        <f t="shared" ca="1" si="14"/>
        <v>44125</v>
      </c>
      <c r="C88">
        <f t="shared" si="14"/>
        <v>77</v>
      </c>
      <c r="D88">
        <f t="shared" ca="1" si="11"/>
        <v>4</v>
      </c>
      <c r="E88" s="2">
        <f t="shared" ca="1" si="15"/>
        <v>0</v>
      </c>
      <c r="F88" s="2">
        <f t="shared" ca="1" si="8"/>
        <v>0</v>
      </c>
      <c r="G88" s="2">
        <f t="shared" ca="1" si="16"/>
        <v>20.155706550821947</v>
      </c>
      <c r="H88" s="2">
        <f t="shared" ca="1" si="12"/>
        <v>0</v>
      </c>
      <c r="I88" s="2">
        <f t="shared" ca="1" si="13"/>
        <v>0</v>
      </c>
    </row>
    <row r="89" spans="2:9" x14ac:dyDescent="0.2">
      <c r="B89" s="4">
        <f t="shared" ca="1" si="14"/>
        <v>44126</v>
      </c>
      <c r="C89">
        <f t="shared" si="14"/>
        <v>78</v>
      </c>
      <c r="D89">
        <f t="shared" ca="1" si="11"/>
        <v>5</v>
      </c>
      <c r="E89" s="2">
        <f t="shared" ca="1" si="15"/>
        <v>0</v>
      </c>
      <c r="F89" s="2">
        <f t="shared" ca="1" si="8"/>
        <v>0</v>
      </c>
      <c r="G89" s="2">
        <f t="shared" ca="1" si="16"/>
        <v>20.155706550821947</v>
      </c>
      <c r="H89" s="2">
        <f t="shared" ca="1" si="12"/>
        <v>0</v>
      </c>
      <c r="I89" s="2">
        <f t="shared" ca="1" si="13"/>
        <v>0</v>
      </c>
    </row>
    <row r="90" spans="2:9" x14ac:dyDescent="0.2">
      <c r="B90" s="4">
        <f t="shared" ca="1" si="14"/>
        <v>44127</v>
      </c>
      <c r="C90">
        <f t="shared" si="14"/>
        <v>79</v>
      </c>
      <c r="D90">
        <f t="shared" ca="1" si="11"/>
        <v>6</v>
      </c>
      <c r="E90" s="2">
        <f t="shared" ca="1" si="15"/>
        <v>0</v>
      </c>
      <c r="F90" s="2">
        <f t="shared" ca="1" si="8"/>
        <v>0</v>
      </c>
      <c r="G90" s="2">
        <f t="shared" ca="1" si="16"/>
        <v>20.155706550821947</v>
      </c>
      <c r="H90" s="2">
        <f t="shared" ca="1" si="12"/>
        <v>0</v>
      </c>
      <c r="I90" s="2">
        <f t="shared" ca="1" si="13"/>
        <v>0</v>
      </c>
    </row>
    <row r="91" spans="2:9" x14ac:dyDescent="0.2">
      <c r="B91" s="4">
        <f t="shared" ca="1" si="14"/>
        <v>44128</v>
      </c>
      <c r="C91">
        <f t="shared" si="14"/>
        <v>80</v>
      </c>
      <c r="D91">
        <f t="shared" ca="1" si="11"/>
        <v>7</v>
      </c>
      <c r="E91" s="2">
        <f t="shared" ca="1" si="15"/>
        <v>0</v>
      </c>
      <c r="F91" s="2">
        <f t="shared" ca="1" si="8"/>
        <v>0</v>
      </c>
      <c r="G91" s="2">
        <f t="shared" ca="1" si="16"/>
        <v>20.155706550821947</v>
      </c>
      <c r="H91" s="2">
        <f t="shared" ca="1" si="12"/>
        <v>0</v>
      </c>
      <c r="I91" s="2">
        <f t="shared" ca="1" si="13"/>
        <v>0</v>
      </c>
    </row>
    <row r="92" spans="2:9" x14ac:dyDescent="0.2">
      <c r="B92" s="4">
        <f t="shared" ca="1" si="14"/>
        <v>44129</v>
      </c>
      <c r="C92">
        <f t="shared" si="14"/>
        <v>81</v>
      </c>
      <c r="D92">
        <f t="shared" ca="1" si="11"/>
        <v>1</v>
      </c>
      <c r="E92" s="2">
        <f t="shared" ca="1" si="15"/>
        <v>0</v>
      </c>
      <c r="F92" s="2">
        <f t="shared" ca="1" si="8"/>
        <v>0</v>
      </c>
      <c r="G92" s="2">
        <f t="shared" ca="1" si="16"/>
        <v>20.155706550821947</v>
      </c>
      <c r="H92" s="2">
        <f t="shared" ca="1" si="12"/>
        <v>0</v>
      </c>
      <c r="I92" s="2">
        <f t="shared" ca="1" si="13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1"/>
        <v>2</v>
      </c>
      <c r="E93" s="2">
        <f t="shared" ca="1" si="15"/>
        <v>0</v>
      </c>
      <c r="F93" s="2">
        <f t="shared" ca="1" si="8"/>
        <v>0</v>
      </c>
      <c r="G93" s="2">
        <f t="shared" ca="1" si="16"/>
        <v>20.155706550821947</v>
      </c>
      <c r="H93" s="2">
        <f t="shared" ca="1" si="12"/>
        <v>0</v>
      </c>
      <c r="I93" s="2">
        <f t="shared" ca="1" si="13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1"/>
        <v>3</v>
      </c>
      <c r="E94" s="2">
        <f t="shared" ca="1" si="15"/>
        <v>0</v>
      </c>
      <c r="F94" s="2">
        <f t="shared" ca="1" si="8"/>
        <v>0</v>
      </c>
      <c r="G94" s="2">
        <f t="shared" ca="1" si="16"/>
        <v>20.155706550821947</v>
      </c>
      <c r="H94" s="2">
        <f t="shared" ca="1" si="12"/>
        <v>0</v>
      </c>
      <c r="I94" s="2">
        <f t="shared" ca="1" si="13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1"/>
        <v>4</v>
      </c>
      <c r="E95" s="2">
        <f t="shared" ca="1" si="15"/>
        <v>0</v>
      </c>
      <c r="F95" s="2">
        <f t="shared" ca="1" si="8"/>
        <v>0</v>
      </c>
      <c r="G95" s="2">
        <f t="shared" ca="1" si="16"/>
        <v>20.155706550821947</v>
      </c>
      <c r="H95" s="2">
        <f t="shared" ca="1" si="12"/>
        <v>0</v>
      </c>
      <c r="I95" s="2">
        <f t="shared" ca="1" si="13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1"/>
        <v>5</v>
      </c>
      <c r="E96" s="2">
        <f t="shared" ca="1" si="15"/>
        <v>0</v>
      </c>
      <c r="F96" s="2">
        <f t="shared" ca="1" si="8"/>
        <v>0</v>
      </c>
      <c r="G96" s="2">
        <f t="shared" ca="1" si="16"/>
        <v>20.155706550821947</v>
      </c>
      <c r="H96" s="2">
        <f t="shared" ca="1" si="12"/>
        <v>0</v>
      </c>
      <c r="I96" s="2">
        <f t="shared" ca="1" si="13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1"/>
        <v>6</v>
      </c>
      <c r="E97" s="2">
        <f t="shared" ca="1" si="15"/>
        <v>0</v>
      </c>
      <c r="F97" s="2">
        <f t="shared" ca="1" si="8"/>
        <v>0</v>
      </c>
      <c r="G97" s="2">
        <f t="shared" ca="1" si="16"/>
        <v>20.155706550821947</v>
      </c>
      <c r="H97" s="2">
        <f t="shared" ca="1" si="12"/>
        <v>0</v>
      </c>
      <c r="I97" s="2">
        <f t="shared" ca="1" si="13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1"/>
        <v>7</v>
      </c>
      <c r="E98" s="2">
        <f t="shared" ca="1" si="15"/>
        <v>0</v>
      </c>
      <c r="F98" s="2">
        <f t="shared" ca="1" si="8"/>
        <v>0</v>
      </c>
      <c r="G98" s="2">
        <f t="shared" ca="1" si="16"/>
        <v>20.155706550821947</v>
      </c>
      <c r="H98" s="2">
        <f t="shared" ca="1" si="12"/>
        <v>0</v>
      </c>
      <c r="I98" s="2">
        <f t="shared" ca="1" si="13"/>
        <v>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1"/>
        <v>1</v>
      </c>
      <c r="E99" s="2">
        <f t="shared" ca="1" si="15"/>
        <v>0</v>
      </c>
      <c r="F99" s="2">
        <f t="shared" ca="1" si="8"/>
        <v>0</v>
      </c>
      <c r="G99" s="2">
        <f t="shared" ca="1" si="16"/>
        <v>20.155706550821947</v>
      </c>
      <c r="H99" s="2">
        <f t="shared" ca="1" si="12"/>
        <v>0</v>
      </c>
      <c r="I99" s="2">
        <f t="shared" ca="1" si="13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1"/>
        <v>2</v>
      </c>
      <c r="E100" s="2">
        <f t="shared" ca="1" si="15"/>
        <v>0</v>
      </c>
      <c r="F100" s="2">
        <f t="shared" ref="F100:F163" ca="1" si="18">IF(C100&gt;$C$7,0,IF(ROUND(E100,0)&gt;0,IF(C100=0,0,IF(DAY($F$2)&lt;&gt;DAY(B100),0,$C$8)),0))</f>
        <v>0</v>
      </c>
      <c r="G100" s="2">
        <f t="shared" ca="1" si="16"/>
        <v>20.155706550821947</v>
      </c>
      <c r="H100" s="2">
        <f t="shared" ca="1" si="12"/>
        <v>0</v>
      </c>
      <c r="I100" s="2">
        <f t="shared" ca="1" si="13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1"/>
        <v>3</v>
      </c>
      <c r="E101" s="2">
        <f t="shared" ca="1" si="15"/>
        <v>0</v>
      </c>
      <c r="F101" s="2">
        <f t="shared" ca="1" si="18"/>
        <v>0</v>
      </c>
      <c r="G101" s="2">
        <f t="shared" ca="1" si="16"/>
        <v>20.155706550821947</v>
      </c>
      <c r="H101" s="2">
        <f t="shared" ca="1" si="12"/>
        <v>0</v>
      </c>
      <c r="I101" s="2">
        <f t="shared" ca="1" si="13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1"/>
        <v>4</v>
      </c>
      <c r="E102" s="2">
        <f t="shared" ca="1" si="15"/>
        <v>0</v>
      </c>
      <c r="F102" s="2">
        <f t="shared" ca="1" si="18"/>
        <v>0</v>
      </c>
      <c r="G102" s="2">
        <f t="shared" ca="1" si="16"/>
        <v>20.155706550821947</v>
      </c>
      <c r="H102" s="2">
        <f t="shared" ca="1" si="12"/>
        <v>0</v>
      </c>
      <c r="I102" s="2">
        <f t="shared" ca="1" si="13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1"/>
        <v>5</v>
      </c>
      <c r="E103" s="2">
        <f t="shared" ca="1" si="15"/>
        <v>0</v>
      </c>
      <c r="F103" s="2">
        <f t="shared" ca="1" si="18"/>
        <v>0</v>
      </c>
      <c r="G103" s="2">
        <f t="shared" ca="1" si="16"/>
        <v>20.155706550821947</v>
      </c>
      <c r="H103" s="2">
        <f t="shared" ca="1" si="12"/>
        <v>0</v>
      </c>
      <c r="I103" s="2">
        <f t="shared" ca="1" si="13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1"/>
        <v>6</v>
      </c>
      <c r="E104" s="2">
        <f t="shared" ca="1" si="15"/>
        <v>0</v>
      </c>
      <c r="F104" s="2">
        <f t="shared" ca="1" si="18"/>
        <v>0</v>
      </c>
      <c r="G104" s="2">
        <f t="shared" ca="1" si="16"/>
        <v>20.155706550821947</v>
      </c>
      <c r="H104" s="2">
        <f t="shared" ca="1" si="12"/>
        <v>0</v>
      </c>
      <c r="I104" s="2">
        <f t="shared" ca="1" si="13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1"/>
        <v>7</v>
      </c>
      <c r="E105" s="2">
        <f t="shared" ca="1" si="15"/>
        <v>0</v>
      </c>
      <c r="F105" s="2">
        <f t="shared" ca="1" si="18"/>
        <v>0</v>
      </c>
      <c r="G105" s="2">
        <f t="shared" ca="1" si="16"/>
        <v>20.155706550821947</v>
      </c>
      <c r="H105" s="2">
        <f t="shared" ca="1" si="12"/>
        <v>0</v>
      </c>
      <c r="I105" s="2">
        <f t="shared" ca="1" si="13"/>
        <v>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1"/>
        <v>1</v>
      </c>
      <c r="E106" s="2">
        <f t="shared" ca="1" si="15"/>
        <v>0</v>
      </c>
      <c r="F106" s="2">
        <f t="shared" ca="1" si="18"/>
        <v>0</v>
      </c>
      <c r="G106" s="2">
        <f t="shared" ca="1" si="16"/>
        <v>20.155706550821947</v>
      </c>
      <c r="H106" s="2">
        <f t="shared" ca="1" si="12"/>
        <v>0</v>
      </c>
      <c r="I106" s="2">
        <f t="shared" ca="1" si="13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1"/>
        <v>2</v>
      </c>
      <c r="E107" s="2">
        <f t="shared" ca="1" si="15"/>
        <v>0</v>
      </c>
      <c r="F107" s="2">
        <f t="shared" ca="1" si="18"/>
        <v>0</v>
      </c>
      <c r="G107" s="2">
        <f t="shared" ca="1" si="16"/>
        <v>20.155706550821947</v>
      </c>
      <c r="H107" s="2">
        <f t="shared" ca="1" si="12"/>
        <v>0</v>
      </c>
      <c r="I107" s="2">
        <f t="shared" ca="1" si="13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1"/>
        <v>3</v>
      </c>
      <c r="E108" s="2">
        <f t="shared" ca="1" si="15"/>
        <v>0</v>
      </c>
      <c r="F108" s="2">
        <f t="shared" ca="1" si="18"/>
        <v>0</v>
      </c>
      <c r="G108" s="2">
        <f t="shared" ca="1" si="16"/>
        <v>20.155706550821947</v>
      </c>
      <c r="H108" s="2">
        <f t="shared" ca="1" si="12"/>
        <v>0</v>
      </c>
      <c r="I108" s="2">
        <f t="shared" ca="1" si="13"/>
        <v>0</v>
      </c>
    </row>
    <row r="109" spans="2:9" x14ac:dyDescent="0.2">
      <c r="B109" s="4">
        <f t="shared" ref="B109:C124" ca="1" si="19">B108+1</f>
        <v>44146</v>
      </c>
      <c r="C109">
        <f t="shared" si="19"/>
        <v>98</v>
      </c>
      <c r="D109">
        <f t="shared" ca="1" si="11"/>
        <v>4</v>
      </c>
      <c r="E109" s="2">
        <f t="shared" ca="1" si="15"/>
        <v>0</v>
      </c>
      <c r="F109" s="2">
        <f t="shared" ca="1" si="18"/>
        <v>0</v>
      </c>
      <c r="G109" s="2">
        <f t="shared" ca="1" si="16"/>
        <v>20.155706550821947</v>
      </c>
      <c r="H109" s="2">
        <f t="shared" ca="1" si="12"/>
        <v>0</v>
      </c>
      <c r="I109" s="2">
        <f t="shared" ca="1" si="13"/>
        <v>0</v>
      </c>
    </row>
    <row r="110" spans="2:9" x14ac:dyDescent="0.2">
      <c r="B110" s="4">
        <f t="shared" ca="1" si="19"/>
        <v>44147</v>
      </c>
      <c r="C110">
        <f t="shared" si="19"/>
        <v>99</v>
      </c>
      <c r="D110">
        <f t="shared" ca="1" si="11"/>
        <v>5</v>
      </c>
      <c r="E110" s="2">
        <f t="shared" ca="1" si="15"/>
        <v>0</v>
      </c>
      <c r="F110" s="2">
        <f t="shared" ca="1" si="18"/>
        <v>0</v>
      </c>
      <c r="G110" s="2">
        <f t="shared" ca="1" si="16"/>
        <v>20.155706550821947</v>
      </c>
      <c r="H110" s="2">
        <f t="shared" ca="1" si="12"/>
        <v>0</v>
      </c>
      <c r="I110" s="2">
        <f t="shared" ca="1" si="13"/>
        <v>0</v>
      </c>
    </row>
    <row r="111" spans="2:9" x14ac:dyDescent="0.2">
      <c r="B111" s="4">
        <f t="shared" ca="1" si="19"/>
        <v>44148</v>
      </c>
      <c r="C111">
        <f t="shared" si="19"/>
        <v>100</v>
      </c>
      <c r="D111">
        <f t="shared" ca="1" si="11"/>
        <v>6</v>
      </c>
      <c r="E111" s="2">
        <f t="shared" ca="1" si="15"/>
        <v>0</v>
      </c>
      <c r="F111" s="2">
        <f t="shared" ca="1" si="18"/>
        <v>0</v>
      </c>
      <c r="G111" s="2">
        <f t="shared" ca="1" si="16"/>
        <v>20.155706550821947</v>
      </c>
      <c r="H111" s="2">
        <f t="shared" ca="1" si="12"/>
        <v>0</v>
      </c>
      <c r="I111" s="2">
        <f t="shared" ca="1" si="13"/>
        <v>0</v>
      </c>
    </row>
    <row r="112" spans="2:9" x14ac:dyDescent="0.2">
      <c r="B112" s="4">
        <f t="shared" ca="1" si="19"/>
        <v>44149</v>
      </c>
      <c r="C112">
        <f t="shared" si="19"/>
        <v>101</v>
      </c>
      <c r="D112">
        <f t="shared" ca="1" si="11"/>
        <v>7</v>
      </c>
      <c r="E112" s="2">
        <f t="shared" ca="1" si="15"/>
        <v>0</v>
      </c>
      <c r="F112" s="2">
        <f t="shared" ca="1" si="18"/>
        <v>0</v>
      </c>
      <c r="G112" s="2">
        <f t="shared" ca="1" si="16"/>
        <v>20.155706550821947</v>
      </c>
      <c r="H112" s="2">
        <f t="shared" ca="1" si="12"/>
        <v>0</v>
      </c>
      <c r="I112" s="2">
        <f t="shared" ca="1" si="13"/>
        <v>0</v>
      </c>
    </row>
    <row r="113" spans="2:9" x14ac:dyDescent="0.2">
      <c r="B113" s="4">
        <f t="shared" ca="1" si="19"/>
        <v>44150</v>
      </c>
      <c r="C113">
        <f t="shared" si="19"/>
        <v>102</v>
      </c>
      <c r="D113">
        <f t="shared" ca="1" si="11"/>
        <v>1</v>
      </c>
      <c r="E113" s="2">
        <f t="shared" ca="1" si="15"/>
        <v>0</v>
      </c>
      <c r="F113" s="2">
        <f t="shared" ca="1" si="18"/>
        <v>0</v>
      </c>
      <c r="G113" s="2">
        <f t="shared" ca="1" si="16"/>
        <v>20.155706550821947</v>
      </c>
      <c r="H113" s="2">
        <f t="shared" ca="1" si="12"/>
        <v>0</v>
      </c>
      <c r="I113" s="2">
        <f t="shared" ca="1" si="13"/>
        <v>0</v>
      </c>
    </row>
    <row r="114" spans="2:9" x14ac:dyDescent="0.2">
      <c r="B114" s="4">
        <f t="shared" ca="1" si="19"/>
        <v>44151</v>
      </c>
      <c r="C114">
        <f t="shared" si="19"/>
        <v>103</v>
      </c>
      <c r="D114">
        <f t="shared" ca="1" si="11"/>
        <v>2</v>
      </c>
      <c r="E114" s="2">
        <f t="shared" ca="1" si="15"/>
        <v>0</v>
      </c>
      <c r="F114" s="2">
        <f t="shared" ca="1" si="18"/>
        <v>0</v>
      </c>
      <c r="G114" s="2">
        <f t="shared" ca="1" si="16"/>
        <v>20.155706550821947</v>
      </c>
      <c r="H114" s="2">
        <f t="shared" ca="1" si="12"/>
        <v>0</v>
      </c>
      <c r="I114" s="2">
        <f t="shared" ca="1" si="13"/>
        <v>0</v>
      </c>
    </row>
    <row r="115" spans="2:9" x14ac:dyDescent="0.2">
      <c r="B115" s="4">
        <f t="shared" ca="1" si="19"/>
        <v>44152</v>
      </c>
      <c r="C115">
        <f t="shared" si="19"/>
        <v>104</v>
      </c>
      <c r="D115">
        <f t="shared" ca="1" si="11"/>
        <v>3</v>
      </c>
      <c r="E115" s="2">
        <f t="shared" ca="1" si="15"/>
        <v>0</v>
      </c>
      <c r="F115" s="2">
        <f t="shared" ca="1" si="18"/>
        <v>0</v>
      </c>
      <c r="G115" s="2">
        <f t="shared" ca="1" si="16"/>
        <v>20.155706550821947</v>
      </c>
      <c r="H115" s="2">
        <f t="shared" ca="1" si="12"/>
        <v>0</v>
      </c>
      <c r="I115" s="2">
        <f t="shared" ca="1" si="13"/>
        <v>0</v>
      </c>
    </row>
    <row r="116" spans="2:9" x14ac:dyDescent="0.2">
      <c r="B116" s="4">
        <f t="shared" ca="1" si="19"/>
        <v>44153</v>
      </c>
      <c r="C116">
        <f t="shared" si="19"/>
        <v>105</v>
      </c>
      <c r="D116">
        <f t="shared" ca="1" si="11"/>
        <v>4</v>
      </c>
      <c r="E116" s="2">
        <f t="shared" ca="1" si="15"/>
        <v>0</v>
      </c>
      <c r="F116" s="2">
        <f t="shared" ca="1" si="18"/>
        <v>0</v>
      </c>
      <c r="G116" s="2">
        <f t="shared" ca="1" si="16"/>
        <v>20.155706550821947</v>
      </c>
      <c r="H116" s="2">
        <f t="shared" ca="1" si="12"/>
        <v>0</v>
      </c>
      <c r="I116" s="2">
        <f t="shared" ca="1" si="13"/>
        <v>0</v>
      </c>
    </row>
    <row r="117" spans="2:9" x14ac:dyDescent="0.2">
      <c r="B117" s="4">
        <f t="shared" ca="1" si="19"/>
        <v>44154</v>
      </c>
      <c r="C117">
        <f t="shared" si="19"/>
        <v>106</v>
      </c>
      <c r="D117">
        <f t="shared" ca="1" si="11"/>
        <v>5</v>
      </c>
      <c r="E117" s="2">
        <f t="shared" ca="1" si="15"/>
        <v>0</v>
      </c>
      <c r="F117" s="2">
        <f t="shared" ca="1" si="18"/>
        <v>0</v>
      </c>
      <c r="G117" s="2">
        <f t="shared" ca="1" si="16"/>
        <v>20.155706550821947</v>
      </c>
      <c r="H117" s="2">
        <f t="shared" ca="1" si="12"/>
        <v>0</v>
      </c>
      <c r="I117" s="2">
        <f t="shared" ca="1" si="13"/>
        <v>0</v>
      </c>
    </row>
    <row r="118" spans="2:9" x14ac:dyDescent="0.2">
      <c r="B118" s="4">
        <f t="shared" ca="1" si="19"/>
        <v>44155</v>
      </c>
      <c r="C118">
        <f t="shared" si="19"/>
        <v>107</v>
      </c>
      <c r="D118">
        <f t="shared" ca="1" si="11"/>
        <v>6</v>
      </c>
      <c r="E118" s="2">
        <f t="shared" ca="1" si="15"/>
        <v>0</v>
      </c>
      <c r="F118" s="2">
        <f t="shared" ca="1" si="18"/>
        <v>0</v>
      </c>
      <c r="G118" s="2">
        <f t="shared" ca="1" si="16"/>
        <v>20.155706550821947</v>
      </c>
      <c r="H118" s="2">
        <f t="shared" ca="1" si="12"/>
        <v>0</v>
      </c>
      <c r="I118" s="2">
        <f t="shared" ca="1" si="13"/>
        <v>0</v>
      </c>
    </row>
    <row r="119" spans="2:9" x14ac:dyDescent="0.2">
      <c r="B119" s="4">
        <f t="shared" ca="1" si="19"/>
        <v>44156</v>
      </c>
      <c r="C119">
        <f t="shared" si="19"/>
        <v>108</v>
      </c>
      <c r="D119">
        <f t="shared" ca="1" si="11"/>
        <v>7</v>
      </c>
      <c r="E119" s="2">
        <f t="shared" ca="1" si="15"/>
        <v>0</v>
      </c>
      <c r="F119" s="2">
        <f t="shared" ca="1" si="18"/>
        <v>0</v>
      </c>
      <c r="G119" s="2">
        <f t="shared" ca="1" si="16"/>
        <v>20.155706550821947</v>
      </c>
      <c r="H119" s="2">
        <f t="shared" ca="1" si="12"/>
        <v>0</v>
      </c>
      <c r="I119" s="2">
        <f t="shared" ca="1" si="13"/>
        <v>0</v>
      </c>
    </row>
    <row r="120" spans="2:9" x14ac:dyDescent="0.2">
      <c r="B120" s="4">
        <f t="shared" ca="1" si="19"/>
        <v>44157</v>
      </c>
      <c r="C120">
        <f t="shared" si="19"/>
        <v>109</v>
      </c>
      <c r="D120">
        <f t="shared" ca="1" si="11"/>
        <v>1</v>
      </c>
      <c r="E120" s="2">
        <f t="shared" ca="1" si="15"/>
        <v>0</v>
      </c>
      <c r="F120" s="2">
        <f t="shared" ca="1" si="18"/>
        <v>0</v>
      </c>
      <c r="G120" s="2">
        <f t="shared" ca="1" si="16"/>
        <v>20.155706550821947</v>
      </c>
      <c r="H120" s="2">
        <f t="shared" ca="1" si="12"/>
        <v>0</v>
      </c>
      <c r="I120" s="2">
        <f t="shared" ca="1" si="13"/>
        <v>0</v>
      </c>
    </row>
    <row r="121" spans="2:9" x14ac:dyDescent="0.2">
      <c r="B121" s="4">
        <f t="shared" ca="1" si="19"/>
        <v>44158</v>
      </c>
      <c r="C121">
        <f t="shared" si="19"/>
        <v>110</v>
      </c>
      <c r="D121">
        <f t="shared" ca="1" si="11"/>
        <v>2</v>
      </c>
      <c r="E121" s="2">
        <f t="shared" ca="1" si="15"/>
        <v>0</v>
      </c>
      <c r="F121" s="2">
        <f t="shared" ca="1" si="18"/>
        <v>0</v>
      </c>
      <c r="G121" s="2">
        <f t="shared" ca="1" si="16"/>
        <v>20.155706550821947</v>
      </c>
      <c r="H121" s="2">
        <f t="shared" ca="1" si="12"/>
        <v>0</v>
      </c>
      <c r="I121" s="2">
        <f t="shared" ca="1" si="13"/>
        <v>0</v>
      </c>
    </row>
    <row r="122" spans="2:9" x14ac:dyDescent="0.2">
      <c r="B122" s="4">
        <f t="shared" ca="1" si="19"/>
        <v>44159</v>
      </c>
      <c r="C122">
        <f t="shared" si="19"/>
        <v>111</v>
      </c>
      <c r="D122">
        <f t="shared" ca="1" si="11"/>
        <v>3</v>
      </c>
      <c r="E122" s="2">
        <f t="shared" ca="1" si="15"/>
        <v>0</v>
      </c>
      <c r="F122" s="2">
        <f t="shared" ca="1" si="18"/>
        <v>0</v>
      </c>
      <c r="G122" s="2">
        <f t="shared" ca="1" si="16"/>
        <v>20.155706550821947</v>
      </c>
      <c r="H122" s="2">
        <f t="shared" ca="1" si="12"/>
        <v>0</v>
      </c>
      <c r="I122" s="2">
        <f t="shared" ca="1" si="13"/>
        <v>0</v>
      </c>
    </row>
    <row r="123" spans="2:9" x14ac:dyDescent="0.2">
      <c r="B123" s="4">
        <f t="shared" ca="1" si="19"/>
        <v>44160</v>
      </c>
      <c r="C123">
        <f t="shared" si="19"/>
        <v>112</v>
      </c>
      <c r="D123">
        <f t="shared" ca="1" si="11"/>
        <v>4</v>
      </c>
      <c r="E123" s="2">
        <f t="shared" ca="1" si="15"/>
        <v>0</v>
      </c>
      <c r="F123" s="2">
        <f t="shared" ca="1" si="18"/>
        <v>0</v>
      </c>
      <c r="G123" s="2">
        <f t="shared" ca="1" si="16"/>
        <v>20.155706550821947</v>
      </c>
      <c r="H123" s="2">
        <f t="shared" ca="1" si="12"/>
        <v>0</v>
      </c>
      <c r="I123" s="2">
        <f t="shared" ca="1" si="13"/>
        <v>0</v>
      </c>
    </row>
    <row r="124" spans="2:9" x14ac:dyDescent="0.2">
      <c r="B124" s="4">
        <f t="shared" ca="1" si="19"/>
        <v>44161</v>
      </c>
      <c r="C124">
        <f t="shared" si="19"/>
        <v>113</v>
      </c>
      <c r="D124">
        <f t="shared" ca="1" si="11"/>
        <v>5</v>
      </c>
      <c r="E124" s="2">
        <f t="shared" ca="1" si="15"/>
        <v>0</v>
      </c>
      <c r="F124" s="2">
        <f t="shared" ca="1" si="18"/>
        <v>0</v>
      </c>
      <c r="G124" s="2">
        <f t="shared" ca="1" si="16"/>
        <v>20.155706550821947</v>
      </c>
      <c r="H124" s="2">
        <f t="shared" ca="1" si="12"/>
        <v>0</v>
      </c>
      <c r="I124" s="2">
        <f t="shared" ca="1" si="13"/>
        <v>0</v>
      </c>
    </row>
    <row r="125" spans="2:9" x14ac:dyDescent="0.2">
      <c r="B125" s="4">
        <f t="shared" ref="B125:C140" ca="1" si="20">B124+1</f>
        <v>44162</v>
      </c>
      <c r="C125">
        <f t="shared" si="20"/>
        <v>114</v>
      </c>
      <c r="D125">
        <f t="shared" ca="1" si="11"/>
        <v>6</v>
      </c>
      <c r="E125" s="2">
        <f t="shared" ca="1" si="15"/>
        <v>0</v>
      </c>
      <c r="F125" s="2">
        <f t="shared" ca="1" si="18"/>
        <v>0</v>
      </c>
      <c r="G125" s="2">
        <f t="shared" ca="1" si="16"/>
        <v>20.155706550821947</v>
      </c>
      <c r="H125" s="2">
        <f t="shared" ca="1" si="12"/>
        <v>0</v>
      </c>
      <c r="I125" s="2">
        <f t="shared" ca="1" si="13"/>
        <v>0</v>
      </c>
    </row>
    <row r="126" spans="2:9" x14ac:dyDescent="0.2">
      <c r="B126" s="4">
        <f t="shared" ca="1" si="20"/>
        <v>44163</v>
      </c>
      <c r="C126">
        <f t="shared" si="20"/>
        <v>115</v>
      </c>
      <c r="D126">
        <f t="shared" ca="1" si="11"/>
        <v>7</v>
      </c>
      <c r="E126" s="2">
        <f t="shared" ca="1" si="15"/>
        <v>0</v>
      </c>
      <c r="F126" s="2">
        <f t="shared" ca="1" si="18"/>
        <v>0</v>
      </c>
      <c r="G126" s="2">
        <f t="shared" ca="1" si="16"/>
        <v>20.155706550821947</v>
      </c>
      <c r="H126" s="2">
        <f t="shared" ca="1" si="12"/>
        <v>0</v>
      </c>
      <c r="I126" s="2">
        <f t="shared" ca="1" si="13"/>
        <v>0</v>
      </c>
    </row>
    <row r="127" spans="2:9" x14ac:dyDescent="0.2">
      <c r="B127" s="4">
        <f t="shared" ca="1" si="20"/>
        <v>44164</v>
      </c>
      <c r="C127">
        <f t="shared" si="20"/>
        <v>116</v>
      </c>
      <c r="D127">
        <f t="shared" ca="1" si="11"/>
        <v>1</v>
      </c>
      <c r="E127" s="2">
        <f t="shared" ca="1" si="15"/>
        <v>0</v>
      </c>
      <c r="F127" s="2">
        <f t="shared" ca="1" si="18"/>
        <v>0</v>
      </c>
      <c r="G127" s="2">
        <f t="shared" ca="1" si="16"/>
        <v>20.155706550821947</v>
      </c>
      <c r="H127" s="2">
        <f t="shared" ca="1" si="12"/>
        <v>0</v>
      </c>
      <c r="I127" s="2">
        <f t="shared" ca="1" si="13"/>
        <v>0</v>
      </c>
    </row>
    <row r="128" spans="2:9" x14ac:dyDescent="0.2">
      <c r="B128" s="4">
        <f t="shared" ca="1" si="20"/>
        <v>44165</v>
      </c>
      <c r="C128">
        <f t="shared" si="20"/>
        <v>117</v>
      </c>
      <c r="D128">
        <f t="shared" ca="1" si="11"/>
        <v>2</v>
      </c>
      <c r="E128" s="2">
        <f t="shared" ca="1" si="15"/>
        <v>0</v>
      </c>
      <c r="F128" s="2">
        <f t="shared" ca="1" si="18"/>
        <v>0</v>
      </c>
      <c r="G128" s="2">
        <f t="shared" ca="1" si="16"/>
        <v>20.155706550821947</v>
      </c>
      <c r="H128" s="2">
        <f t="shared" ca="1" si="12"/>
        <v>0</v>
      </c>
      <c r="I128" s="2">
        <f t="shared" ca="1" si="13"/>
        <v>0</v>
      </c>
    </row>
    <row r="129" spans="2:9" x14ac:dyDescent="0.2">
      <c r="B129" s="4">
        <f t="shared" ca="1" si="20"/>
        <v>44166</v>
      </c>
      <c r="C129">
        <f t="shared" si="20"/>
        <v>118</v>
      </c>
      <c r="D129">
        <f t="shared" ca="1" si="11"/>
        <v>3</v>
      </c>
      <c r="E129" s="2">
        <f t="shared" ca="1" si="15"/>
        <v>0</v>
      </c>
      <c r="F129" s="2">
        <f t="shared" ca="1" si="18"/>
        <v>0</v>
      </c>
      <c r="G129" s="2">
        <f t="shared" ca="1" si="16"/>
        <v>20.155706550821947</v>
      </c>
      <c r="H129" s="2">
        <f t="shared" ca="1" si="12"/>
        <v>0</v>
      </c>
      <c r="I129" s="2">
        <f t="shared" ca="1" si="13"/>
        <v>0</v>
      </c>
    </row>
    <row r="130" spans="2:9" x14ac:dyDescent="0.2">
      <c r="B130" s="4">
        <f t="shared" ca="1" si="20"/>
        <v>44167</v>
      </c>
      <c r="C130">
        <f t="shared" si="20"/>
        <v>119</v>
      </c>
      <c r="D130">
        <f t="shared" ca="1" si="11"/>
        <v>4</v>
      </c>
      <c r="E130" s="2">
        <f t="shared" ca="1" si="15"/>
        <v>0</v>
      </c>
      <c r="F130" s="2">
        <f t="shared" ca="1" si="18"/>
        <v>0</v>
      </c>
      <c r="G130" s="2">
        <f t="shared" ca="1" si="16"/>
        <v>20.155706550821947</v>
      </c>
      <c r="H130" s="2">
        <f t="shared" ca="1" si="12"/>
        <v>0</v>
      </c>
      <c r="I130" s="2">
        <f t="shared" ca="1" si="13"/>
        <v>0</v>
      </c>
    </row>
    <row r="131" spans="2:9" x14ac:dyDescent="0.2">
      <c r="B131" s="4">
        <f t="shared" ca="1" si="20"/>
        <v>44168</v>
      </c>
      <c r="C131">
        <f t="shared" si="20"/>
        <v>120</v>
      </c>
      <c r="D131">
        <f t="shared" ca="1" si="11"/>
        <v>5</v>
      </c>
      <c r="E131" s="2">
        <f t="shared" ca="1" si="15"/>
        <v>0</v>
      </c>
      <c r="F131" s="2">
        <f t="shared" ca="1" si="18"/>
        <v>0</v>
      </c>
      <c r="G131" s="2">
        <f t="shared" ca="1" si="16"/>
        <v>20.155706550821947</v>
      </c>
      <c r="H131" s="2">
        <f t="shared" ca="1" si="12"/>
        <v>0</v>
      </c>
      <c r="I131" s="2">
        <f t="shared" ca="1" si="13"/>
        <v>0</v>
      </c>
    </row>
    <row r="132" spans="2:9" x14ac:dyDescent="0.2">
      <c r="B132" s="4">
        <f t="shared" ca="1" si="20"/>
        <v>44169</v>
      </c>
      <c r="C132">
        <f t="shared" si="20"/>
        <v>121</v>
      </c>
      <c r="D132">
        <f t="shared" ca="1" si="11"/>
        <v>6</v>
      </c>
      <c r="E132" s="2">
        <f t="shared" ca="1" si="15"/>
        <v>0</v>
      </c>
      <c r="F132" s="2">
        <f t="shared" ca="1" si="18"/>
        <v>0</v>
      </c>
      <c r="G132" s="2">
        <f t="shared" ca="1" si="16"/>
        <v>20.155706550821947</v>
      </c>
      <c r="H132" s="2">
        <f t="shared" ca="1" si="12"/>
        <v>0</v>
      </c>
      <c r="I132" s="2">
        <f t="shared" ca="1" si="13"/>
        <v>0</v>
      </c>
    </row>
    <row r="133" spans="2:9" x14ac:dyDescent="0.2">
      <c r="B133" s="4">
        <f t="shared" ca="1" si="20"/>
        <v>44170</v>
      </c>
      <c r="C133">
        <f t="shared" si="20"/>
        <v>122</v>
      </c>
      <c r="D133">
        <f t="shared" ca="1" si="11"/>
        <v>7</v>
      </c>
      <c r="E133" s="2">
        <f t="shared" ca="1" si="15"/>
        <v>0</v>
      </c>
      <c r="F133" s="2">
        <f t="shared" ca="1" si="18"/>
        <v>0</v>
      </c>
      <c r="G133" s="2">
        <f t="shared" ca="1" si="16"/>
        <v>20.155706550821947</v>
      </c>
      <c r="H133" s="2">
        <f t="shared" ca="1" si="12"/>
        <v>0</v>
      </c>
      <c r="I133" s="2">
        <f t="shared" ca="1" si="13"/>
        <v>0</v>
      </c>
    </row>
    <row r="134" spans="2:9" x14ac:dyDescent="0.2">
      <c r="B134" s="4">
        <f t="shared" ca="1" si="20"/>
        <v>44171</v>
      </c>
      <c r="C134">
        <f t="shared" si="20"/>
        <v>123</v>
      </c>
      <c r="D134">
        <f t="shared" ca="1" si="11"/>
        <v>1</v>
      </c>
      <c r="E134" s="2">
        <f t="shared" ca="1" si="15"/>
        <v>0</v>
      </c>
      <c r="F134" s="2">
        <f t="shared" ca="1" si="18"/>
        <v>0</v>
      </c>
      <c r="G134" s="2">
        <f t="shared" ca="1" si="16"/>
        <v>20.155706550821947</v>
      </c>
      <c r="H134" s="2">
        <f t="shared" ca="1" si="12"/>
        <v>0</v>
      </c>
      <c r="I134" s="2">
        <f t="shared" ca="1" si="13"/>
        <v>0</v>
      </c>
    </row>
    <row r="135" spans="2:9" x14ac:dyDescent="0.2">
      <c r="B135" s="4">
        <f t="shared" ca="1" si="20"/>
        <v>44172</v>
      </c>
      <c r="C135">
        <f t="shared" si="20"/>
        <v>124</v>
      </c>
      <c r="D135">
        <f t="shared" ca="1" si="11"/>
        <v>2</v>
      </c>
      <c r="E135" s="2">
        <f t="shared" ca="1" si="15"/>
        <v>0</v>
      </c>
      <c r="F135" s="2">
        <f t="shared" ca="1" si="18"/>
        <v>0</v>
      </c>
      <c r="G135" s="2">
        <f t="shared" ca="1" si="16"/>
        <v>20.155706550821947</v>
      </c>
      <c r="H135" s="2">
        <f t="shared" ca="1" si="12"/>
        <v>0</v>
      </c>
      <c r="I135" s="2">
        <f t="shared" ca="1" si="13"/>
        <v>0</v>
      </c>
    </row>
    <row r="136" spans="2:9" x14ac:dyDescent="0.2">
      <c r="B136" s="4">
        <f t="shared" ca="1" si="20"/>
        <v>44173</v>
      </c>
      <c r="C136">
        <f t="shared" si="20"/>
        <v>125</v>
      </c>
      <c r="D136">
        <f t="shared" ca="1" si="11"/>
        <v>3</v>
      </c>
      <c r="E136" s="2">
        <f t="shared" ca="1" si="15"/>
        <v>0</v>
      </c>
      <c r="F136" s="2">
        <f t="shared" ca="1" si="18"/>
        <v>0</v>
      </c>
      <c r="G136" s="2">
        <f t="shared" ca="1" si="16"/>
        <v>20.155706550821947</v>
      </c>
      <c r="H136" s="2">
        <f t="shared" ca="1" si="12"/>
        <v>0</v>
      </c>
      <c r="I136" s="2">
        <f t="shared" ca="1" si="13"/>
        <v>0</v>
      </c>
    </row>
    <row r="137" spans="2:9" x14ac:dyDescent="0.2">
      <c r="B137" s="4">
        <f t="shared" ca="1" si="20"/>
        <v>44174</v>
      </c>
      <c r="C137">
        <f t="shared" si="20"/>
        <v>126</v>
      </c>
      <c r="D137">
        <f t="shared" ca="1" si="11"/>
        <v>4</v>
      </c>
      <c r="E137" s="2">
        <f t="shared" ca="1" si="15"/>
        <v>0</v>
      </c>
      <c r="F137" s="2">
        <f t="shared" ca="1" si="18"/>
        <v>0</v>
      </c>
      <c r="G137" s="2">
        <f t="shared" ca="1" si="16"/>
        <v>20.155706550821947</v>
      </c>
      <c r="H137" s="2">
        <f t="shared" ca="1" si="12"/>
        <v>0</v>
      </c>
      <c r="I137" s="2">
        <f t="shared" ca="1" si="13"/>
        <v>0</v>
      </c>
    </row>
    <row r="138" spans="2:9" x14ac:dyDescent="0.2">
      <c r="B138" s="4">
        <f t="shared" ca="1" si="20"/>
        <v>44175</v>
      </c>
      <c r="C138">
        <f t="shared" si="20"/>
        <v>127</v>
      </c>
      <c r="D138">
        <f t="shared" ca="1" si="11"/>
        <v>5</v>
      </c>
      <c r="E138" s="2">
        <f t="shared" ca="1" si="15"/>
        <v>0</v>
      </c>
      <c r="F138" s="2">
        <f t="shared" ca="1" si="18"/>
        <v>0</v>
      </c>
      <c r="G138" s="2">
        <f t="shared" ca="1" si="16"/>
        <v>20.155706550821947</v>
      </c>
      <c r="H138" s="2">
        <f t="shared" ca="1" si="12"/>
        <v>0</v>
      </c>
      <c r="I138" s="2">
        <f t="shared" ca="1" si="13"/>
        <v>0</v>
      </c>
    </row>
    <row r="139" spans="2:9" x14ac:dyDescent="0.2">
      <c r="B139" s="4">
        <f t="shared" ca="1" si="20"/>
        <v>44176</v>
      </c>
      <c r="C139">
        <f t="shared" si="20"/>
        <v>128</v>
      </c>
      <c r="D139">
        <f t="shared" ca="1" si="11"/>
        <v>6</v>
      </c>
      <c r="E139" s="2">
        <f t="shared" ca="1" si="15"/>
        <v>0</v>
      </c>
      <c r="F139" s="2">
        <f t="shared" ca="1" si="18"/>
        <v>0</v>
      </c>
      <c r="G139" s="2">
        <f t="shared" ca="1" si="16"/>
        <v>20.155706550821947</v>
      </c>
      <c r="H139" s="2">
        <f t="shared" ca="1" si="12"/>
        <v>0</v>
      </c>
      <c r="I139" s="2">
        <f t="shared" ca="1" si="13"/>
        <v>0</v>
      </c>
    </row>
    <row r="140" spans="2:9" x14ac:dyDescent="0.2">
      <c r="B140" s="4">
        <f t="shared" ca="1" si="20"/>
        <v>44177</v>
      </c>
      <c r="C140">
        <f t="shared" si="20"/>
        <v>129</v>
      </c>
      <c r="D140">
        <f t="shared" ref="D140:D203" ca="1" si="21">WEEKDAY(B140,1)</f>
        <v>7</v>
      </c>
      <c r="E140" s="2">
        <f t="shared" ca="1" si="15"/>
        <v>0</v>
      </c>
      <c r="F140" s="2">
        <f t="shared" ca="1" si="18"/>
        <v>0</v>
      </c>
      <c r="G140" s="2">
        <f t="shared" ca="1" si="16"/>
        <v>20.155706550821947</v>
      </c>
      <c r="H140" s="2">
        <f t="shared" ref="H140:H203" ca="1" si="22">IF(C140&gt;$C$7,0,(G140)*$C$5/365)</f>
        <v>0</v>
      </c>
      <c r="I140" s="2">
        <f t="shared" ref="I140:I203" ca="1" si="23">IF(AND(C140=0,D140=7),$C$6,IF(C140=$C$7,0,IF(C140&lt;$C$7,IF(D140=7,$C$6,0),0)))</f>
        <v>0</v>
      </c>
    </row>
    <row r="141" spans="2:9" x14ac:dyDescent="0.2">
      <c r="B141" s="4">
        <f t="shared" ref="B141:C156" ca="1" si="24">B140+1</f>
        <v>44178</v>
      </c>
      <c r="C141">
        <f t="shared" si="24"/>
        <v>130</v>
      </c>
      <c r="D141">
        <f t="shared" ca="1" si="21"/>
        <v>1</v>
      </c>
      <c r="E141" s="2">
        <f t="shared" ref="E141:E204" ca="1" si="25">IF(C141&gt;$C$7,0,G140+H140+I140)</f>
        <v>0</v>
      </c>
      <c r="F141" s="2">
        <f t="shared" ca="1" si="18"/>
        <v>0</v>
      </c>
      <c r="G141" s="2">
        <f t="shared" ref="G141:G204" ca="1" si="26">IF(C141&gt;$C$7,G140,E141-F141)</f>
        <v>20.155706550821947</v>
      </c>
      <c r="H141" s="2">
        <f t="shared" ca="1" si="22"/>
        <v>0</v>
      </c>
      <c r="I141" s="2">
        <f t="shared" ca="1" si="23"/>
        <v>0</v>
      </c>
    </row>
    <row r="142" spans="2:9" x14ac:dyDescent="0.2">
      <c r="B142" s="4">
        <f t="shared" ca="1" si="24"/>
        <v>44179</v>
      </c>
      <c r="C142">
        <f t="shared" si="24"/>
        <v>131</v>
      </c>
      <c r="D142">
        <f t="shared" ca="1" si="21"/>
        <v>2</v>
      </c>
      <c r="E142" s="2">
        <f t="shared" ca="1" si="25"/>
        <v>0</v>
      </c>
      <c r="F142" s="2">
        <f t="shared" ca="1" si="18"/>
        <v>0</v>
      </c>
      <c r="G142" s="2">
        <f t="shared" ca="1" si="26"/>
        <v>20.155706550821947</v>
      </c>
      <c r="H142" s="2">
        <f t="shared" ca="1" si="22"/>
        <v>0</v>
      </c>
      <c r="I142" s="2">
        <f t="shared" ca="1" si="23"/>
        <v>0</v>
      </c>
    </row>
    <row r="143" spans="2:9" x14ac:dyDescent="0.2">
      <c r="B143" s="4">
        <f t="shared" ca="1" si="24"/>
        <v>44180</v>
      </c>
      <c r="C143">
        <f t="shared" si="24"/>
        <v>132</v>
      </c>
      <c r="D143">
        <f t="shared" ca="1" si="21"/>
        <v>3</v>
      </c>
      <c r="E143" s="2">
        <f t="shared" ca="1" si="25"/>
        <v>0</v>
      </c>
      <c r="F143" s="2">
        <f t="shared" ca="1" si="18"/>
        <v>0</v>
      </c>
      <c r="G143" s="2">
        <f t="shared" ca="1" si="26"/>
        <v>20.155706550821947</v>
      </c>
      <c r="H143" s="2">
        <f t="shared" ca="1" si="22"/>
        <v>0</v>
      </c>
      <c r="I143" s="2">
        <f t="shared" ca="1" si="23"/>
        <v>0</v>
      </c>
    </row>
    <row r="144" spans="2:9" x14ac:dyDescent="0.2">
      <c r="B144" s="4">
        <f t="shared" ca="1" si="24"/>
        <v>44181</v>
      </c>
      <c r="C144">
        <f t="shared" si="24"/>
        <v>133</v>
      </c>
      <c r="D144">
        <f t="shared" ca="1" si="21"/>
        <v>4</v>
      </c>
      <c r="E144" s="2">
        <f t="shared" ca="1" si="25"/>
        <v>0</v>
      </c>
      <c r="F144" s="2">
        <f t="shared" ca="1" si="18"/>
        <v>0</v>
      </c>
      <c r="G144" s="2">
        <f t="shared" ca="1" si="26"/>
        <v>20.155706550821947</v>
      </c>
      <c r="H144" s="2">
        <f t="shared" ca="1" si="22"/>
        <v>0</v>
      </c>
      <c r="I144" s="2">
        <f t="shared" ca="1" si="23"/>
        <v>0</v>
      </c>
    </row>
    <row r="145" spans="2:9" x14ac:dyDescent="0.2">
      <c r="B145" s="4">
        <f t="shared" ca="1" si="24"/>
        <v>44182</v>
      </c>
      <c r="C145">
        <f t="shared" si="24"/>
        <v>134</v>
      </c>
      <c r="D145">
        <f t="shared" ca="1" si="21"/>
        <v>5</v>
      </c>
      <c r="E145" s="2">
        <f t="shared" ca="1" si="25"/>
        <v>0</v>
      </c>
      <c r="F145" s="2">
        <f t="shared" ca="1" si="18"/>
        <v>0</v>
      </c>
      <c r="G145" s="2">
        <f t="shared" ca="1" si="26"/>
        <v>20.155706550821947</v>
      </c>
      <c r="H145" s="2">
        <f t="shared" ca="1" si="22"/>
        <v>0</v>
      </c>
      <c r="I145" s="2">
        <f t="shared" ca="1" si="23"/>
        <v>0</v>
      </c>
    </row>
    <row r="146" spans="2:9" x14ac:dyDescent="0.2">
      <c r="B146" s="4">
        <f t="shared" ca="1" si="24"/>
        <v>44183</v>
      </c>
      <c r="C146">
        <f t="shared" si="24"/>
        <v>135</v>
      </c>
      <c r="D146">
        <f t="shared" ca="1" si="21"/>
        <v>6</v>
      </c>
      <c r="E146" s="2">
        <f t="shared" ca="1" si="25"/>
        <v>0</v>
      </c>
      <c r="F146" s="2">
        <f t="shared" ca="1" si="18"/>
        <v>0</v>
      </c>
      <c r="G146" s="2">
        <f t="shared" ca="1" si="26"/>
        <v>20.155706550821947</v>
      </c>
      <c r="H146" s="2">
        <f t="shared" ca="1" si="22"/>
        <v>0</v>
      </c>
      <c r="I146" s="2">
        <f t="shared" ca="1" si="23"/>
        <v>0</v>
      </c>
    </row>
    <row r="147" spans="2:9" x14ac:dyDescent="0.2">
      <c r="B147" s="4">
        <f t="shared" ca="1" si="24"/>
        <v>44184</v>
      </c>
      <c r="C147">
        <f t="shared" si="24"/>
        <v>136</v>
      </c>
      <c r="D147">
        <f t="shared" ca="1" si="21"/>
        <v>7</v>
      </c>
      <c r="E147" s="2">
        <f t="shared" ca="1" si="25"/>
        <v>0</v>
      </c>
      <c r="F147" s="2">
        <f t="shared" ca="1" si="18"/>
        <v>0</v>
      </c>
      <c r="G147" s="2">
        <f t="shared" ca="1" si="26"/>
        <v>20.155706550821947</v>
      </c>
      <c r="H147" s="2">
        <f t="shared" ca="1" si="22"/>
        <v>0</v>
      </c>
      <c r="I147" s="2">
        <f t="shared" ca="1" si="23"/>
        <v>0</v>
      </c>
    </row>
    <row r="148" spans="2:9" x14ac:dyDescent="0.2">
      <c r="B148" s="4">
        <f t="shared" ca="1" si="24"/>
        <v>44185</v>
      </c>
      <c r="C148">
        <f t="shared" si="24"/>
        <v>137</v>
      </c>
      <c r="D148">
        <f t="shared" ca="1" si="21"/>
        <v>1</v>
      </c>
      <c r="E148" s="2">
        <f t="shared" ca="1" si="25"/>
        <v>0</v>
      </c>
      <c r="F148" s="2">
        <f t="shared" ca="1" si="18"/>
        <v>0</v>
      </c>
      <c r="G148" s="2">
        <f t="shared" ca="1" si="26"/>
        <v>20.155706550821947</v>
      </c>
      <c r="H148" s="2">
        <f t="shared" ca="1" si="22"/>
        <v>0</v>
      </c>
      <c r="I148" s="2">
        <f t="shared" ca="1" si="23"/>
        <v>0</v>
      </c>
    </row>
    <row r="149" spans="2:9" x14ac:dyDescent="0.2">
      <c r="B149" s="4">
        <f t="shared" ca="1" si="24"/>
        <v>44186</v>
      </c>
      <c r="C149">
        <f t="shared" si="24"/>
        <v>138</v>
      </c>
      <c r="D149">
        <f t="shared" ca="1" si="21"/>
        <v>2</v>
      </c>
      <c r="E149" s="2">
        <f t="shared" ca="1" si="25"/>
        <v>0</v>
      </c>
      <c r="F149" s="2">
        <f t="shared" ca="1" si="18"/>
        <v>0</v>
      </c>
      <c r="G149" s="2">
        <f t="shared" ca="1" si="26"/>
        <v>20.155706550821947</v>
      </c>
      <c r="H149" s="2">
        <f t="shared" ca="1" si="22"/>
        <v>0</v>
      </c>
      <c r="I149" s="2">
        <f t="shared" ca="1" si="23"/>
        <v>0</v>
      </c>
    </row>
    <row r="150" spans="2:9" x14ac:dyDescent="0.2">
      <c r="B150" s="4">
        <f t="shared" ca="1" si="24"/>
        <v>44187</v>
      </c>
      <c r="C150">
        <f t="shared" si="24"/>
        <v>139</v>
      </c>
      <c r="D150">
        <f t="shared" ca="1" si="21"/>
        <v>3</v>
      </c>
      <c r="E150" s="2">
        <f t="shared" ca="1" si="25"/>
        <v>0</v>
      </c>
      <c r="F150" s="2">
        <f t="shared" ca="1" si="18"/>
        <v>0</v>
      </c>
      <c r="G150" s="2">
        <f t="shared" ca="1" si="26"/>
        <v>20.155706550821947</v>
      </c>
      <c r="H150" s="2">
        <f t="shared" ca="1" si="22"/>
        <v>0</v>
      </c>
      <c r="I150" s="2">
        <f t="shared" ca="1" si="23"/>
        <v>0</v>
      </c>
    </row>
    <row r="151" spans="2:9" x14ac:dyDescent="0.2">
      <c r="B151" s="4">
        <f t="shared" ca="1" si="24"/>
        <v>44188</v>
      </c>
      <c r="C151">
        <f t="shared" si="24"/>
        <v>140</v>
      </c>
      <c r="D151">
        <f t="shared" ca="1" si="21"/>
        <v>4</v>
      </c>
      <c r="E151" s="2">
        <f t="shared" ca="1" si="25"/>
        <v>0</v>
      </c>
      <c r="F151" s="2">
        <f t="shared" ca="1" si="18"/>
        <v>0</v>
      </c>
      <c r="G151" s="2">
        <f t="shared" ca="1" si="26"/>
        <v>20.155706550821947</v>
      </c>
      <c r="H151" s="2">
        <f t="shared" ca="1" si="22"/>
        <v>0</v>
      </c>
      <c r="I151" s="2">
        <f t="shared" ca="1" si="23"/>
        <v>0</v>
      </c>
    </row>
    <row r="152" spans="2:9" x14ac:dyDescent="0.2">
      <c r="B152" s="4">
        <f t="shared" ca="1" si="24"/>
        <v>44189</v>
      </c>
      <c r="C152">
        <f t="shared" si="24"/>
        <v>141</v>
      </c>
      <c r="D152">
        <f t="shared" ca="1" si="21"/>
        <v>5</v>
      </c>
      <c r="E152" s="2">
        <f t="shared" ca="1" si="25"/>
        <v>0</v>
      </c>
      <c r="F152" s="2">
        <f t="shared" ca="1" si="18"/>
        <v>0</v>
      </c>
      <c r="G152" s="2">
        <f t="shared" ca="1" si="26"/>
        <v>20.155706550821947</v>
      </c>
      <c r="H152" s="2">
        <f t="shared" ca="1" si="22"/>
        <v>0</v>
      </c>
      <c r="I152" s="2">
        <f t="shared" ca="1" si="23"/>
        <v>0</v>
      </c>
    </row>
    <row r="153" spans="2:9" x14ac:dyDescent="0.2">
      <c r="B153" s="4">
        <f t="shared" ca="1" si="24"/>
        <v>44190</v>
      </c>
      <c r="C153">
        <f t="shared" si="24"/>
        <v>142</v>
      </c>
      <c r="D153">
        <f t="shared" ca="1" si="21"/>
        <v>6</v>
      </c>
      <c r="E153" s="2">
        <f t="shared" ca="1" si="25"/>
        <v>0</v>
      </c>
      <c r="F153" s="2">
        <f t="shared" ca="1" si="18"/>
        <v>0</v>
      </c>
      <c r="G153" s="2">
        <f t="shared" ca="1" si="26"/>
        <v>20.155706550821947</v>
      </c>
      <c r="H153" s="2">
        <f t="shared" ca="1" si="22"/>
        <v>0</v>
      </c>
      <c r="I153" s="2">
        <f t="shared" ca="1" si="23"/>
        <v>0</v>
      </c>
    </row>
    <row r="154" spans="2:9" x14ac:dyDescent="0.2">
      <c r="B154" s="4">
        <f t="shared" ca="1" si="24"/>
        <v>44191</v>
      </c>
      <c r="C154">
        <f t="shared" si="24"/>
        <v>143</v>
      </c>
      <c r="D154">
        <f t="shared" ca="1" si="21"/>
        <v>7</v>
      </c>
      <c r="E154" s="2">
        <f t="shared" ca="1" si="25"/>
        <v>0</v>
      </c>
      <c r="F154" s="2">
        <f t="shared" ca="1" si="18"/>
        <v>0</v>
      </c>
      <c r="G154" s="2">
        <f t="shared" ca="1" si="26"/>
        <v>20.155706550821947</v>
      </c>
      <c r="H154" s="2">
        <f t="shared" ca="1" si="22"/>
        <v>0</v>
      </c>
      <c r="I154" s="2">
        <f t="shared" ca="1" si="23"/>
        <v>0</v>
      </c>
    </row>
    <row r="155" spans="2:9" x14ac:dyDescent="0.2">
      <c r="B155" s="4">
        <f t="shared" ca="1" si="24"/>
        <v>44192</v>
      </c>
      <c r="C155">
        <f t="shared" si="24"/>
        <v>144</v>
      </c>
      <c r="D155">
        <f t="shared" ca="1" si="21"/>
        <v>1</v>
      </c>
      <c r="E155" s="2">
        <f t="shared" ca="1" si="25"/>
        <v>0</v>
      </c>
      <c r="F155" s="2">
        <f t="shared" ca="1" si="18"/>
        <v>0</v>
      </c>
      <c r="G155" s="2">
        <f t="shared" ca="1" si="26"/>
        <v>20.155706550821947</v>
      </c>
      <c r="H155" s="2">
        <f t="shared" ca="1" si="22"/>
        <v>0</v>
      </c>
      <c r="I155" s="2">
        <f t="shared" ca="1" si="23"/>
        <v>0</v>
      </c>
    </row>
    <row r="156" spans="2:9" x14ac:dyDescent="0.2">
      <c r="B156" s="4">
        <f t="shared" ca="1" si="24"/>
        <v>44193</v>
      </c>
      <c r="C156">
        <f t="shared" si="24"/>
        <v>145</v>
      </c>
      <c r="D156">
        <f t="shared" ca="1" si="21"/>
        <v>2</v>
      </c>
      <c r="E156" s="2">
        <f t="shared" ca="1" si="25"/>
        <v>0</v>
      </c>
      <c r="F156" s="2">
        <f t="shared" ca="1" si="18"/>
        <v>0</v>
      </c>
      <c r="G156" s="2">
        <f t="shared" ca="1" si="26"/>
        <v>20.155706550821947</v>
      </c>
      <c r="H156" s="2">
        <f t="shared" ca="1" si="22"/>
        <v>0</v>
      </c>
      <c r="I156" s="2">
        <f t="shared" ca="1" si="23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1"/>
        <v>3</v>
      </c>
      <c r="E157" s="2">
        <f t="shared" ca="1" si="25"/>
        <v>0</v>
      </c>
      <c r="F157" s="2">
        <f t="shared" ca="1" si="18"/>
        <v>0</v>
      </c>
      <c r="G157" s="2">
        <f t="shared" ca="1" si="26"/>
        <v>20.155706550821947</v>
      </c>
      <c r="H157" s="2">
        <f t="shared" ca="1" si="22"/>
        <v>0</v>
      </c>
      <c r="I157" s="2">
        <f t="shared" ca="1" si="23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1"/>
        <v>4</v>
      </c>
      <c r="E158" s="2">
        <f t="shared" ca="1" si="25"/>
        <v>0</v>
      </c>
      <c r="F158" s="2">
        <f t="shared" ca="1" si="18"/>
        <v>0</v>
      </c>
      <c r="G158" s="2">
        <f t="shared" ca="1" si="26"/>
        <v>20.155706550821947</v>
      </c>
      <c r="H158" s="2">
        <f t="shared" ca="1" si="22"/>
        <v>0</v>
      </c>
      <c r="I158" s="2">
        <f t="shared" ca="1" si="23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1"/>
        <v>5</v>
      </c>
      <c r="E159" s="2">
        <f t="shared" ca="1" si="25"/>
        <v>0</v>
      </c>
      <c r="F159" s="2">
        <f t="shared" ca="1" si="18"/>
        <v>0</v>
      </c>
      <c r="G159" s="2">
        <f t="shared" ca="1" si="26"/>
        <v>20.155706550821947</v>
      </c>
      <c r="H159" s="2">
        <f t="shared" ca="1" si="22"/>
        <v>0</v>
      </c>
      <c r="I159" s="2">
        <f t="shared" ca="1" si="23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1"/>
        <v>6</v>
      </c>
      <c r="E160" s="2">
        <f t="shared" ca="1" si="25"/>
        <v>0</v>
      </c>
      <c r="F160" s="2">
        <f t="shared" ca="1" si="18"/>
        <v>0</v>
      </c>
      <c r="G160" s="2">
        <f t="shared" ca="1" si="26"/>
        <v>20.155706550821947</v>
      </c>
      <c r="H160" s="2">
        <f t="shared" ca="1" si="22"/>
        <v>0</v>
      </c>
      <c r="I160" s="2">
        <f t="shared" ca="1" si="23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1"/>
        <v>7</v>
      </c>
      <c r="E161" s="2">
        <f t="shared" ca="1" si="25"/>
        <v>0</v>
      </c>
      <c r="F161" s="2">
        <f t="shared" ca="1" si="18"/>
        <v>0</v>
      </c>
      <c r="G161" s="2">
        <f t="shared" ca="1" si="26"/>
        <v>20.155706550821947</v>
      </c>
      <c r="H161" s="2">
        <f t="shared" ca="1" si="22"/>
        <v>0</v>
      </c>
      <c r="I161" s="2">
        <f t="shared" ca="1" si="23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1"/>
        <v>1</v>
      </c>
      <c r="E162" s="2">
        <f t="shared" ca="1" si="25"/>
        <v>0</v>
      </c>
      <c r="F162" s="2">
        <f t="shared" ca="1" si="18"/>
        <v>0</v>
      </c>
      <c r="G162" s="2">
        <f t="shared" ca="1" si="26"/>
        <v>20.155706550821947</v>
      </c>
      <c r="H162" s="2">
        <f t="shared" ca="1" si="22"/>
        <v>0</v>
      </c>
      <c r="I162" s="2">
        <f t="shared" ca="1" si="23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1"/>
        <v>2</v>
      </c>
      <c r="E163" s="2">
        <f t="shared" ca="1" si="25"/>
        <v>0</v>
      </c>
      <c r="F163" s="2">
        <f t="shared" ca="1" si="18"/>
        <v>0</v>
      </c>
      <c r="G163" s="2">
        <f t="shared" ca="1" si="26"/>
        <v>20.155706550821947</v>
      </c>
      <c r="H163" s="2">
        <f t="shared" ca="1" si="22"/>
        <v>0</v>
      </c>
      <c r="I163" s="2">
        <f t="shared" ca="1" si="23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1"/>
        <v>3</v>
      </c>
      <c r="E164" s="2">
        <f t="shared" ca="1" si="25"/>
        <v>0</v>
      </c>
      <c r="F164" s="2">
        <f t="shared" ref="F164:F211" ca="1" si="28">IF(C164&gt;$C$7,0,IF(ROUND(E164,0)&gt;0,IF(C164=0,0,IF(DAY($F$2)&lt;&gt;DAY(B164),0,$C$8)),0))</f>
        <v>0</v>
      </c>
      <c r="G164" s="2">
        <f t="shared" ca="1" si="26"/>
        <v>20.155706550821947</v>
      </c>
      <c r="H164" s="2">
        <f t="shared" ca="1" si="22"/>
        <v>0</v>
      </c>
      <c r="I164" s="2">
        <f t="shared" ca="1" si="23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1"/>
        <v>4</v>
      </c>
      <c r="E165" s="2">
        <f t="shared" ca="1" si="25"/>
        <v>0</v>
      </c>
      <c r="F165" s="2">
        <f t="shared" ca="1" si="28"/>
        <v>0</v>
      </c>
      <c r="G165" s="2">
        <f t="shared" ca="1" si="26"/>
        <v>20.155706550821947</v>
      </c>
      <c r="H165" s="2">
        <f t="shared" ca="1" si="22"/>
        <v>0</v>
      </c>
      <c r="I165" s="2">
        <f t="shared" ca="1" si="23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1"/>
        <v>5</v>
      </c>
      <c r="E166" s="2">
        <f t="shared" ca="1" si="25"/>
        <v>0</v>
      </c>
      <c r="F166" s="2">
        <f t="shared" ca="1" si="28"/>
        <v>0</v>
      </c>
      <c r="G166" s="2">
        <f t="shared" ca="1" si="26"/>
        <v>20.155706550821947</v>
      </c>
      <c r="H166" s="2">
        <f t="shared" ca="1" si="22"/>
        <v>0</v>
      </c>
      <c r="I166" s="2">
        <f t="shared" ca="1" si="23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1"/>
        <v>6</v>
      </c>
      <c r="E167" s="2">
        <f t="shared" ca="1" si="25"/>
        <v>0</v>
      </c>
      <c r="F167" s="2">
        <f t="shared" ca="1" si="28"/>
        <v>0</v>
      </c>
      <c r="G167" s="2">
        <f t="shared" ca="1" si="26"/>
        <v>20.155706550821947</v>
      </c>
      <c r="H167" s="2">
        <f t="shared" ca="1" si="22"/>
        <v>0</v>
      </c>
      <c r="I167" s="2">
        <f t="shared" ca="1" si="23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1"/>
        <v>7</v>
      </c>
      <c r="E168" s="2">
        <f t="shared" ca="1" si="25"/>
        <v>0</v>
      </c>
      <c r="F168" s="2">
        <f t="shared" ca="1" si="28"/>
        <v>0</v>
      </c>
      <c r="G168" s="2">
        <f t="shared" ca="1" si="26"/>
        <v>20.155706550821947</v>
      </c>
      <c r="H168" s="2">
        <f t="shared" ca="1" si="22"/>
        <v>0</v>
      </c>
      <c r="I168" s="2">
        <f t="shared" ca="1" si="23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1"/>
        <v>1</v>
      </c>
      <c r="E169" s="2">
        <f t="shared" ca="1" si="25"/>
        <v>0</v>
      </c>
      <c r="F169" s="2">
        <f t="shared" ca="1" si="28"/>
        <v>0</v>
      </c>
      <c r="G169" s="2">
        <f t="shared" ca="1" si="26"/>
        <v>20.155706550821947</v>
      </c>
      <c r="H169" s="2">
        <f t="shared" ca="1" si="22"/>
        <v>0</v>
      </c>
      <c r="I169" s="2">
        <f t="shared" ca="1" si="23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1"/>
        <v>2</v>
      </c>
      <c r="E170" s="2">
        <f t="shared" ca="1" si="25"/>
        <v>0</v>
      </c>
      <c r="F170" s="2">
        <f t="shared" ca="1" si="28"/>
        <v>0</v>
      </c>
      <c r="G170" s="2">
        <f t="shared" ca="1" si="26"/>
        <v>20.155706550821947</v>
      </c>
      <c r="H170" s="2">
        <f t="shared" ca="1" si="22"/>
        <v>0</v>
      </c>
      <c r="I170" s="2">
        <f t="shared" ca="1" si="23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1"/>
        <v>3</v>
      </c>
      <c r="E171" s="2">
        <f t="shared" ca="1" si="25"/>
        <v>0</v>
      </c>
      <c r="F171" s="2">
        <f t="shared" ca="1" si="28"/>
        <v>0</v>
      </c>
      <c r="G171" s="2">
        <f t="shared" ca="1" si="26"/>
        <v>20.155706550821947</v>
      </c>
      <c r="H171" s="2">
        <f t="shared" ca="1" si="22"/>
        <v>0</v>
      </c>
      <c r="I171" s="2">
        <f t="shared" ca="1" si="23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1"/>
        <v>4</v>
      </c>
      <c r="E172" s="2">
        <f t="shared" ca="1" si="25"/>
        <v>0</v>
      </c>
      <c r="F172" s="2">
        <f t="shared" ca="1" si="28"/>
        <v>0</v>
      </c>
      <c r="G172" s="2">
        <f t="shared" ca="1" si="26"/>
        <v>20.155706550821947</v>
      </c>
      <c r="H172" s="2">
        <f t="shared" ca="1" si="22"/>
        <v>0</v>
      </c>
      <c r="I172" s="2">
        <f t="shared" ca="1" si="23"/>
        <v>0</v>
      </c>
    </row>
    <row r="173" spans="2:9" x14ac:dyDescent="0.2">
      <c r="B173" s="4">
        <f t="shared" ref="B173:C188" ca="1" si="29">B172+1</f>
        <v>44210</v>
      </c>
      <c r="C173">
        <f t="shared" si="29"/>
        <v>162</v>
      </c>
      <c r="D173">
        <f t="shared" ca="1" si="21"/>
        <v>5</v>
      </c>
      <c r="E173" s="2">
        <f t="shared" ca="1" si="25"/>
        <v>0</v>
      </c>
      <c r="F173" s="2">
        <f t="shared" ca="1" si="28"/>
        <v>0</v>
      </c>
      <c r="G173" s="2">
        <f t="shared" ca="1" si="26"/>
        <v>20.155706550821947</v>
      </c>
      <c r="H173" s="2">
        <f t="shared" ca="1" si="22"/>
        <v>0</v>
      </c>
      <c r="I173" s="2">
        <f t="shared" ca="1" si="23"/>
        <v>0</v>
      </c>
    </row>
    <row r="174" spans="2:9" x14ac:dyDescent="0.2">
      <c r="B174" s="4">
        <f t="shared" ca="1" si="29"/>
        <v>44211</v>
      </c>
      <c r="C174">
        <f t="shared" si="29"/>
        <v>163</v>
      </c>
      <c r="D174">
        <f t="shared" ca="1" si="21"/>
        <v>6</v>
      </c>
      <c r="E174" s="2">
        <f t="shared" ca="1" si="25"/>
        <v>0</v>
      </c>
      <c r="F174" s="2">
        <f t="shared" ca="1" si="28"/>
        <v>0</v>
      </c>
      <c r="G174" s="2">
        <f t="shared" ca="1" si="26"/>
        <v>20.155706550821947</v>
      </c>
      <c r="H174" s="2">
        <f t="shared" ca="1" si="22"/>
        <v>0</v>
      </c>
      <c r="I174" s="2">
        <f t="shared" ca="1" si="23"/>
        <v>0</v>
      </c>
    </row>
    <row r="175" spans="2:9" x14ac:dyDescent="0.2">
      <c r="B175" s="4">
        <f t="shared" ca="1" si="29"/>
        <v>44212</v>
      </c>
      <c r="C175">
        <f t="shared" si="29"/>
        <v>164</v>
      </c>
      <c r="D175">
        <f t="shared" ca="1" si="21"/>
        <v>7</v>
      </c>
      <c r="E175" s="2">
        <f t="shared" ca="1" si="25"/>
        <v>0</v>
      </c>
      <c r="F175" s="2">
        <f t="shared" ca="1" si="28"/>
        <v>0</v>
      </c>
      <c r="G175" s="2">
        <f t="shared" ca="1" si="26"/>
        <v>20.155706550821947</v>
      </c>
      <c r="H175" s="2">
        <f t="shared" ca="1" si="22"/>
        <v>0</v>
      </c>
      <c r="I175" s="2">
        <f t="shared" ca="1" si="23"/>
        <v>0</v>
      </c>
    </row>
    <row r="176" spans="2:9" x14ac:dyDescent="0.2">
      <c r="B176" s="4">
        <f t="shared" ca="1" si="29"/>
        <v>44213</v>
      </c>
      <c r="C176">
        <f t="shared" si="29"/>
        <v>165</v>
      </c>
      <c r="D176">
        <f t="shared" ca="1" si="21"/>
        <v>1</v>
      </c>
      <c r="E176" s="2">
        <f t="shared" ca="1" si="25"/>
        <v>0</v>
      </c>
      <c r="F176" s="2">
        <f t="shared" ca="1" si="28"/>
        <v>0</v>
      </c>
      <c r="G176" s="2">
        <f t="shared" ca="1" si="26"/>
        <v>20.155706550821947</v>
      </c>
      <c r="H176" s="2">
        <f t="shared" ca="1" si="22"/>
        <v>0</v>
      </c>
      <c r="I176" s="2">
        <f t="shared" ca="1" si="23"/>
        <v>0</v>
      </c>
    </row>
    <row r="177" spans="2:9" x14ac:dyDescent="0.2">
      <c r="B177" s="4">
        <f t="shared" ca="1" si="29"/>
        <v>44214</v>
      </c>
      <c r="C177">
        <f t="shared" si="29"/>
        <v>166</v>
      </c>
      <c r="D177">
        <f t="shared" ca="1" si="21"/>
        <v>2</v>
      </c>
      <c r="E177" s="2">
        <f t="shared" ca="1" si="25"/>
        <v>0</v>
      </c>
      <c r="F177" s="2">
        <f t="shared" ca="1" si="28"/>
        <v>0</v>
      </c>
      <c r="G177" s="2">
        <f t="shared" ca="1" si="26"/>
        <v>20.155706550821947</v>
      </c>
      <c r="H177" s="2">
        <f t="shared" ca="1" si="22"/>
        <v>0</v>
      </c>
      <c r="I177" s="2">
        <f t="shared" ca="1" si="23"/>
        <v>0</v>
      </c>
    </row>
    <row r="178" spans="2:9" x14ac:dyDescent="0.2">
      <c r="B178" s="4">
        <f t="shared" ca="1" si="29"/>
        <v>44215</v>
      </c>
      <c r="C178">
        <f t="shared" si="29"/>
        <v>167</v>
      </c>
      <c r="D178">
        <f t="shared" ca="1" si="21"/>
        <v>3</v>
      </c>
      <c r="E178" s="2">
        <f t="shared" ca="1" si="25"/>
        <v>0</v>
      </c>
      <c r="F178" s="2">
        <f t="shared" ca="1" si="28"/>
        <v>0</v>
      </c>
      <c r="G178" s="2">
        <f t="shared" ca="1" si="26"/>
        <v>20.155706550821947</v>
      </c>
      <c r="H178" s="2">
        <f t="shared" ca="1" si="22"/>
        <v>0</v>
      </c>
      <c r="I178" s="2">
        <f t="shared" ca="1" si="23"/>
        <v>0</v>
      </c>
    </row>
    <row r="179" spans="2:9" x14ac:dyDescent="0.2">
      <c r="B179" s="4">
        <f t="shared" ca="1" si="29"/>
        <v>44216</v>
      </c>
      <c r="C179">
        <f t="shared" si="29"/>
        <v>168</v>
      </c>
      <c r="D179">
        <f t="shared" ca="1" si="21"/>
        <v>4</v>
      </c>
      <c r="E179" s="2">
        <f t="shared" ca="1" si="25"/>
        <v>0</v>
      </c>
      <c r="F179" s="2">
        <f t="shared" ca="1" si="28"/>
        <v>0</v>
      </c>
      <c r="G179" s="2">
        <f t="shared" ca="1" si="26"/>
        <v>20.155706550821947</v>
      </c>
      <c r="H179" s="2">
        <f t="shared" ca="1" si="22"/>
        <v>0</v>
      </c>
      <c r="I179" s="2">
        <f t="shared" ca="1" si="23"/>
        <v>0</v>
      </c>
    </row>
    <row r="180" spans="2:9" x14ac:dyDescent="0.2">
      <c r="B180" s="4">
        <f t="shared" ca="1" si="29"/>
        <v>44217</v>
      </c>
      <c r="C180">
        <f t="shared" si="29"/>
        <v>169</v>
      </c>
      <c r="D180">
        <f t="shared" ca="1" si="21"/>
        <v>5</v>
      </c>
      <c r="E180" s="2">
        <f t="shared" ca="1" si="25"/>
        <v>0</v>
      </c>
      <c r="F180" s="2">
        <f t="shared" ca="1" si="28"/>
        <v>0</v>
      </c>
      <c r="G180" s="2">
        <f t="shared" ca="1" si="26"/>
        <v>20.155706550821947</v>
      </c>
      <c r="H180" s="2">
        <f t="shared" ca="1" si="22"/>
        <v>0</v>
      </c>
      <c r="I180" s="2">
        <f t="shared" ca="1" si="23"/>
        <v>0</v>
      </c>
    </row>
    <row r="181" spans="2:9" x14ac:dyDescent="0.2">
      <c r="B181" s="4">
        <f t="shared" ca="1" si="29"/>
        <v>44218</v>
      </c>
      <c r="C181">
        <f t="shared" si="29"/>
        <v>170</v>
      </c>
      <c r="D181">
        <f t="shared" ca="1" si="21"/>
        <v>6</v>
      </c>
      <c r="E181" s="2">
        <f t="shared" ca="1" si="25"/>
        <v>0</v>
      </c>
      <c r="F181" s="2">
        <f t="shared" ca="1" si="28"/>
        <v>0</v>
      </c>
      <c r="G181" s="2">
        <f t="shared" ca="1" si="26"/>
        <v>20.155706550821947</v>
      </c>
      <c r="H181" s="2">
        <f t="shared" ca="1" si="22"/>
        <v>0</v>
      </c>
      <c r="I181" s="2">
        <f t="shared" ca="1" si="23"/>
        <v>0</v>
      </c>
    </row>
    <row r="182" spans="2:9" x14ac:dyDescent="0.2">
      <c r="B182" s="4">
        <f t="shared" ca="1" si="29"/>
        <v>44219</v>
      </c>
      <c r="C182">
        <f t="shared" si="29"/>
        <v>171</v>
      </c>
      <c r="D182">
        <f t="shared" ca="1" si="21"/>
        <v>7</v>
      </c>
      <c r="E182" s="2">
        <f t="shared" ca="1" si="25"/>
        <v>0</v>
      </c>
      <c r="F182" s="2">
        <f t="shared" ca="1" si="28"/>
        <v>0</v>
      </c>
      <c r="G182" s="2">
        <f t="shared" ca="1" si="26"/>
        <v>20.155706550821947</v>
      </c>
      <c r="H182" s="2">
        <f t="shared" ca="1" si="22"/>
        <v>0</v>
      </c>
      <c r="I182" s="2">
        <f t="shared" ca="1" si="23"/>
        <v>0</v>
      </c>
    </row>
    <row r="183" spans="2:9" x14ac:dyDescent="0.2">
      <c r="B183" s="4">
        <f t="shared" ca="1" si="29"/>
        <v>44220</v>
      </c>
      <c r="C183">
        <f t="shared" si="29"/>
        <v>172</v>
      </c>
      <c r="D183">
        <f t="shared" ca="1" si="21"/>
        <v>1</v>
      </c>
      <c r="E183" s="2">
        <f t="shared" ca="1" si="25"/>
        <v>0</v>
      </c>
      <c r="F183" s="2">
        <f t="shared" ca="1" si="28"/>
        <v>0</v>
      </c>
      <c r="G183" s="2">
        <f t="shared" ca="1" si="26"/>
        <v>20.155706550821947</v>
      </c>
      <c r="H183" s="2">
        <f t="shared" ca="1" si="22"/>
        <v>0</v>
      </c>
      <c r="I183" s="2">
        <f t="shared" ca="1" si="23"/>
        <v>0</v>
      </c>
    </row>
    <row r="184" spans="2:9" x14ac:dyDescent="0.2">
      <c r="B184" s="4">
        <f t="shared" ca="1" si="29"/>
        <v>44221</v>
      </c>
      <c r="C184">
        <f t="shared" si="29"/>
        <v>173</v>
      </c>
      <c r="D184">
        <f t="shared" ca="1" si="21"/>
        <v>2</v>
      </c>
      <c r="E184" s="2">
        <f t="shared" ca="1" si="25"/>
        <v>0</v>
      </c>
      <c r="F184" s="2">
        <f t="shared" ca="1" si="28"/>
        <v>0</v>
      </c>
      <c r="G184" s="2">
        <f t="shared" ca="1" si="26"/>
        <v>20.155706550821947</v>
      </c>
      <c r="H184" s="2">
        <f t="shared" ca="1" si="22"/>
        <v>0</v>
      </c>
      <c r="I184" s="2">
        <f t="shared" ca="1" si="23"/>
        <v>0</v>
      </c>
    </row>
    <row r="185" spans="2:9" x14ac:dyDescent="0.2">
      <c r="B185" s="4">
        <f t="shared" ca="1" si="29"/>
        <v>44222</v>
      </c>
      <c r="C185">
        <f t="shared" si="29"/>
        <v>174</v>
      </c>
      <c r="D185">
        <f t="shared" ca="1" si="21"/>
        <v>3</v>
      </c>
      <c r="E185" s="2">
        <f t="shared" ca="1" si="25"/>
        <v>0</v>
      </c>
      <c r="F185" s="2">
        <f t="shared" ca="1" si="28"/>
        <v>0</v>
      </c>
      <c r="G185" s="2">
        <f t="shared" ca="1" si="26"/>
        <v>20.155706550821947</v>
      </c>
      <c r="H185" s="2">
        <f t="shared" ca="1" si="22"/>
        <v>0</v>
      </c>
      <c r="I185" s="2">
        <f t="shared" ca="1" si="23"/>
        <v>0</v>
      </c>
    </row>
    <row r="186" spans="2:9" x14ac:dyDescent="0.2">
      <c r="B186" s="4">
        <f t="shared" ca="1" si="29"/>
        <v>44223</v>
      </c>
      <c r="C186">
        <f t="shared" si="29"/>
        <v>175</v>
      </c>
      <c r="D186">
        <f t="shared" ca="1" si="21"/>
        <v>4</v>
      </c>
      <c r="E186" s="2">
        <f t="shared" ca="1" si="25"/>
        <v>0</v>
      </c>
      <c r="F186" s="2">
        <f t="shared" ca="1" si="28"/>
        <v>0</v>
      </c>
      <c r="G186" s="2">
        <f t="shared" ca="1" si="26"/>
        <v>20.155706550821947</v>
      </c>
      <c r="H186" s="2">
        <f t="shared" ca="1" si="22"/>
        <v>0</v>
      </c>
      <c r="I186" s="2">
        <f t="shared" ca="1" si="23"/>
        <v>0</v>
      </c>
    </row>
    <row r="187" spans="2:9" x14ac:dyDescent="0.2">
      <c r="B187" s="4">
        <f t="shared" ca="1" si="29"/>
        <v>44224</v>
      </c>
      <c r="C187">
        <f t="shared" si="29"/>
        <v>176</v>
      </c>
      <c r="D187">
        <f t="shared" ca="1" si="21"/>
        <v>5</v>
      </c>
      <c r="E187" s="2">
        <f t="shared" ca="1" si="25"/>
        <v>0</v>
      </c>
      <c r="F187" s="2">
        <f t="shared" ca="1" si="28"/>
        <v>0</v>
      </c>
      <c r="G187" s="2">
        <f t="shared" ca="1" si="26"/>
        <v>20.155706550821947</v>
      </c>
      <c r="H187" s="2">
        <f t="shared" ca="1" si="22"/>
        <v>0</v>
      </c>
      <c r="I187" s="2">
        <f t="shared" ca="1" si="23"/>
        <v>0</v>
      </c>
    </row>
    <row r="188" spans="2:9" x14ac:dyDescent="0.2">
      <c r="B188" s="4">
        <f t="shared" ca="1" si="29"/>
        <v>44225</v>
      </c>
      <c r="C188">
        <f t="shared" si="29"/>
        <v>177</v>
      </c>
      <c r="D188">
        <f t="shared" ca="1" si="21"/>
        <v>6</v>
      </c>
      <c r="E188" s="2">
        <f t="shared" ca="1" si="25"/>
        <v>0</v>
      </c>
      <c r="F188" s="2">
        <f t="shared" ca="1" si="28"/>
        <v>0</v>
      </c>
      <c r="G188" s="2">
        <f t="shared" ca="1" si="26"/>
        <v>20.155706550821947</v>
      </c>
      <c r="H188" s="2">
        <f t="shared" ca="1" si="22"/>
        <v>0</v>
      </c>
      <c r="I188" s="2">
        <f t="shared" ca="1" si="23"/>
        <v>0</v>
      </c>
    </row>
    <row r="189" spans="2:9" x14ac:dyDescent="0.2">
      <c r="B189" s="4">
        <f t="shared" ref="B189:C204" ca="1" si="30">B188+1</f>
        <v>44226</v>
      </c>
      <c r="C189">
        <f t="shared" si="30"/>
        <v>178</v>
      </c>
      <c r="D189">
        <f t="shared" ca="1" si="21"/>
        <v>7</v>
      </c>
      <c r="E189" s="2">
        <f t="shared" ca="1" si="25"/>
        <v>0</v>
      </c>
      <c r="F189" s="2">
        <f t="shared" ca="1" si="28"/>
        <v>0</v>
      </c>
      <c r="G189" s="2">
        <f t="shared" ca="1" si="26"/>
        <v>20.155706550821947</v>
      </c>
      <c r="H189" s="2">
        <f t="shared" ca="1" si="22"/>
        <v>0</v>
      </c>
      <c r="I189" s="2">
        <f t="shared" ca="1" si="23"/>
        <v>0</v>
      </c>
    </row>
    <row r="190" spans="2:9" x14ac:dyDescent="0.2">
      <c r="B190" s="4">
        <f t="shared" ca="1" si="30"/>
        <v>44227</v>
      </c>
      <c r="C190">
        <f t="shared" si="30"/>
        <v>179</v>
      </c>
      <c r="D190">
        <f t="shared" ca="1" si="21"/>
        <v>1</v>
      </c>
      <c r="E190" s="2">
        <f t="shared" ca="1" si="25"/>
        <v>0</v>
      </c>
      <c r="F190" s="2">
        <f t="shared" ca="1" si="28"/>
        <v>0</v>
      </c>
      <c r="G190" s="2">
        <f t="shared" ca="1" si="26"/>
        <v>20.155706550821947</v>
      </c>
      <c r="H190" s="2">
        <f t="shared" ca="1" si="22"/>
        <v>0</v>
      </c>
      <c r="I190" s="2">
        <f t="shared" ca="1" si="23"/>
        <v>0</v>
      </c>
    </row>
    <row r="191" spans="2:9" x14ac:dyDescent="0.2">
      <c r="B191" s="4">
        <f t="shared" ca="1" si="30"/>
        <v>44228</v>
      </c>
      <c r="C191">
        <f t="shared" si="30"/>
        <v>180</v>
      </c>
      <c r="D191">
        <f t="shared" ca="1" si="21"/>
        <v>2</v>
      </c>
      <c r="E191" s="2">
        <f t="shared" ca="1" si="25"/>
        <v>0</v>
      </c>
      <c r="F191" s="2">
        <f t="shared" ca="1" si="28"/>
        <v>0</v>
      </c>
      <c r="G191" s="2">
        <f t="shared" ca="1" si="26"/>
        <v>20.155706550821947</v>
      </c>
      <c r="H191" s="2">
        <f t="shared" ca="1" si="22"/>
        <v>0</v>
      </c>
      <c r="I191" s="2">
        <f t="shared" ca="1" si="23"/>
        <v>0</v>
      </c>
    </row>
    <row r="192" spans="2:9" x14ac:dyDescent="0.2">
      <c r="B192" s="4">
        <f t="shared" ca="1" si="30"/>
        <v>44229</v>
      </c>
      <c r="C192">
        <f t="shared" si="30"/>
        <v>181</v>
      </c>
      <c r="D192">
        <f t="shared" ca="1" si="21"/>
        <v>3</v>
      </c>
      <c r="E192" s="2">
        <f t="shared" ca="1" si="25"/>
        <v>0</v>
      </c>
      <c r="F192" s="2">
        <f t="shared" ca="1" si="28"/>
        <v>0</v>
      </c>
      <c r="G192" s="2">
        <f t="shared" ca="1" si="26"/>
        <v>20.155706550821947</v>
      </c>
      <c r="H192" s="2">
        <f t="shared" ca="1" si="22"/>
        <v>0</v>
      </c>
      <c r="I192" s="2">
        <f t="shared" ca="1" si="23"/>
        <v>0</v>
      </c>
    </row>
    <row r="193" spans="2:9" x14ac:dyDescent="0.2">
      <c r="B193" s="4">
        <f t="shared" ca="1" si="30"/>
        <v>44230</v>
      </c>
      <c r="C193">
        <f t="shared" si="30"/>
        <v>182</v>
      </c>
      <c r="D193">
        <f t="shared" ca="1" si="21"/>
        <v>4</v>
      </c>
      <c r="E193" s="2">
        <f t="shared" ca="1" si="25"/>
        <v>0</v>
      </c>
      <c r="F193" s="2">
        <f t="shared" ca="1" si="28"/>
        <v>0</v>
      </c>
      <c r="G193" s="2">
        <f t="shared" ca="1" si="26"/>
        <v>20.155706550821947</v>
      </c>
      <c r="H193" s="2">
        <f t="shared" ca="1" si="22"/>
        <v>0</v>
      </c>
      <c r="I193" s="2">
        <f t="shared" ca="1" si="23"/>
        <v>0</v>
      </c>
    </row>
    <row r="194" spans="2:9" x14ac:dyDescent="0.2">
      <c r="B194" s="4">
        <f t="shared" ca="1" si="30"/>
        <v>44231</v>
      </c>
      <c r="C194">
        <f t="shared" si="30"/>
        <v>183</v>
      </c>
      <c r="D194">
        <f t="shared" ca="1" si="21"/>
        <v>5</v>
      </c>
      <c r="E194" s="2">
        <f t="shared" ca="1" si="25"/>
        <v>0</v>
      </c>
      <c r="F194" s="2">
        <f t="shared" ca="1" si="28"/>
        <v>0</v>
      </c>
      <c r="G194" s="2">
        <f t="shared" ca="1" si="26"/>
        <v>20.155706550821947</v>
      </c>
      <c r="H194" s="2">
        <f t="shared" ca="1" si="22"/>
        <v>0</v>
      </c>
      <c r="I194" s="2">
        <f t="shared" ca="1" si="23"/>
        <v>0</v>
      </c>
    </row>
    <row r="195" spans="2:9" x14ac:dyDescent="0.2">
      <c r="B195" s="4">
        <f t="shared" ca="1" si="30"/>
        <v>44232</v>
      </c>
      <c r="C195">
        <f t="shared" si="30"/>
        <v>184</v>
      </c>
      <c r="D195">
        <f t="shared" ca="1" si="21"/>
        <v>6</v>
      </c>
      <c r="E195" s="2">
        <f t="shared" ca="1" si="25"/>
        <v>0</v>
      </c>
      <c r="F195" s="2">
        <f t="shared" ca="1" si="28"/>
        <v>0</v>
      </c>
      <c r="G195" s="2">
        <f t="shared" ca="1" si="26"/>
        <v>20.155706550821947</v>
      </c>
      <c r="H195" s="2">
        <f t="shared" ca="1" si="22"/>
        <v>0</v>
      </c>
      <c r="I195" s="2">
        <f t="shared" ca="1" si="23"/>
        <v>0</v>
      </c>
    </row>
    <row r="196" spans="2:9" x14ac:dyDescent="0.2">
      <c r="B196" s="4">
        <f t="shared" ca="1" si="30"/>
        <v>44233</v>
      </c>
      <c r="C196">
        <f t="shared" si="30"/>
        <v>185</v>
      </c>
      <c r="D196">
        <f t="shared" ca="1" si="21"/>
        <v>7</v>
      </c>
      <c r="E196" s="2">
        <f t="shared" ca="1" si="25"/>
        <v>0</v>
      </c>
      <c r="F196" s="2">
        <f t="shared" ca="1" si="28"/>
        <v>0</v>
      </c>
      <c r="G196" s="2">
        <f t="shared" ca="1" si="26"/>
        <v>20.155706550821947</v>
      </c>
      <c r="H196" s="2">
        <f t="shared" ca="1" si="22"/>
        <v>0</v>
      </c>
      <c r="I196" s="2">
        <f t="shared" ca="1" si="23"/>
        <v>0</v>
      </c>
    </row>
    <row r="197" spans="2:9" x14ac:dyDescent="0.2">
      <c r="B197" s="4">
        <f t="shared" ca="1" si="30"/>
        <v>44234</v>
      </c>
      <c r="C197">
        <f t="shared" si="30"/>
        <v>186</v>
      </c>
      <c r="D197">
        <f t="shared" ca="1" si="21"/>
        <v>1</v>
      </c>
      <c r="E197" s="2">
        <f t="shared" ca="1" si="25"/>
        <v>0</v>
      </c>
      <c r="F197" s="2">
        <f t="shared" ca="1" si="28"/>
        <v>0</v>
      </c>
      <c r="G197" s="2">
        <f t="shared" ca="1" si="26"/>
        <v>20.155706550821947</v>
      </c>
      <c r="H197" s="2">
        <f t="shared" ca="1" si="22"/>
        <v>0</v>
      </c>
      <c r="I197" s="2">
        <f t="shared" ca="1" si="23"/>
        <v>0</v>
      </c>
    </row>
    <row r="198" spans="2:9" x14ac:dyDescent="0.2">
      <c r="B198" s="4">
        <f t="shared" ca="1" si="30"/>
        <v>44235</v>
      </c>
      <c r="C198">
        <f t="shared" si="30"/>
        <v>187</v>
      </c>
      <c r="D198">
        <f t="shared" ca="1" si="21"/>
        <v>2</v>
      </c>
      <c r="E198" s="2">
        <f t="shared" ca="1" si="25"/>
        <v>0</v>
      </c>
      <c r="F198" s="2">
        <f t="shared" ca="1" si="28"/>
        <v>0</v>
      </c>
      <c r="G198" s="2">
        <f t="shared" ca="1" si="26"/>
        <v>20.155706550821947</v>
      </c>
      <c r="H198" s="2">
        <f t="shared" ca="1" si="22"/>
        <v>0</v>
      </c>
      <c r="I198" s="2">
        <f t="shared" ca="1" si="23"/>
        <v>0</v>
      </c>
    </row>
    <row r="199" spans="2:9" x14ac:dyDescent="0.2">
      <c r="B199" s="4">
        <f t="shared" ca="1" si="30"/>
        <v>44236</v>
      </c>
      <c r="C199">
        <f t="shared" si="30"/>
        <v>188</v>
      </c>
      <c r="D199">
        <f t="shared" ca="1" si="21"/>
        <v>3</v>
      </c>
      <c r="E199" s="2">
        <f t="shared" ca="1" si="25"/>
        <v>0</v>
      </c>
      <c r="F199" s="2">
        <f t="shared" ca="1" si="28"/>
        <v>0</v>
      </c>
      <c r="G199" s="2">
        <f t="shared" ca="1" si="26"/>
        <v>20.155706550821947</v>
      </c>
      <c r="H199" s="2">
        <f t="shared" ca="1" si="22"/>
        <v>0</v>
      </c>
      <c r="I199" s="2">
        <f t="shared" ca="1" si="23"/>
        <v>0</v>
      </c>
    </row>
    <row r="200" spans="2:9" x14ac:dyDescent="0.2">
      <c r="B200" s="4">
        <f t="shared" ca="1" si="30"/>
        <v>44237</v>
      </c>
      <c r="C200">
        <f t="shared" si="30"/>
        <v>189</v>
      </c>
      <c r="D200">
        <f t="shared" ca="1" si="21"/>
        <v>4</v>
      </c>
      <c r="E200" s="2">
        <f t="shared" ca="1" si="25"/>
        <v>0</v>
      </c>
      <c r="F200" s="2">
        <f t="shared" ca="1" si="28"/>
        <v>0</v>
      </c>
      <c r="G200" s="2">
        <f t="shared" ca="1" si="26"/>
        <v>20.155706550821947</v>
      </c>
      <c r="H200" s="2">
        <f t="shared" ca="1" si="22"/>
        <v>0</v>
      </c>
      <c r="I200" s="2">
        <f t="shared" ca="1" si="23"/>
        <v>0</v>
      </c>
    </row>
    <row r="201" spans="2:9" x14ac:dyDescent="0.2">
      <c r="B201" s="4">
        <f t="shared" ca="1" si="30"/>
        <v>44238</v>
      </c>
      <c r="C201">
        <f t="shared" si="30"/>
        <v>190</v>
      </c>
      <c r="D201">
        <f t="shared" ca="1" si="21"/>
        <v>5</v>
      </c>
      <c r="E201" s="2">
        <f t="shared" ca="1" si="25"/>
        <v>0</v>
      </c>
      <c r="F201" s="2">
        <f t="shared" ca="1" si="28"/>
        <v>0</v>
      </c>
      <c r="G201" s="2">
        <f t="shared" ca="1" si="26"/>
        <v>20.155706550821947</v>
      </c>
      <c r="H201" s="2">
        <f t="shared" ca="1" si="22"/>
        <v>0</v>
      </c>
      <c r="I201" s="2">
        <f t="shared" ca="1" si="23"/>
        <v>0</v>
      </c>
    </row>
    <row r="202" spans="2:9" x14ac:dyDescent="0.2">
      <c r="B202" s="4">
        <f t="shared" ca="1" si="30"/>
        <v>44239</v>
      </c>
      <c r="C202">
        <f t="shared" si="30"/>
        <v>191</v>
      </c>
      <c r="D202">
        <f t="shared" ca="1" si="21"/>
        <v>6</v>
      </c>
      <c r="E202" s="2">
        <f t="shared" ca="1" si="25"/>
        <v>0</v>
      </c>
      <c r="F202" s="2">
        <f t="shared" ca="1" si="28"/>
        <v>0</v>
      </c>
      <c r="G202" s="2">
        <f t="shared" ca="1" si="26"/>
        <v>20.155706550821947</v>
      </c>
      <c r="H202" s="2">
        <f t="shared" ca="1" si="22"/>
        <v>0</v>
      </c>
      <c r="I202" s="2">
        <f t="shared" ca="1" si="23"/>
        <v>0</v>
      </c>
    </row>
    <row r="203" spans="2:9" x14ac:dyDescent="0.2">
      <c r="B203" s="4">
        <f t="shared" ca="1" si="30"/>
        <v>44240</v>
      </c>
      <c r="C203">
        <f t="shared" si="30"/>
        <v>192</v>
      </c>
      <c r="D203">
        <f t="shared" ca="1" si="21"/>
        <v>7</v>
      </c>
      <c r="E203" s="2">
        <f t="shared" ca="1" si="25"/>
        <v>0</v>
      </c>
      <c r="F203" s="2">
        <f t="shared" ca="1" si="28"/>
        <v>0</v>
      </c>
      <c r="G203" s="2">
        <f t="shared" ca="1" si="26"/>
        <v>20.155706550821947</v>
      </c>
      <c r="H203" s="2">
        <f t="shared" ca="1" si="22"/>
        <v>0</v>
      </c>
      <c r="I203" s="2">
        <f t="shared" ca="1" si="23"/>
        <v>0</v>
      </c>
    </row>
    <row r="204" spans="2:9" x14ac:dyDescent="0.2">
      <c r="B204" s="4">
        <f t="shared" ca="1" si="30"/>
        <v>44241</v>
      </c>
      <c r="C204">
        <f t="shared" si="30"/>
        <v>193</v>
      </c>
      <c r="D204">
        <f t="shared" ref="D204:D211" ca="1" si="31">WEEKDAY(B204,1)</f>
        <v>1</v>
      </c>
      <c r="E204" s="2">
        <f t="shared" ca="1" si="25"/>
        <v>0</v>
      </c>
      <c r="F204" s="2">
        <f t="shared" ca="1" si="28"/>
        <v>0</v>
      </c>
      <c r="G204" s="2">
        <f t="shared" ca="1" si="26"/>
        <v>20.155706550821947</v>
      </c>
      <c r="H204" s="2">
        <f t="shared" ref="H204:H211" ca="1" si="32">IF(C204&gt;$C$7,0,(G204)*$C$5/365)</f>
        <v>0</v>
      </c>
      <c r="I204" s="2">
        <f t="shared" ref="I204:I211" ca="1" si="33">IF(AND(C204=0,D204=7),$C$6,IF(C204=$C$7,0,IF(C204&lt;$C$7,IF(D204=7,$C$6,0),0)))</f>
        <v>0</v>
      </c>
    </row>
    <row r="205" spans="2:9" x14ac:dyDescent="0.2">
      <c r="B205" s="4">
        <f t="shared" ref="B205:C211" ca="1" si="34">B204+1</f>
        <v>44242</v>
      </c>
      <c r="C205">
        <f t="shared" si="34"/>
        <v>194</v>
      </c>
      <c r="D205">
        <f t="shared" ca="1" si="31"/>
        <v>2</v>
      </c>
      <c r="E205" s="2">
        <f t="shared" ref="E205:E211" ca="1" si="35">IF(C205&gt;$C$7,0,G204+H204+I204)</f>
        <v>0</v>
      </c>
      <c r="F205" s="2">
        <f t="shared" ca="1" si="28"/>
        <v>0</v>
      </c>
      <c r="G205" s="2">
        <f t="shared" ref="G205:G211" ca="1" si="36">IF(C205&gt;$C$7,G204,E205-F205)</f>
        <v>20.155706550821947</v>
      </c>
      <c r="H205" s="2">
        <f t="shared" ca="1" si="32"/>
        <v>0</v>
      </c>
      <c r="I205" s="2">
        <f t="shared" ca="1" si="33"/>
        <v>0</v>
      </c>
    </row>
    <row r="206" spans="2:9" x14ac:dyDescent="0.2">
      <c r="B206" s="4">
        <f t="shared" ca="1" si="34"/>
        <v>44243</v>
      </c>
      <c r="C206">
        <f t="shared" si="34"/>
        <v>195</v>
      </c>
      <c r="D206">
        <f t="shared" ca="1" si="31"/>
        <v>3</v>
      </c>
      <c r="E206" s="2">
        <f t="shared" ca="1" si="35"/>
        <v>0</v>
      </c>
      <c r="F206" s="2">
        <f t="shared" ca="1" si="28"/>
        <v>0</v>
      </c>
      <c r="G206" s="2">
        <f t="shared" ca="1" si="36"/>
        <v>20.155706550821947</v>
      </c>
      <c r="H206" s="2">
        <f t="shared" ca="1" si="32"/>
        <v>0</v>
      </c>
      <c r="I206" s="2">
        <f t="shared" ca="1" si="33"/>
        <v>0</v>
      </c>
    </row>
    <row r="207" spans="2:9" x14ac:dyDescent="0.2">
      <c r="B207" s="4">
        <f t="shared" ca="1" si="34"/>
        <v>44244</v>
      </c>
      <c r="C207">
        <f t="shared" si="34"/>
        <v>196</v>
      </c>
      <c r="D207">
        <f t="shared" ca="1" si="31"/>
        <v>4</v>
      </c>
      <c r="E207" s="2">
        <f t="shared" ca="1" si="35"/>
        <v>0</v>
      </c>
      <c r="F207" s="2">
        <f t="shared" ca="1" si="28"/>
        <v>0</v>
      </c>
      <c r="G207" s="2">
        <f t="shared" ca="1" si="36"/>
        <v>20.155706550821947</v>
      </c>
      <c r="H207" s="2">
        <f t="shared" ca="1" si="32"/>
        <v>0</v>
      </c>
      <c r="I207" s="2">
        <f t="shared" ca="1" si="33"/>
        <v>0</v>
      </c>
    </row>
    <row r="208" spans="2:9" x14ac:dyDescent="0.2">
      <c r="B208" s="4">
        <f t="shared" ca="1" si="34"/>
        <v>44245</v>
      </c>
      <c r="C208">
        <f t="shared" si="34"/>
        <v>197</v>
      </c>
      <c r="D208">
        <f t="shared" ca="1" si="31"/>
        <v>5</v>
      </c>
      <c r="E208" s="2">
        <f t="shared" ca="1" si="35"/>
        <v>0</v>
      </c>
      <c r="F208" s="2">
        <f t="shared" ca="1" si="28"/>
        <v>0</v>
      </c>
      <c r="G208" s="2">
        <f t="shared" ca="1" si="36"/>
        <v>20.155706550821947</v>
      </c>
      <c r="H208" s="2">
        <f t="shared" ca="1" si="32"/>
        <v>0</v>
      </c>
      <c r="I208" s="2">
        <f t="shared" ca="1" si="33"/>
        <v>0</v>
      </c>
    </row>
    <row r="209" spans="2:9" x14ac:dyDescent="0.2">
      <c r="B209" s="4">
        <f t="shared" ca="1" si="34"/>
        <v>44246</v>
      </c>
      <c r="C209">
        <f t="shared" si="34"/>
        <v>198</v>
      </c>
      <c r="D209">
        <f t="shared" ca="1" si="31"/>
        <v>6</v>
      </c>
      <c r="E209" s="2">
        <f t="shared" ca="1" si="35"/>
        <v>0</v>
      </c>
      <c r="F209" s="2">
        <f t="shared" ca="1" si="28"/>
        <v>0</v>
      </c>
      <c r="G209" s="2">
        <f t="shared" ca="1" si="36"/>
        <v>20.155706550821947</v>
      </c>
      <c r="H209" s="2">
        <f t="shared" ca="1" si="32"/>
        <v>0</v>
      </c>
      <c r="I209" s="2">
        <f t="shared" ca="1" si="33"/>
        <v>0</v>
      </c>
    </row>
    <row r="210" spans="2:9" x14ac:dyDescent="0.2">
      <c r="B210" s="4">
        <f t="shared" ca="1" si="34"/>
        <v>44247</v>
      </c>
      <c r="C210">
        <f t="shared" si="34"/>
        <v>199</v>
      </c>
      <c r="D210">
        <f t="shared" ca="1" si="31"/>
        <v>7</v>
      </c>
      <c r="E210" s="2">
        <f t="shared" ca="1" si="35"/>
        <v>0</v>
      </c>
      <c r="F210" s="2">
        <f t="shared" ca="1" si="28"/>
        <v>0</v>
      </c>
      <c r="G210" s="2">
        <f t="shared" ca="1" si="36"/>
        <v>20.155706550821947</v>
      </c>
      <c r="H210" s="2">
        <f t="shared" ca="1" si="32"/>
        <v>0</v>
      </c>
      <c r="I210" s="2">
        <f t="shared" ca="1" si="33"/>
        <v>0</v>
      </c>
    </row>
    <row r="211" spans="2:9" x14ac:dyDescent="0.2">
      <c r="B211" s="4">
        <f t="shared" ca="1" si="34"/>
        <v>44248</v>
      </c>
      <c r="C211">
        <f t="shared" si="34"/>
        <v>200</v>
      </c>
      <c r="D211">
        <f t="shared" ca="1" si="31"/>
        <v>1</v>
      </c>
      <c r="E211" s="2">
        <f t="shared" ca="1" si="35"/>
        <v>0</v>
      </c>
      <c r="F211" s="2">
        <f t="shared" ca="1" si="28"/>
        <v>0</v>
      </c>
      <c r="G211" s="2">
        <f t="shared" ca="1" si="36"/>
        <v>20.155706550821947</v>
      </c>
      <c r="H211" s="2">
        <f t="shared" ca="1" si="32"/>
        <v>0</v>
      </c>
      <c r="I211" s="2">
        <f t="shared" ca="1" si="33"/>
        <v>0</v>
      </c>
    </row>
  </sheetData>
  <mergeCells count="2">
    <mergeCell ref="H4:I6"/>
    <mergeCell ref="E7:F8"/>
  </mergeCells>
  <conditionalFormatting sqref="B212:I700">
    <cfRule type="expression" dxfId="29" priority="5">
      <formula>$C212=$C$7</formula>
    </cfRule>
    <cfRule type="expression" dxfId="28" priority="6">
      <formula>$C212&gt;$C$7</formula>
    </cfRule>
  </conditionalFormatting>
  <conditionalFormatting sqref="E7">
    <cfRule type="cellIs" dxfId="27" priority="3" operator="equal">
      <formula>"No RESET Required"</formula>
    </cfRule>
    <cfRule type="cellIs" dxfId="26" priority="4" operator="equal">
      <formula>"RESET"</formula>
    </cfRule>
  </conditionalFormatting>
  <conditionalFormatting sqref="B11:I211">
    <cfRule type="expression" dxfId="25" priority="1">
      <formula>$C11=$C$7</formula>
    </cfRule>
    <cfRule type="expression" dxfId="24" priority="2">
      <formula>$C11&gt;$C$7</formula>
    </cfRule>
  </conditionalFormatting>
  <hyperlinks>
    <hyperlink ref="H4:I6" location="Summary!A1" display="Return to Home" xr:uid="{3F9BDE9A-850A-47EC-96C0-1CC936F88F9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152400</xdr:colOff>
                    <xdr:row>6</xdr:row>
                    <xdr:rowOff>25400</xdr:rowOff>
                  </from>
                  <to>
                    <xdr:col>8</xdr:col>
                    <xdr:colOff>1511300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7C6C3-4353-4D5A-A855-AC3CDA6B314A}">
  <sheetPr codeName="Sheet7">
    <tabColor rgb="FF00B0F0"/>
  </sheetPr>
  <dimension ref="B1:I211"/>
  <sheetViews>
    <sheetView zoomScale="135" zoomScaleNormal="85" workbookViewId="0">
      <pane ySplit="10" topLeftCell="A11" activePane="bottomLeft" state="frozen"/>
      <selection activeCell="A11" sqref="A11"/>
      <selection pane="bottomLeft" activeCell="E25" sqref="E25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6.33203125" customWidth="1"/>
    <col min="9" max="9" width="17.5" customWidth="1"/>
  </cols>
  <sheetData>
    <row r="1" spans="2:9" ht="16" thickBot="1" x14ac:dyDescent="0.25"/>
    <row r="2" spans="2:9" x14ac:dyDescent="0.2">
      <c r="B2" s="1" t="s">
        <v>0</v>
      </c>
      <c r="C2" s="13">
        <v>500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9" x14ac:dyDescent="0.2">
      <c r="B3" s="1" t="s">
        <v>2</v>
      </c>
      <c r="C3" s="11">
        <v>7</v>
      </c>
      <c r="E3" s="1" t="s">
        <v>3</v>
      </c>
      <c r="F3" s="15">
        <f ca="1">SUM(H11:H211)</f>
        <v>13.281889134857856</v>
      </c>
      <c r="H3" s="25"/>
      <c r="I3" s="26"/>
    </row>
    <row r="4" spans="2:9" ht="16" thickBot="1" x14ac:dyDescent="0.25">
      <c r="B4" s="1" t="s">
        <v>4</v>
      </c>
      <c r="C4" s="9">
        <f>C7/C3</f>
        <v>13</v>
      </c>
      <c r="E4" s="1" t="s">
        <v>5</v>
      </c>
      <c r="F4" s="15">
        <f ca="1">SUM(I11:I211)</f>
        <v>260</v>
      </c>
      <c r="H4" s="27"/>
      <c r="I4" s="28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772.86641856899075</v>
      </c>
    </row>
    <row r="6" spans="2:9" ht="16" thickBot="1" x14ac:dyDescent="0.25">
      <c r="B6" s="1" t="s">
        <v>8</v>
      </c>
      <c r="C6" s="13">
        <v>20</v>
      </c>
    </row>
    <row r="7" spans="2:9" ht="15" customHeight="1" x14ac:dyDescent="0.2">
      <c r="B7" s="1" t="s">
        <v>9</v>
      </c>
      <c r="C7" s="11">
        <v>91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59.451262966845448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500</v>
      </c>
      <c r="H11" s="2">
        <f ca="1">IF(C11&gt;$C$7,0,(G11)*$C$5/365)</f>
        <v>0.26027397260273971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500.26027397260276</v>
      </c>
      <c r="F12" s="2">
        <f ca="1">IF(C12&gt;$C$7,0,IF(ROUND(E12,0)&gt;0,IF(C12=0,0,IF(MOD(C12,$C$3)&gt;0,0,$C$8)),0))</f>
        <v>0</v>
      </c>
      <c r="G12" s="2">
        <f ca="1">IF(C12&gt;$C$7,G11,E12-F12)</f>
        <v>500.26027397260276</v>
      </c>
      <c r="H12" s="2">
        <f t="shared" ref="H12:H75" ca="1" si="1">IF(C12&gt;$C$7,0,(G12)*$C$5/365)</f>
        <v>0.26040945768436857</v>
      </c>
      <c r="I12" s="2">
        <f t="shared" ref="I12:I75" ca="1" si="2">IF(AND(C12=0,D12=7),$C$6,IF(C12=$C$7,0,IF(C12&lt;$C$7,IF(D12=7,$C$6,0),0)))</f>
        <v>0</v>
      </c>
    </row>
    <row r="13" spans="2:9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500.52068343028714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500.52068343028714</v>
      </c>
      <c r="H13" s="2">
        <f t="shared" ca="1" si="1"/>
        <v>0.26054501329247826</v>
      </c>
      <c r="I13" s="2">
        <f t="shared" ca="1" si="2"/>
        <v>0</v>
      </c>
    </row>
    <row r="14" spans="2:9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500.78122844357961</v>
      </c>
      <c r="F14" s="2">
        <f t="shared" ca="1" si="5"/>
        <v>0</v>
      </c>
      <c r="G14" s="2">
        <f t="shared" ca="1" si="6"/>
        <v>500.78122844357961</v>
      </c>
      <c r="H14" s="2">
        <f t="shared" ca="1" si="1"/>
        <v>0.26068063946378117</v>
      </c>
      <c r="I14" s="2">
        <f t="shared" ca="1" si="2"/>
        <v>20</v>
      </c>
    </row>
    <row r="15" spans="2:9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521.04190908304338</v>
      </c>
      <c r="F15" s="2">
        <f t="shared" ca="1" si="5"/>
        <v>0</v>
      </c>
      <c r="G15" s="2">
        <f t="shared" ca="1" si="6"/>
        <v>521.04190908304338</v>
      </c>
      <c r="H15" s="2">
        <f t="shared" ca="1" si="1"/>
        <v>0.27122729513911847</v>
      </c>
      <c r="I15" s="2">
        <f t="shared" ca="1" si="2"/>
        <v>0</v>
      </c>
    </row>
    <row r="16" spans="2:9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521.31313637818255</v>
      </c>
      <c r="F16" s="2">
        <f t="shared" ca="1" si="5"/>
        <v>0</v>
      </c>
      <c r="G16" s="2">
        <f t="shared" ca="1" si="6"/>
        <v>521.31313637818255</v>
      </c>
      <c r="H16" s="2">
        <f t="shared" ca="1" si="1"/>
        <v>0.27136848195028684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521.58450486013282</v>
      </c>
      <c r="F17" s="2">
        <f t="shared" ca="1" si="5"/>
        <v>0</v>
      </c>
      <c r="G17" s="2">
        <f t="shared" ca="1" si="6"/>
        <v>521.58450486013282</v>
      </c>
      <c r="H17" s="2">
        <f t="shared" ca="1" si="1"/>
        <v>0.27150974225595953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521.85601460238877</v>
      </c>
      <c r="F18" s="2">
        <f t="shared" ca="1" si="5"/>
        <v>59.451262966845448</v>
      </c>
      <c r="G18" s="2">
        <f t="shared" ca="1" si="6"/>
        <v>462.40475163554333</v>
      </c>
      <c r="H18" s="2">
        <f t="shared" ca="1" si="1"/>
        <v>0.24070384331713215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462.64545547886047</v>
      </c>
      <c r="F19" s="2">
        <f t="shared" ca="1" si="5"/>
        <v>0</v>
      </c>
      <c r="G19" s="2">
        <f t="shared" ca="1" si="6"/>
        <v>462.64545547886047</v>
      </c>
      <c r="H19" s="2">
        <f t="shared" ca="1" si="1"/>
        <v>0.24082914120817395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462.88628462006864</v>
      </c>
      <c r="F20" s="2">
        <f t="shared" ca="1" si="5"/>
        <v>0</v>
      </c>
      <c r="G20" s="2">
        <f t="shared" ca="1" si="6"/>
        <v>462.88628462006864</v>
      </c>
      <c r="H20" s="2">
        <f t="shared" ca="1" si="1"/>
        <v>0.24095450432277549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463.12723912439139</v>
      </c>
      <c r="F21" s="2">
        <f t="shared" ca="1" si="5"/>
        <v>0</v>
      </c>
      <c r="G21" s="2">
        <f t="shared" ca="1" si="6"/>
        <v>463.12723912439139</v>
      </c>
      <c r="H21" s="2">
        <f t="shared" ca="1" si="1"/>
        <v>0.24107993269488867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483.3683190570863</v>
      </c>
      <c r="F22" s="2">
        <f t="shared" ca="1" si="5"/>
        <v>0</v>
      </c>
      <c r="G22" s="2">
        <f t="shared" ca="1" si="6"/>
        <v>483.3683190570863</v>
      </c>
      <c r="H22" s="2">
        <f t="shared" ca="1" si="1"/>
        <v>0.25161638526259289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483.61993544234889</v>
      </c>
      <c r="F23" s="2">
        <f t="shared" ca="1" si="5"/>
        <v>0</v>
      </c>
      <c r="G23" s="2">
        <f t="shared" ca="1" si="6"/>
        <v>483.61993544234889</v>
      </c>
      <c r="H23" s="2">
        <f t="shared" ca="1" si="1"/>
        <v>0.25174736365492134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483.87168280600383</v>
      </c>
      <c r="F24" s="2">
        <f t="shared" ca="1" si="5"/>
        <v>0</v>
      </c>
      <c r="G24" s="2">
        <f t="shared" ca="1" si="6"/>
        <v>483.87168280600383</v>
      </c>
      <c r="H24" s="2">
        <f t="shared" ca="1" si="1"/>
        <v>0.25187841022778279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484.12356121623162</v>
      </c>
      <c r="F25" s="2">
        <f t="shared" ca="1" si="5"/>
        <v>59.451262966845448</v>
      </c>
      <c r="G25" s="2">
        <f t="shared" ca="1" si="6"/>
        <v>424.67229824938619</v>
      </c>
      <c r="H25" s="2">
        <f t="shared" ca="1" si="1"/>
        <v>0.22106229223940652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424.89336054162561</v>
      </c>
      <c r="F26" s="2">
        <f t="shared" ca="1" si="5"/>
        <v>0</v>
      </c>
      <c r="G26" s="2">
        <f t="shared" ca="1" si="6"/>
        <v>424.89336054162561</v>
      </c>
      <c r="H26" s="2">
        <f t="shared" ca="1" si="1"/>
        <v>0.22117736576139418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425.11453790738699</v>
      </c>
      <c r="F27" s="2">
        <f t="shared" ca="1" si="5"/>
        <v>0</v>
      </c>
      <c r="G27" s="2">
        <f t="shared" ca="1" si="6"/>
        <v>425.11453790738699</v>
      </c>
      <c r="H27" s="2">
        <f t="shared" ca="1" si="1"/>
        <v>0.22129249918466717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425.33583040657163</v>
      </c>
      <c r="F28" s="2">
        <f t="shared" ca="1" si="5"/>
        <v>0</v>
      </c>
      <c r="G28" s="2">
        <f t="shared" ca="1" si="6"/>
        <v>425.33583040657163</v>
      </c>
      <c r="H28" s="2">
        <f t="shared" ca="1" si="1"/>
        <v>0.22140769254040715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445.55723809911206</v>
      </c>
      <c r="F29" s="2">
        <f t="shared" ca="1" si="5"/>
        <v>0</v>
      </c>
      <c r="G29" s="2">
        <f t="shared" ca="1" si="6"/>
        <v>445.55723809911206</v>
      </c>
      <c r="H29" s="2">
        <f t="shared" ca="1" si="1"/>
        <v>0.23193390476392134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445.78917200387599</v>
      </c>
      <c r="F30" s="2">
        <f t="shared" ca="1" si="5"/>
        <v>0</v>
      </c>
      <c r="G30" s="2">
        <f t="shared" ca="1" si="6"/>
        <v>445.78917200387599</v>
      </c>
      <c r="H30" s="2">
        <f t="shared" ca="1" si="1"/>
        <v>0.23205463748146971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446.02122664135749</v>
      </c>
      <c r="F31" s="2">
        <f t="shared" ca="1" si="5"/>
        <v>0</v>
      </c>
      <c r="G31" s="2">
        <f t="shared" ca="1" si="6"/>
        <v>446.02122664135749</v>
      </c>
      <c r="H31" s="2">
        <f t="shared" ca="1" si="1"/>
        <v>0.23217543304618607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446.25340207440365</v>
      </c>
      <c r="F32" s="2">
        <f t="shared" ca="1" si="5"/>
        <v>59.451262966845448</v>
      </c>
      <c r="G32" s="2">
        <f t="shared" ca="1" si="6"/>
        <v>386.80213910755822</v>
      </c>
      <c r="H32" s="2">
        <f t="shared" ca="1" si="1"/>
        <v>0.20134905871352346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387.00348816627172</v>
      </c>
      <c r="F33" s="2">
        <f t="shared" ca="1" si="5"/>
        <v>0</v>
      </c>
      <c r="G33" s="2">
        <f t="shared" ca="1" si="6"/>
        <v>387.00348816627172</v>
      </c>
      <c r="H33" s="2">
        <f t="shared" ca="1" si="1"/>
        <v>0.20145387055230585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387.20494203682404</v>
      </c>
      <c r="F34" s="2">
        <f t="shared" ca="1" si="5"/>
        <v>0</v>
      </c>
      <c r="G34" s="2">
        <f t="shared" ca="1" si="6"/>
        <v>387.20494203682404</v>
      </c>
      <c r="H34" s="2">
        <f t="shared" ca="1" si="1"/>
        <v>0.20155873695067553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387.40650077377472</v>
      </c>
      <c r="F35" s="2">
        <f t="shared" ca="1" si="5"/>
        <v>0</v>
      </c>
      <c r="G35" s="2">
        <f t="shared" ca="1" si="6"/>
        <v>387.40650077377472</v>
      </c>
      <c r="H35" s="2">
        <f t="shared" ca="1" si="1"/>
        <v>0.20166365793703339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407.60816443171177</v>
      </c>
      <c r="F36" s="2">
        <f t="shared" ca="1" si="5"/>
        <v>0</v>
      </c>
      <c r="G36" s="2">
        <f t="shared" ca="1" si="6"/>
        <v>407.60816443171177</v>
      </c>
      <c r="H36" s="2">
        <f t="shared" ca="1" si="1"/>
        <v>0.21217959244390475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407.8203440241557</v>
      </c>
      <c r="F37" s="2">
        <f t="shared" ca="1" si="5"/>
        <v>0</v>
      </c>
      <c r="G37" s="2">
        <f t="shared" ca="1" si="6"/>
        <v>407.8203440241557</v>
      </c>
      <c r="H37" s="2">
        <f t="shared" ca="1" si="1"/>
        <v>0.21229004209476598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408.03263406625047</v>
      </c>
      <c r="F38" s="2">
        <f t="shared" ca="1" si="5"/>
        <v>0</v>
      </c>
      <c r="G38" s="2">
        <f t="shared" ca="1" si="6"/>
        <v>408.03263406625047</v>
      </c>
      <c r="H38" s="2">
        <f t="shared" ca="1" si="1"/>
        <v>0.21240054923996599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408.24503461549045</v>
      </c>
      <c r="F39" s="2">
        <f t="shared" ca="1" si="5"/>
        <v>59.451262966845448</v>
      </c>
      <c r="G39" s="2">
        <f t="shared" ca="1" si="6"/>
        <v>348.79377164864502</v>
      </c>
      <c r="H39" s="2">
        <f t="shared" ca="1" si="1"/>
        <v>0.1815638811321714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348.97533552977717</v>
      </c>
      <c r="F40" s="2">
        <f t="shared" ca="1" si="5"/>
        <v>0</v>
      </c>
      <c r="G40" s="2">
        <f t="shared" ca="1" si="6"/>
        <v>348.97533552977717</v>
      </c>
      <c r="H40" s="2">
        <f t="shared" ca="1" si="1"/>
        <v>0.18165839383741825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349.15699392361461</v>
      </c>
      <c r="F41" s="2">
        <f t="shared" ca="1" si="5"/>
        <v>0</v>
      </c>
      <c r="G41" s="2">
        <f t="shared" ca="1" si="6"/>
        <v>349.15699392361461</v>
      </c>
      <c r="H41" s="2">
        <f t="shared" ca="1" si="1"/>
        <v>0.18175295574105968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349.33874687935565</v>
      </c>
      <c r="F42" s="2">
        <f t="shared" ca="1" si="5"/>
        <v>0</v>
      </c>
      <c r="G42" s="2">
        <f t="shared" ca="1" si="6"/>
        <v>349.33874687935565</v>
      </c>
      <c r="H42" s="2">
        <f t="shared" ca="1" si="1"/>
        <v>0.18184756686870568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369.52059444622438</v>
      </c>
      <c r="F43" s="2">
        <f t="shared" ca="1" si="5"/>
        <v>0</v>
      </c>
      <c r="G43" s="2">
        <f t="shared" ca="1" si="6"/>
        <v>369.52059444622438</v>
      </c>
      <c r="H43" s="2">
        <f t="shared" ca="1" si="1"/>
        <v>0.19235318615008942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369.71294763237449</v>
      </c>
      <c r="F44" s="2">
        <f t="shared" ca="1" si="5"/>
        <v>0</v>
      </c>
      <c r="G44" s="2">
        <f t="shared" ca="1" si="6"/>
        <v>369.71294763237449</v>
      </c>
      <c r="H44" s="2">
        <f t="shared" ca="1" si="1"/>
        <v>0.19245331520589357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369.9054009475804</v>
      </c>
      <c r="F45" s="2">
        <f t="shared" ca="1" si="5"/>
        <v>0</v>
      </c>
      <c r="G45" s="2">
        <f t="shared" ca="1" si="6"/>
        <v>369.9054009475804</v>
      </c>
      <c r="H45" s="2">
        <f t="shared" ca="1" si="1"/>
        <v>0.192553496383672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370.09795444396406</v>
      </c>
      <c r="F46" s="2">
        <f t="shared" ca="1" si="5"/>
        <v>59.451262966845448</v>
      </c>
      <c r="G46" s="2">
        <f t="shared" ca="1" si="6"/>
        <v>310.64669147711862</v>
      </c>
      <c r="H46" s="2">
        <f t="shared" ca="1" si="1"/>
        <v>0.16170649693329464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310.8083979740519</v>
      </c>
      <c r="F47" s="2">
        <f t="shared" ca="1" si="5"/>
        <v>0</v>
      </c>
      <c r="G47" s="2">
        <f t="shared" ca="1" si="6"/>
        <v>310.8083979740519</v>
      </c>
      <c r="H47" s="2">
        <f t="shared" ca="1" si="1"/>
        <v>0.16179067291799962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310.97018864696992</v>
      </c>
      <c r="F48" s="2">
        <f t="shared" ca="1" si="5"/>
        <v>0</v>
      </c>
      <c r="G48" s="2">
        <f t="shared" ca="1" si="6"/>
        <v>310.97018864696992</v>
      </c>
      <c r="H48" s="2">
        <f t="shared" ca="1" si="1"/>
        <v>0.1618748927203405</v>
      </c>
      <c r="I48" s="2">
        <f t="shared" ca="1" si="2"/>
        <v>0</v>
      </c>
    </row>
    <row r="49" spans="2:9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311.13206353969025</v>
      </c>
      <c r="F49" s="2">
        <f t="shared" ca="1" si="5"/>
        <v>0</v>
      </c>
      <c r="G49" s="2">
        <f t="shared" ca="1" si="6"/>
        <v>311.13206353969025</v>
      </c>
      <c r="H49" s="2">
        <f t="shared" ca="1" si="1"/>
        <v>0.16195915636312644</v>
      </c>
      <c r="I49" s="2">
        <f t="shared" ca="1" si="2"/>
        <v>20</v>
      </c>
    </row>
    <row r="50" spans="2:9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331.29402269605339</v>
      </c>
      <c r="F50" s="2">
        <f t="shared" ca="1" si="5"/>
        <v>0</v>
      </c>
      <c r="G50" s="2">
        <f t="shared" ca="1" si="6"/>
        <v>331.29402269605339</v>
      </c>
      <c r="H50" s="2">
        <f t="shared" ca="1" si="1"/>
        <v>0.17245442277328807</v>
      </c>
      <c r="I50" s="2">
        <f t="shared" ca="1" si="2"/>
        <v>0</v>
      </c>
    </row>
    <row r="51" spans="2:9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331.46647711882667</v>
      </c>
      <c r="F51" s="2">
        <f t="shared" ca="1" si="5"/>
        <v>0</v>
      </c>
      <c r="G51" s="2">
        <f t="shared" ca="1" si="6"/>
        <v>331.46647711882667</v>
      </c>
      <c r="H51" s="2">
        <f t="shared" ca="1" si="1"/>
        <v>0.17254419356870429</v>
      </c>
      <c r="I51" s="2">
        <f t="shared" ca="1" si="2"/>
        <v>0</v>
      </c>
    </row>
    <row r="52" spans="2:9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331.63902131239536</v>
      </c>
      <c r="F52" s="2">
        <f t="shared" ca="1" si="5"/>
        <v>0</v>
      </c>
      <c r="G52" s="2">
        <f t="shared" ca="1" si="6"/>
        <v>331.63902131239536</v>
      </c>
      <c r="H52" s="2">
        <f t="shared" ca="1" si="1"/>
        <v>0.1726340110941236</v>
      </c>
      <c r="I52" s="2">
        <f t="shared" ca="1" si="2"/>
        <v>0</v>
      </c>
    </row>
    <row r="53" spans="2:9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331.8116553234895</v>
      </c>
      <c r="F53" s="2">
        <f t="shared" ca="1" si="5"/>
        <v>59.451262966845448</v>
      </c>
      <c r="G53" s="2">
        <f t="shared" ca="1" si="6"/>
        <v>272.36039235664407</v>
      </c>
      <c r="H53" s="2">
        <f t="shared" ca="1" si="1"/>
        <v>0.14177664259660924</v>
      </c>
      <c r="I53" s="2">
        <f t="shared" ca="1" si="2"/>
        <v>0</v>
      </c>
    </row>
    <row r="54" spans="2:9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272.50216899924067</v>
      </c>
      <c r="F54" s="2">
        <f t="shared" ca="1" si="5"/>
        <v>0</v>
      </c>
      <c r="G54" s="2">
        <f t="shared" ca="1" si="6"/>
        <v>272.50216899924067</v>
      </c>
      <c r="H54" s="2">
        <f t="shared" ca="1" si="1"/>
        <v>0.14185044413659104</v>
      </c>
      <c r="I54" s="2">
        <f t="shared" ca="1" si="2"/>
        <v>0</v>
      </c>
    </row>
    <row r="55" spans="2:9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272.64401944337726</v>
      </c>
      <c r="F55" s="2">
        <f t="shared" ca="1" si="5"/>
        <v>0</v>
      </c>
      <c r="G55" s="2">
        <f t="shared" ca="1" si="6"/>
        <v>272.64401944337726</v>
      </c>
      <c r="H55" s="2">
        <f t="shared" ca="1" si="1"/>
        <v>0.1419242840938128</v>
      </c>
      <c r="I55" s="2">
        <f t="shared" ca="1" si="2"/>
        <v>0</v>
      </c>
    </row>
    <row r="56" spans="2:9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272.78594372747108</v>
      </c>
      <c r="F56" s="2">
        <f t="shared" ca="1" si="5"/>
        <v>0</v>
      </c>
      <c r="G56" s="2">
        <f t="shared" ca="1" si="6"/>
        <v>272.78594372747108</v>
      </c>
      <c r="H56" s="2">
        <f t="shared" ca="1" si="1"/>
        <v>0.14199816248827263</v>
      </c>
      <c r="I56" s="2">
        <f t="shared" ca="1" si="2"/>
        <v>20</v>
      </c>
    </row>
    <row r="57" spans="2:9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292.92794188995936</v>
      </c>
      <c r="F57" s="2">
        <f t="shared" ca="1" si="5"/>
        <v>0</v>
      </c>
      <c r="G57" s="2">
        <f t="shared" ca="1" si="6"/>
        <v>292.92794188995936</v>
      </c>
      <c r="H57" s="2">
        <f t="shared" ca="1" si="1"/>
        <v>0.15248303824408843</v>
      </c>
      <c r="I57" s="2">
        <f t="shared" ca="1" si="2"/>
        <v>0</v>
      </c>
    </row>
    <row r="58" spans="2:9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293.08042492820346</v>
      </c>
      <c r="F58" s="2">
        <f t="shared" ca="1" si="5"/>
        <v>0</v>
      </c>
      <c r="G58" s="2">
        <f t="shared" ca="1" si="6"/>
        <v>293.08042492820346</v>
      </c>
      <c r="H58" s="2">
        <f t="shared" ca="1" si="1"/>
        <v>0.15256241297632508</v>
      </c>
      <c r="I58" s="2">
        <f t="shared" ca="1" si="2"/>
        <v>0</v>
      </c>
    </row>
    <row r="59" spans="2:9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293.23298734117981</v>
      </c>
      <c r="F59" s="2">
        <f t="shared" ca="1" si="5"/>
        <v>0</v>
      </c>
      <c r="G59" s="2">
        <f t="shared" ca="1" si="6"/>
        <v>293.23298734117981</v>
      </c>
      <c r="H59" s="2">
        <f t="shared" ca="1" si="1"/>
        <v>0.15264182902691553</v>
      </c>
      <c r="I59" s="2">
        <f t="shared" ca="1" si="2"/>
        <v>0</v>
      </c>
    </row>
    <row r="60" spans="2:9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293.3856291702067</v>
      </c>
      <c r="F60" s="2">
        <f t="shared" ca="1" si="5"/>
        <v>59.451262966845448</v>
      </c>
      <c r="G60" s="2">
        <f t="shared" ca="1" si="6"/>
        <v>233.93436620336126</v>
      </c>
      <c r="H60" s="2">
        <f t="shared" ca="1" si="1"/>
        <v>0.12177405364010588</v>
      </c>
      <c r="I60" s="2">
        <f t="shared" ca="1" si="2"/>
        <v>0</v>
      </c>
    </row>
    <row r="61" spans="2:9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234.05614025700137</v>
      </c>
      <c r="F61" s="2">
        <f t="shared" ca="1" si="5"/>
        <v>0</v>
      </c>
      <c r="G61" s="2">
        <f t="shared" ca="1" si="6"/>
        <v>234.05614025700137</v>
      </c>
      <c r="H61" s="2">
        <f t="shared" ca="1" si="1"/>
        <v>0.12183744287350756</v>
      </c>
      <c r="I61" s="2">
        <f t="shared" ca="1" si="2"/>
        <v>0</v>
      </c>
    </row>
    <row r="62" spans="2:9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234.17797769987487</v>
      </c>
      <c r="F62" s="2">
        <f t="shared" ca="1" si="5"/>
        <v>0</v>
      </c>
      <c r="G62" s="2">
        <f t="shared" ca="1" si="6"/>
        <v>234.17797769987487</v>
      </c>
      <c r="H62" s="2">
        <f t="shared" ca="1" si="1"/>
        <v>0.12190086510404445</v>
      </c>
      <c r="I62" s="2">
        <f t="shared" ca="1" si="2"/>
        <v>0</v>
      </c>
    </row>
    <row r="63" spans="2:9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234.29987856497891</v>
      </c>
      <c r="F63" s="2">
        <f t="shared" ca="1" si="5"/>
        <v>0</v>
      </c>
      <c r="G63" s="2">
        <f t="shared" ca="1" si="6"/>
        <v>234.29987856497891</v>
      </c>
      <c r="H63" s="2">
        <f t="shared" ca="1" si="1"/>
        <v>0.12196432034889314</v>
      </c>
      <c r="I63" s="2">
        <f t="shared" ca="1" si="2"/>
        <v>20</v>
      </c>
    </row>
    <row r="64" spans="2:9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254.42184288532781</v>
      </c>
      <c r="F64" s="2">
        <f t="shared" ca="1" si="5"/>
        <v>0</v>
      </c>
      <c r="G64" s="2">
        <f t="shared" ca="1" si="6"/>
        <v>254.42184288532781</v>
      </c>
      <c r="H64" s="2">
        <f t="shared" ca="1" si="1"/>
        <v>0.13243876752934872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254.55428165285716</v>
      </c>
      <c r="F65" s="2">
        <f t="shared" ca="1" si="5"/>
        <v>0</v>
      </c>
      <c r="G65" s="2">
        <f t="shared" ca="1" si="6"/>
        <v>254.55428165285716</v>
      </c>
      <c r="H65" s="2">
        <f t="shared" ca="1" si="1"/>
        <v>0.13250770825765168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254.68678936111482</v>
      </c>
      <c r="F66" s="2">
        <f t="shared" ca="1" si="5"/>
        <v>0</v>
      </c>
      <c r="G66" s="2">
        <f t="shared" ca="1" si="6"/>
        <v>254.68678936111482</v>
      </c>
      <c r="H66" s="2">
        <f t="shared" ca="1" si="1"/>
        <v>0.13257668487290908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254.81936604598772</v>
      </c>
      <c r="F67" s="2">
        <f t="shared" ca="1" si="5"/>
        <v>59.451262966845448</v>
      </c>
      <c r="G67" s="2">
        <f t="shared" ca="1" si="6"/>
        <v>195.36810307914226</v>
      </c>
      <c r="H67" s="2">
        <f t="shared" ca="1" si="1"/>
        <v>0.10169846461653981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195.46980154375879</v>
      </c>
      <c r="F68" s="2">
        <f t="shared" ca="1" si="5"/>
        <v>0</v>
      </c>
      <c r="G68" s="2">
        <f t="shared" ca="1" si="6"/>
        <v>195.46980154375879</v>
      </c>
      <c r="H68" s="2">
        <f t="shared" ca="1" si="1"/>
        <v>0.10175140354332649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195.57155294730211</v>
      </c>
      <c r="F69" s="2">
        <f t="shared" ca="1" si="5"/>
        <v>0</v>
      </c>
      <c r="G69" s="2">
        <f t="shared" ca="1" si="6"/>
        <v>195.57155294730211</v>
      </c>
      <c r="H69" s="2">
        <f t="shared" ca="1" si="1"/>
        <v>0.10180437002736273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195.67335731732948</v>
      </c>
      <c r="F70" s="2">
        <f t="shared" ca="1" si="5"/>
        <v>0</v>
      </c>
      <c r="G70" s="2">
        <f t="shared" ca="1" si="6"/>
        <v>195.67335731732948</v>
      </c>
      <c r="H70" s="2">
        <f t="shared" ca="1" si="1"/>
        <v>0.10185736408299344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215.77521468141248</v>
      </c>
      <c r="F71" s="2">
        <f t="shared" ca="1" si="5"/>
        <v>0</v>
      </c>
      <c r="G71" s="2">
        <f t="shared" ca="1" si="6"/>
        <v>215.77521468141248</v>
      </c>
      <c r="H71" s="2">
        <f t="shared" ca="1" si="1"/>
        <v>0.11232134462868047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215.88753602604115</v>
      </c>
      <c r="F72" s="2">
        <f t="shared" ca="1" si="5"/>
        <v>0</v>
      </c>
      <c r="G72" s="2">
        <f t="shared" ca="1" si="6"/>
        <v>215.88753602604115</v>
      </c>
      <c r="H72" s="2">
        <f t="shared" ca="1" si="1"/>
        <v>0.11237981327382965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215.99991583931498</v>
      </c>
      <c r="F73" s="2">
        <f t="shared" ca="1" si="5"/>
        <v>0</v>
      </c>
      <c r="G73" s="2">
        <f t="shared" ca="1" si="6"/>
        <v>215.99991583931498</v>
      </c>
      <c r="H73" s="2">
        <f t="shared" ca="1" si="1"/>
        <v>0.11243831235471191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216.11235415166971</v>
      </c>
      <c r="F74" s="2">
        <f t="shared" ca="1" si="5"/>
        <v>59.451262966845448</v>
      </c>
      <c r="G74" s="2">
        <f t="shared" ca="1" si="6"/>
        <v>156.66109118482427</v>
      </c>
      <c r="H74" s="2">
        <f t="shared" ca="1" si="1"/>
        <v>8.1549609109908522E-2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156.74264079393419</v>
      </c>
      <c r="F75" s="2">
        <f t="shared" ca="1" si="5"/>
        <v>0</v>
      </c>
      <c r="G75" s="2">
        <f t="shared" ca="1" si="6"/>
        <v>156.74264079393419</v>
      </c>
      <c r="H75" s="2">
        <f t="shared" ca="1" si="1"/>
        <v>8.1592059591362995E-2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156.82423285352556</v>
      </c>
      <c r="F76" s="2">
        <f t="shared" ca="1" si="5"/>
        <v>0</v>
      </c>
      <c r="G76" s="2">
        <f t="shared" ca="1" si="6"/>
        <v>156.82423285352556</v>
      </c>
      <c r="H76" s="2">
        <f t="shared" ref="H76:H139" ca="1" si="11">IF(C76&gt;$C$7,0,(G76)*$C$5/365)</f>
        <v>8.1634532170328372E-2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156.9058673856959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156.9058673856959</v>
      </c>
      <c r="H77" s="2">
        <f t="shared" ca="1" si="11"/>
        <v>8.1677026858307453E-2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176.9875444125542</v>
      </c>
      <c r="F78" s="2">
        <f t="shared" ca="1" si="15"/>
        <v>0</v>
      </c>
      <c r="G78" s="2">
        <f t="shared" ca="1" si="16"/>
        <v>176.9875444125542</v>
      </c>
      <c r="H78" s="2">
        <f t="shared" ca="1" si="11"/>
        <v>9.2130502570918621E-2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177.07967491512511</v>
      </c>
      <c r="F79" s="2">
        <f t="shared" ca="1" si="15"/>
        <v>0</v>
      </c>
      <c r="G79" s="2">
        <f t="shared" ca="1" si="16"/>
        <v>177.07967491512511</v>
      </c>
      <c r="H79" s="2">
        <f t="shared" ca="1" si="11"/>
        <v>9.2178460914722662E-2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177.17185337603982</v>
      </c>
      <c r="F80" s="2">
        <f t="shared" ca="1" si="15"/>
        <v>0</v>
      </c>
      <c r="G80" s="2">
        <f t="shared" ca="1" si="16"/>
        <v>177.17185337603982</v>
      </c>
      <c r="H80" s="2">
        <f t="shared" ca="1" si="11"/>
        <v>9.2226444223144022E-2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177.26407982026296</v>
      </c>
      <c r="F81" s="2">
        <f t="shared" ca="1" si="15"/>
        <v>59.451262966845448</v>
      </c>
      <c r="G81" s="2">
        <f t="shared" ca="1" si="16"/>
        <v>117.81281685341752</v>
      </c>
      <c r="H81" s="2">
        <f t="shared" ca="1" si="11"/>
        <v>6.1327219731915975E-2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117.87414407314944</v>
      </c>
      <c r="F82" s="2">
        <f t="shared" ca="1" si="15"/>
        <v>0</v>
      </c>
      <c r="G82" s="2">
        <f t="shared" ca="1" si="16"/>
        <v>117.87414407314944</v>
      </c>
      <c r="H82" s="2">
        <f t="shared" ca="1" si="11"/>
        <v>6.1359143490132585E-2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117.93550321663957</v>
      </c>
      <c r="F83" s="2">
        <f t="shared" ca="1" si="15"/>
        <v>0</v>
      </c>
      <c r="G83" s="2">
        <f t="shared" ca="1" si="16"/>
        <v>117.93550321663957</v>
      </c>
      <c r="H83" s="2">
        <f t="shared" ca="1" si="11"/>
        <v>6.1391083866195947E-2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117.99689430050577</v>
      </c>
      <c r="F84" s="2">
        <f t="shared" ca="1" si="15"/>
        <v>0</v>
      </c>
      <c r="G84" s="2">
        <f t="shared" ca="1" si="16"/>
        <v>117.99689430050577</v>
      </c>
      <c r="H84" s="2">
        <f t="shared" ca="1" si="11"/>
        <v>6.1423040868756426E-2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138.05831734137453</v>
      </c>
      <c r="F85" s="2">
        <f t="shared" ca="1" si="15"/>
        <v>0</v>
      </c>
      <c r="G85" s="2">
        <f t="shared" ca="1" si="16"/>
        <v>138.05831734137453</v>
      </c>
      <c r="H85" s="2">
        <f t="shared" ca="1" si="11"/>
        <v>7.1865973410578529E-2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138.13018331478511</v>
      </c>
      <c r="F86" s="2">
        <f t="shared" ca="1" si="15"/>
        <v>0</v>
      </c>
      <c r="G86" s="2">
        <f t="shared" ca="1" si="16"/>
        <v>138.13018331478511</v>
      </c>
      <c r="H86" s="2">
        <f t="shared" ca="1" si="11"/>
        <v>7.190338309536759E-2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138.20208669788047</v>
      </c>
      <c r="F87" s="2">
        <f t="shared" ca="1" si="15"/>
        <v>0</v>
      </c>
      <c r="G87" s="2">
        <f t="shared" ca="1" si="16"/>
        <v>138.20208669788047</v>
      </c>
      <c r="H87" s="2">
        <f t="shared" ca="1" si="11"/>
        <v>7.1940812253691214E-2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138.27402751013418</v>
      </c>
      <c r="F88" s="2">
        <f t="shared" ca="1" si="15"/>
        <v>59.451262966845448</v>
      </c>
      <c r="G88" s="2">
        <f t="shared" ca="1" si="16"/>
        <v>78.822764543288727</v>
      </c>
      <c r="H88" s="2">
        <f t="shared" ca="1" si="11"/>
        <v>4.1031028118424268E-2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78.863795571407152</v>
      </c>
      <c r="F89" s="2">
        <f t="shared" ca="1" si="15"/>
        <v>0</v>
      </c>
      <c r="G89" s="2">
        <f t="shared" ca="1" si="16"/>
        <v>78.863795571407152</v>
      </c>
      <c r="H89" s="2">
        <f t="shared" ca="1" si="11"/>
        <v>4.1052386735800979E-2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78.904847958142952</v>
      </c>
      <c r="F90" s="2">
        <f t="shared" ca="1" si="15"/>
        <v>0</v>
      </c>
      <c r="G90" s="2">
        <f t="shared" ca="1" si="16"/>
        <v>78.904847958142952</v>
      </c>
      <c r="H90" s="2">
        <f t="shared" ca="1" si="11"/>
        <v>4.1073756471362084E-2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78.945921714614315</v>
      </c>
      <c r="F91" s="2">
        <f t="shared" ca="1" si="15"/>
        <v>0</v>
      </c>
      <c r="G91" s="2">
        <f t="shared" ca="1" si="16"/>
        <v>78.945921714614315</v>
      </c>
      <c r="H91" s="2">
        <f t="shared" ca="1" si="11"/>
        <v>4.1095137330895128E-2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98.987016851945214</v>
      </c>
      <c r="F92" s="2">
        <f t="shared" ca="1" si="15"/>
        <v>0</v>
      </c>
      <c r="G92" s="2">
        <f t="shared" ca="1" si="16"/>
        <v>98.987016851945214</v>
      </c>
      <c r="H92" s="2">
        <f t="shared" ca="1" si="11"/>
        <v>5.1527488224300255E-2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99.038544340169508</v>
      </c>
      <c r="F93" s="2">
        <f t="shared" ca="1" si="15"/>
        <v>0</v>
      </c>
      <c r="G93" s="2">
        <f t="shared" ca="1" si="16"/>
        <v>99.038544340169508</v>
      </c>
      <c r="H93" s="2">
        <f t="shared" ca="1" si="11"/>
        <v>5.1554310752417003E-2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99.090098650921931</v>
      </c>
      <c r="F94" s="2">
        <f t="shared" ca="1" si="15"/>
        <v>0</v>
      </c>
      <c r="G94" s="2">
        <f t="shared" ca="1" si="16"/>
        <v>99.090098650921931</v>
      </c>
      <c r="H94" s="2">
        <f t="shared" ca="1" si="11"/>
        <v>5.1581147242945664E-2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99.141679798164873</v>
      </c>
      <c r="F95" s="2">
        <f t="shared" ca="1" si="15"/>
        <v>59.451262966845448</v>
      </c>
      <c r="G95" s="2">
        <f t="shared" ca="1" si="16"/>
        <v>39.690416831319425</v>
      </c>
      <c r="H95" s="2">
        <f t="shared" ca="1" si="11"/>
        <v>2.0660764925892305E-2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39.711077596245318</v>
      </c>
      <c r="F96" s="2">
        <f t="shared" ca="1" si="15"/>
        <v>0</v>
      </c>
      <c r="G96" s="2">
        <f t="shared" ca="1" si="16"/>
        <v>39.711077596245318</v>
      </c>
      <c r="H96" s="2">
        <f t="shared" ca="1" si="11"/>
        <v>2.0671519844620852E-2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39.731749116089937</v>
      </c>
      <c r="F97" s="2">
        <f t="shared" ca="1" si="15"/>
        <v>0</v>
      </c>
      <c r="G97" s="2">
        <f t="shared" ca="1" si="16"/>
        <v>39.731749116089937</v>
      </c>
      <c r="H97" s="2">
        <f t="shared" ca="1" si="11"/>
        <v>2.068228036180024E-2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39.752431396451733</v>
      </c>
      <c r="F98" s="2">
        <f t="shared" ca="1" si="15"/>
        <v>0</v>
      </c>
      <c r="G98" s="2">
        <f t="shared" ca="1" si="16"/>
        <v>39.752431396451733</v>
      </c>
      <c r="H98" s="2">
        <f t="shared" ca="1" si="11"/>
        <v>2.0693046480344739E-2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59.77312444293208</v>
      </c>
      <c r="F99" s="2">
        <f t="shared" ca="1" si="15"/>
        <v>0</v>
      </c>
      <c r="G99" s="2">
        <f t="shared" ca="1" si="16"/>
        <v>59.77312444293208</v>
      </c>
      <c r="H99" s="2">
        <f t="shared" ca="1" si="11"/>
        <v>3.1114777107279713E-2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59.804239220039356</v>
      </c>
      <c r="F100" s="2">
        <f t="shared" ca="1" si="15"/>
        <v>0</v>
      </c>
      <c r="G100" s="2">
        <f t="shared" ca="1" si="16"/>
        <v>59.804239220039356</v>
      </c>
      <c r="H100" s="2">
        <f t="shared" ca="1" si="11"/>
        <v>3.1130973840568434E-2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59.835370193879925</v>
      </c>
      <c r="F101" s="2">
        <f t="shared" ca="1" si="15"/>
        <v>0</v>
      </c>
      <c r="G101" s="2">
        <f t="shared" ca="1" si="16"/>
        <v>59.835370193879925</v>
      </c>
      <c r="H101" s="2">
        <f t="shared" ca="1" si="11"/>
        <v>3.1147179005033384E-2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59.866517372884957</v>
      </c>
      <c r="F102" s="2">
        <f t="shared" ca="1" si="15"/>
        <v>59.451262966845448</v>
      </c>
      <c r="G102" s="2">
        <f t="shared" ca="1" si="16"/>
        <v>0.41525440603950869</v>
      </c>
      <c r="H102" s="2">
        <f t="shared" ca="1" si="11"/>
        <v>2.1615982780138809E-4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si="14"/>
        <v>0</v>
      </c>
      <c r="F103" s="2">
        <f t="shared" si="15"/>
        <v>0</v>
      </c>
      <c r="G103" s="2">
        <f t="shared" ca="1" si="16"/>
        <v>0.41525440603950869</v>
      </c>
      <c r="H103" s="2">
        <f t="shared" si="11"/>
        <v>0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si="14"/>
        <v>0</v>
      </c>
      <c r="F104" s="2">
        <f t="shared" si="15"/>
        <v>0</v>
      </c>
      <c r="G104" s="2">
        <f t="shared" ca="1" si="16"/>
        <v>0.41525440603950869</v>
      </c>
      <c r="H104" s="2">
        <f t="shared" si="11"/>
        <v>0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si="14"/>
        <v>0</v>
      </c>
      <c r="F105" s="2">
        <f t="shared" si="15"/>
        <v>0</v>
      </c>
      <c r="G105" s="2">
        <f t="shared" ca="1" si="16"/>
        <v>0.41525440603950869</v>
      </c>
      <c r="H105" s="2">
        <f t="shared" si="11"/>
        <v>0</v>
      </c>
      <c r="I105" s="2">
        <f t="shared" ca="1" si="12"/>
        <v>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si="14"/>
        <v>0</v>
      </c>
      <c r="F106" s="2">
        <f t="shared" si="15"/>
        <v>0</v>
      </c>
      <c r="G106" s="2">
        <f t="shared" ca="1" si="16"/>
        <v>0.41525440603950869</v>
      </c>
      <c r="H106" s="2">
        <f t="shared" si="11"/>
        <v>0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si="14"/>
        <v>0</v>
      </c>
      <c r="F107" s="2">
        <f t="shared" si="15"/>
        <v>0</v>
      </c>
      <c r="G107" s="2">
        <f t="shared" ca="1" si="16"/>
        <v>0.41525440603950869</v>
      </c>
      <c r="H107" s="2">
        <f t="shared" si="11"/>
        <v>0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si="14"/>
        <v>0</v>
      </c>
      <c r="F108" s="2">
        <f t="shared" si="15"/>
        <v>0</v>
      </c>
      <c r="G108" s="2">
        <f t="shared" ca="1" si="16"/>
        <v>0.41525440603950869</v>
      </c>
      <c r="H108" s="2">
        <f t="shared" si="11"/>
        <v>0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si="14"/>
        <v>0</v>
      </c>
      <c r="F109" s="2">
        <f t="shared" si="15"/>
        <v>0</v>
      </c>
      <c r="G109" s="2">
        <f t="shared" ca="1" si="16"/>
        <v>0.41525440603950869</v>
      </c>
      <c r="H109" s="2">
        <f t="shared" si="11"/>
        <v>0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si="14"/>
        <v>0</v>
      </c>
      <c r="F110" s="2">
        <f t="shared" si="15"/>
        <v>0</v>
      </c>
      <c r="G110" s="2">
        <f t="shared" ca="1" si="16"/>
        <v>0.41525440603950869</v>
      </c>
      <c r="H110" s="2">
        <f t="shared" si="11"/>
        <v>0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si="14"/>
        <v>0</v>
      </c>
      <c r="F111" s="2">
        <f t="shared" si="15"/>
        <v>0</v>
      </c>
      <c r="G111" s="2">
        <f t="shared" ca="1" si="16"/>
        <v>0.41525440603950869</v>
      </c>
      <c r="H111" s="2">
        <f t="shared" si="11"/>
        <v>0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si="14"/>
        <v>0</v>
      </c>
      <c r="F112" s="2">
        <f t="shared" si="15"/>
        <v>0</v>
      </c>
      <c r="G112" s="2">
        <f t="shared" ca="1" si="16"/>
        <v>0.41525440603950869</v>
      </c>
      <c r="H112" s="2">
        <f t="shared" si="11"/>
        <v>0</v>
      </c>
      <c r="I112" s="2">
        <f t="shared" ca="1" si="12"/>
        <v>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si="14"/>
        <v>0</v>
      </c>
      <c r="F113" s="2">
        <f t="shared" si="15"/>
        <v>0</v>
      </c>
      <c r="G113" s="2">
        <f t="shared" ca="1" si="16"/>
        <v>0.41525440603950869</v>
      </c>
      <c r="H113" s="2">
        <f t="shared" si="11"/>
        <v>0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si="14"/>
        <v>0</v>
      </c>
      <c r="F114" s="2">
        <f t="shared" si="15"/>
        <v>0</v>
      </c>
      <c r="G114" s="2">
        <f t="shared" ca="1" si="16"/>
        <v>0.41525440603950869</v>
      </c>
      <c r="H114" s="2">
        <f t="shared" si="11"/>
        <v>0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si="14"/>
        <v>0</v>
      </c>
      <c r="F115" s="2">
        <f t="shared" si="15"/>
        <v>0</v>
      </c>
      <c r="G115" s="2">
        <f t="shared" ca="1" si="16"/>
        <v>0.41525440603950869</v>
      </c>
      <c r="H115" s="2">
        <f t="shared" si="11"/>
        <v>0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si="14"/>
        <v>0</v>
      </c>
      <c r="F116" s="2">
        <f t="shared" si="15"/>
        <v>0</v>
      </c>
      <c r="G116" s="2">
        <f t="shared" ca="1" si="16"/>
        <v>0.41525440603950869</v>
      </c>
      <c r="H116" s="2">
        <f t="shared" si="11"/>
        <v>0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si="14"/>
        <v>0</v>
      </c>
      <c r="F117" s="2">
        <f t="shared" si="15"/>
        <v>0</v>
      </c>
      <c r="G117" s="2">
        <f t="shared" ca="1" si="16"/>
        <v>0.41525440603950869</v>
      </c>
      <c r="H117" s="2">
        <f t="shared" si="11"/>
        <v>0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si="14"/>
        <v>0</v>
      </c>
      <c r="F118" s="2">
        <f t="shared" si="15"/>
        <v>0</v>
      </c>
      <c r="G118" s="2">
        <f t="shared" ca="1" si="16"/>
        <v>0.41525440603950869</v>
      </c>
      <c r="H118" s="2">
        <f t="shared" si="11"/>
        <v>0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si="14"/>
        <v>0</v>
      </c>
      <c r="F119" s="2">
        <f t="shared" si="15"/>
        <v>0</v>
      </c>
      <c r="G119" s="2">
        <f t="shared" ca="1" si="16"/>
        <v>0.41525440603950869</v>
      </c>
      <c r="H119" s="2">
        <f t="shared" si="11"/>
        <v>0</v>
      </c>
      <c r="I119" s="2">
        <f t="shared" ca="1" si="12"/>
        <v>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si="14"/>
        <v>0</v>
      </c>
      <c r="F120" s="2">
        <f t="shared" si="15"/>
        <v>0</v>
      </c>
      <c r="G120" s="2">
        <f t="shared" ca="1" si="16"/>
        <v>0.41525440603950869</v>
      </c>
      <c r="H120" s="2">
        <f t="shared" si="11"/>
        <v>0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si="14"/>
        <v>0</v>
      </c>
      <c r="F121" s="2">
        <f t="shared" si="15"/>
        <v>0</v>
      </c>
      <c r="G121" s="2">
        <f t="shared" ca="1" si="16"/>
        <v>0.41525440603950869</v>
      </c>
      <c r="H121" s="2">
        <f t="shared" si="11"/>
        <v>0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si="14"/>
        <v>0</v>
      </c>
      <c r="F122" s="2">
        <f t="shared" si="15"/>
        <v>0</v>
      </c>
      <c r="G122" s="2">
        <f t="shared" ca="1" si="16"/>
        <v>0.41525440603950869</v>
      </c>
      <c r="H122" s="2">
        <f t="shared" si="11"/>
        <v>0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si="14"/>
        <v>0</v>
      </c>
      <c r="F123" s="2">
        <f t="shared" si="15"/>
        <v>0</v>
      </c>
      <c r="G123" s="2">
        <f t="shared" ca="1" si="16"/>
        <v>0.41525440603950869</v>
      </c>
      <c r="H123" s="2">
        <f t="shared" si="11"/>
        <v>0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si="14"/>
        <v>0</v>
      </c>
      <c r="F124" s="2">
        <f t="shared" si="15"/>
        <v>0</v>
      </c>
      <c r="G124" s="2">
        <f t="shared" ca="1" si="16"/>
        <v>0.41525440603950869</v>
      </c>
      <c r="H124" s="2">
        <f t="shared" si="11"/>
        <v>0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si="14"/>
        <v>0</v>
      </c>
      <c r="F125" s="2">
        <f t="shared" si="15"/>
        <v>0</v>
      </c>
      <c r="G125" s="2">
        <f t="shared" ca="1" si="16"/>
        <v>0.41525440603950869</v>
      </c>
      <c r="H125" s="2">
        <f t="shared" si="11"/>
        <v>0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si="14"/>
        <v>0</v>
      </c>
      <c r="F126" s="2">
        <f t="shared" si="15"/>
        <v>0</v>
      </c>
      <c r="G126" s="2">
        <f t="shared" ca="1" si="16"/>
        <v>0.41525440603950869</v>
      </c>
      <c r="H126" s="2">
        <f t="shared" si="11"/>
        <v>0</v>
      </c>
      <c r="I126" s="2">
        <f t="shared" ca="1" si="12"/>
        <v>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si="14"/>
        <v>0</v>
      </c>
      <c r="F127" s="2">
        <f t="shared" si="15"/>
        <v>0</v>
      </c>
      <c r="G127" s="2">
        <f t="shared" ca="1" si="16"/>
        <v>0.41525440603950869</v>
      </c>
      <c r="H127" s="2">
        <f t="shared" si="11"/>
        <v>0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si="14"/>
        <v>0</v>
      </c>
      <c r="F128" s="2">
        <f t="shared" si="15"/>
        <v>0</v>
      </c>
      <c r="G128" s="2">
        <f t="shared" ca="1" si="16"/>
        <v>0.41525440603950869</v>
      </c>
      <c r="H128" s="2">
        <f t="shared" si="11"/>
        <v>0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si="14"/>
        <v>0</v>
      </c>
      <c r="F129" s="2">
        <f t="shared" si="15"/>
        <v>0</v>
      </c>
      <c r="G129" s="2">
        <f t="shared" ca="1" si="16"/>
        <v>0.41525440603950869</v>
      </c>
      <c r="H129" s="2">
        <f t="shared" si="11"/>
        <v>0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si="14"/>
        <v>0</v>
      </c>
      <c r="F130" s="2">
        <f t="shared" si="15"/>
        <v>0</v>
      </c>
      <c r="G130" s="2">
        <f t="shared" ca="1" si="16"/>
        <v>0.41525440603950869</v>
      </c>
      <c r="H130" s="2">
        <f t="shared" si="11"/>
        <v>0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si="14"/>
        <v>0</v>
      </c>
      <c r="F131" s="2">
        <f t="shared" si="15"/>
        <v>0</v>
      </c>
      <c r="G131" s="2">
        <f t="shared" ca="1" si="16"/>
        <v>0.41525440603950869</v>
      </c>
      <c r="H131" s="2">
        <f t="shared" si="11"/>
        <v>0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si="14"/>
        <v>0</v>
      </c>
      <c r="F132" s="2">
        <f t="shared" si="15"/>
        <v>0</v>
      </c>
      <c r="G132" s="2">
        <f t="shared" ca="1" si="16"/>
        <v>0.41525440603950869</v>
      </c>
      <c r="H132" s="2">
        <f t="shared" si="11"/>
        <v>0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si="14"/>
        <v>0</v>
      </c>
      <c r="F133" s="2">
        <f t="shared" si="15"/>
        <v>0</v>
      </c>
      <c r="G133" s="2">
        <f t="shared" ca="1" si="16"/>
        <v>0.41525440603950869</v>
      </c>
      <c r="H133" s="2">
        <f t="shared" si="11"/>
        <v>0</v>
      </c>
      <c r="I133" s="2">
        <f t="shared" ca="1" si="12"/>
        <v>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si="14"/>
        <v>0</v>
      </c>
      <c r="F134" s="2">
        <f t="shared" si="15"/>
        <v>0</v>
      </c>
      <c r="G134" s="2">
        <f t="shared" ca="1" si="16"/>
        <v>0.41525440603950869</v>
      </c>
      <c r="H134" s="2">
        <f t="shared" si="11"/>
        <v>0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si="14"/>
        <v>0</v>
      </c>
      <c r="F135" s="2">
        <f t="shared" si="15"/>
        <v>0</v>
      </c>
      <c r="G135" s="2">
        <f t="shared" ca="1" si="16"/>
        <v>0.41525440603950869</v>
      </c>
      <c r="H135" s="2">
        <f t="shared" si="11"/>
        <v>0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si="14"/>
        <v>0</v>
      </c>
      <c r="F136" s="2">
        <f t="shared" si="15"/>
        <v>0</v>
      </c>
      <c r="G136" s="2">
        <f t="shared" ca="1" si="16"/>
        <v>0.41525440603950869</v>
      </c>
      <c r="H136" s="2">
        <f t="shared" si="11"/>
        <v>0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si="14"/>
        <v>0</v>
      </c>
      <c r="F137" s="2">
        <f t="shared" si="15"/>
        <v>0</v>
      </c>
      <c r="G137" s="2">
        <f t="shared" ca="1" si="16"/>
        <v>0.41525440603950869</v>
      </c>
      <c r="H137" s="2">
        <f t="shared" si="11"/>
        <v>0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si="14"/>
        <v>0</v>
      </c>
      <c r="F138" s="2">
        <f t="shared" si="15"/>
        <v>0</v>
      </c>
      <c r="G138" s="2">
        <f t="shared" ca="1" si="16"/>
        <v>0.41525440603950869</v>
      </c>
      <c r="H138" s="2">
        <f t="shared" si="11"/>
        <v>0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si="14"/>
        <v>0</v>
      </c>
      <c r="F139" s="2">
        <f t="shared" si="15"/>
        <v>0</v>
      </c>
      <c r="G139" s="2">
        <f t="shared" ca="1" si="16"/>
        <v>0.41525440603950869</v>
      </c>
      <c r="H139" s="2">
        <f t="shared" si="11"/>
        <v>0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si="14"/>
        <v>0</v>
      </c>
      <c r="F140" s="2">
        <f t="shared" si="15"/>
        <v>0</v>
      </c>
      <c r="G140" s="2">
        <f t="shared" ca="1" si="16"/>
        <v>0.41525440603950869</v>
      </c>
      <c r="H140" s="2">
        <f t="shared" ref="H140:H203" si="21">IF(C140&gt;$C$7,0,(G140)*$C$5/365)</f>
        <v>0</v>
      </c>
      <c r="I140" s="2">
        <f t="shared" ref="I140:I203" ca="1" si="22">IF(AND(C140=0,D140=7),$C$6,IF(C140=$C$7,0,IF(C140&lt;$C$7,IF(D140=7,$C$6,0),0)))</f>
        <v>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si="24">IF(C141&gt;$C$7,0,G140+H140+I140)</f>
        <v>0</v>
      </c>
      <c r="F141" s="2">
        <f t="shared" ref="F141:F204" si="25">IF(C141&gt;$C$7,0,IF(ROUND(E141,0)&gt;0,IF(C141=0,0,IF(MOD(C141,$C$3)&gt;0,0,$C$8)),0))</f>
        <v>0</v>
      </c>
      <c r="G141" s="2">
        <f t="shared" ref="G141:G204" ca="1" si="26">IF(C141&gt;$C$7,G140,E141-F141)</f>
        <v>0.41525440603950869</v>
      </c>
      <c r="H141" s="2">
        <f t="shared" si="21"/>
        <v>0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si="24"/>
        <v>0</v>
      </c>
      <c r="F142" s="2">
        <f t="shared" si="25"/>
        <v>0</v>
      </c>
      <c r="G142" s="2">
        <f t="shared" ca="1" si="26"/>
        <v>0.41525440603950869</v>
      </c>
      <c r="H142" s="2">
        <f t="shared" si="21"/>
        <v>0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si="24"/>
        <v>0</v>
      </c>
      <c r="F143" s="2">
        <f t="shared" si="25"/>
        <v>0</v>
      </c>
      <c r="G143" s="2">
        <f t="shared" ca="1" si="26"/>
        <v>0.41525440603950869</v>
      </c>
      <c r="H143" s="2">
        <f t="shared" si="21"/>
        <v>0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si="24"/>
        <v>0</v>
      </c>
      <c r="F144" s="2">
        <f t="shared" si="25"/>
        <v>0</v>
      </c>
      <c r="G144" s="2">
        <f t="shared" ca="1" si="26"/>
        <v>0.41525440603950869</v>
      </c>
      <c r="H144" s="2">
        <f t="shared" si="21"/>
        <v>0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si="24"/>
        <v>0</v>
      </c>
      <c r="F145" s="2">
        <f t="shared" si="25"/>
        <v>0</v>
      </c>
      <c r="G145" s="2">
        <f t="shared" ca="1" si="26"/>
        <v>0.41525440603950869</v>
      </c>
      <c r="H145" s="2">
        <f t="shared" si="21"/>
        <v>0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si="24"/>
        <v>0</v>
      </c>
      <c r="F146" s="2">
        <f t="shared" si="25"/>
        <v>0</v>
      </c>
      <c r="G146" s="2">
        <f t="shared" ca="1" si="26"/>
        <v>0.41525440603950869</v>
      </c>
      <c r="H146" s="2">
        <f t="shared" si="21"/>
        <v>0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si="24"/>
        <v>0</v>
      </c>
      <c r="F147" s="2">
        <f t="shared" si="25"/>
        <v>0</v>
      </c>
      <c r="G147" s="2">
        <f t="shared" ca="1" si="26"/>
        <v>0.41525440603950869</v>
      </c>
      <c r="H147" s="2">
        <f t="shared" si="21"/>
        <v>0</v>
      </c>
      <c r="I147" s="2">
        <f t="shared" ca="1" si="22"/>
        <v>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si="24"/>
        <v>0</v>
      </c>
      <c r="F148" s="2">
        <f t="shared" si="25"/>
        <v>0</v>
      </c>
      <c r="G148" s="2">
        <f t="shared" ca="1" si="26"/>
        <v>0.41525440603950869</v>
      </c>
      <c r="H148" s="2">
        <f t="shared" si="21"/>
        <v>0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si="24"/>
        <v>0</v>
      </c>
      <c r="F149" s="2">
        <f t="shared" si="25"/>
        <v>0</v>
      </c>
      <c r="G149" s="2">
        <f t="shared" ca="1" si="26"/>
        <v>0.41525440603950869</v>
      </c>
      <c r="H149" s="2">
        <f t="shared" si="21"/>
        <v>0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si="24"/>
        <v>0</v>
      </c>
      <c r="F150" s="2">
        <f t="shared" si="25"/>
        <v>0</v>
      </c>
      <c r="G150" s="2">
        <f t="shared" ca="1" si="26"/>
        <v>0.41525440603950869</v>
      </c>
      <c r="H150" s="2">
        <f t="shared" si="21"/>
        <v>0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si="24"/>
        <v>0</v>
      </c>
      <c r="F151" s="2">
        <f t="shared" si="25"/>
        <v>0</v>
      </c>
      <c r="G151" s="2">
        <f t="shared" ca="1" si="26"/>
        <v>0.41525440603950869</v>
      </c>
      <c r="H151" s="2">
        <f t="shared" si="21"/>
        <v>0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si="24"/>
        <v>0</v>
      </c>
      <c r="F152" s="2">
        <f t="shared" si="25"/>
        <v>0</v>
      </c>
      <c r="G152" s="2">
        <f t="shared" ca="1" si="26"/>
        <v>0.41525440603950869</v>
      </c>
      <c r="H152" s="2">
        <f t="shared" si="21"/>
        <v>0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si="24"/>
        <v>0</v>
      </c>
      <c r="F153" s="2">
        <f t="shared" si="25"/>
        <v>0</v>
      </c>
      <c r="G153" s="2">
        <f t="shared" ca="1" si="26"/>
        <v>0.41525440603950869</v>
      </c>
      <c r="H153" s="2">
        <f t="shared" si="21"/>
        <v>0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si="24"/>
        <v>0</v>
      </c>
      <c r="F154" s="2">
        <f t="shared" si="25"/>
        <v>0</v>
      </c>
      <c r="G154" s="2">
        <f t="shared" ca="1" si="26"/>
        <v>0.41525440603950869</v>
      </c>
      <c r="H154" s="2">
        <f t="shared" si="21"/>
        <v>0</v>
      </c>
      <c r="I154" s="2">
        <f t="shared" ca="1" si="22"/>
        <v>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si="24"/>
        <v>0</v>
      </c>
      <c r="F155" s="2">
        <f t="shared" si="25"/>
        <v>0</v>
      </c>
      <c r="G155" s="2">
        <f t="shared" ca="1" si="26"/>
        <v>0.41525440603950869</v>
      </c>
      <c r="H155" s="2">
        <f t="shared" si="21"/>
        <v>0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si="24"/>
        <v>0</v>
      </c>
      <c r="F156" s="2">
        <f t="shared" si="25"/>
        <v>0</v>
      </c>
      <c r="G156" s="2">
        <f t="shared" ca="1" si="26"/>
        <v>0.41525440603950869</v>
      </c>
      <c r="H156" s="2">
        <f t="shared" si="21"/>
        <v>0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si="24"/>
        <v>0</v>
      </c>
      <c r="F157" s="2">
        <f t="shared" si="25"/>
        <v>0</v>
      </c>
      <c r="G157" s="2">
        <f t="shared" ca="1" si="26"/>
        <v>0.41525440603950869</v>
      </c>
      <c r="H157" s="2">
        <f t="shared" si="21"/>
        <v>0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si="24"/>
        <v>0</v>
      </c>
      <c r="F158" s="2">
        <f t="shared" si="25"/>
        <v>0</v>
      </c>
      <c r="G158" s="2">
        <f t="shared" ca="1" si="26"/>
        <v>0.41525440603950869</v>
      </c>
      <c r="H158" s="2">
        <f t="shared" si="21"/>
        <v>0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si="24"/>
        <v>0</v>
      </c>
      <c r="F159" s="2">
        <f t="shared" si="25"/>
        <v>0</v>
      </c>
      <c r="G159" s="2">
        <f t="shared" ca="1" si="26"/>
        <v>0.41525440603950869</v>
      </c>
      <c r="H159" s="2">
        <f t="shared" si="21"/>
        <v>0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si="24"/>
        <v>0</v>
      </c>
      <c r="F160" s="2">
        <f t="shared" si="25"/>
        <v>0</v>
      </c>
      <c r="G160" s="2">
        <f t="shared" ca="1" si="26"/>
        <v>0.41525440603950869</v>
      </c>
      <c r="H160" s="2">
        <f t="shared" si="21"/>
        <v>0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si="24"/>
        <v>0</v>
      </c>
      <c r="F161" s="2">
        <f t="shared" si="25"/>
        <v>0</v>
      </c>
      <c r="G161" s="2">
        <f t="shared" ca="1" si="26"/>
        <v>0.41525440603950869</v>
      </c>
      <c r="H161" s="2">
        <f t="shared" si="21"/>
        <v>0</v>
      </c>
      <c r="I161" s="2">
        <f t="shared" ca="1" si="22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si="24"/>
        <v>0</v>
      </c>
      <c r="F162" s="2">
        <f t="shared" si="25"/>
        <v>0</v>
      </c>
      <c r="G162" s="2">
        <f t="shared" ca="1" si="26"/>
        <v>0.41525440603950869</v>
      </c>
      <c r="H162" s="2">
        <f t="shared" si="21"/>
        <v>0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si="24"/>
        <v>0</v>
      </c>
      <c r="F163" s="2">
        <f t="shared" si="25"/>
        <v>0</v>
      </c>
      <c r="G163" s="2">
        <f t="shared" ca="1" si="26"/>
        <v>0.41525440603950869</v>
      </c>
      <c r="H163" s="2">
        <f t="shared" si="21"/>
        <v>0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si="24"/>
        <v>0</v>
      </c>
      <c r="F164" s="2">
        <f t="shared" si="25"/>
        <v>0</v>
      </c>
      <c r="G164" s="2">
        <f t="shared" ca="1" si="26"/>
        <v>0.41525440603950869</v>
      </c>
      <c r="H164" s="2">
        <f t="shared" si="21"/>
        <v>0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si="24"/>
        <v>0</v>
      </c>
      <c r="F165" s="2">
        <f t="shared" si="25"/>
        <v>0</v>
      </c>
      <c r="G165" s="2">
        <f t="shared" ca="1" si="26"/>
        <v>0.41525440603950869</v>
      </c>
      <c r="H165" s="2">
        <f t="shared" si="21"/>
        <v>0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0.41525440603950869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0.41525440603950869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0.41525440603950869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0.41525440603950869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0.41525440603950869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0.41525440603950869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0.41525440603950869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0.41525440603950869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0.41525440603950869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0.41525440603950869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0.41525440603950869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0.41525440603950869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0.41525440603950869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0.41525440603950869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0.41525440603950869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0.41525440603950869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0.41525440603950869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0.41525440603950869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0.41525440603950869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0.41525440603950869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0.41525440603950869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0.41525440603950869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0.41525440603950869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0.41525440603950869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0.41525440603950869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0.41525440603950869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0.41525440603950869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0.41525440603950869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0.41525440603950869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0.41525440603950869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0.41525440603950869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0.41525440603950869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0.41525440603950869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0.41525440603950869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0.41525440603950869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0.41525440603950869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0.41525440603950869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0.41525440603950869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0.41525440603950869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0.41525440603950869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0.41525440603950869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0.41525440603950869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0.41525440603950869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0.41525440603950869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0.41525440603950869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0.41525440603950869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E7">
    <cfRule type="cellIs" dxfId="69" priority="5" operator="equal">
      <formula>"No RESET Required"</formula>
    </cfRule>
    <cfRule type="cellIs" dxfId="68" priority="6" operator="equal">
      <formula>"RESET"</formula>
    </cfRule>
  </conditionalFormatting>
  <conditionalFormatting sqref="B11:H211">
    <cfRule type="expression" dxfId="67" priority="3">
      <formula>$C11=$C$7</formula>
    </cfRule>
    <cfRule type="expression" dxfId="66" priority="4">
      <formula>$C11&gt;$C$7</formula>
    </cfRule>
  </conditionalFormatting>
  <conditionalFormatting sqref="I11:I211">
    <cfRule type="expression" dxfId="65" priority="1">
      <formula>$C11=$C$7</formula>
    </cfRule>
    <cfRule type="expression" dxfId="64" priority="2">
      <formula>$C11&gt;$C$7</formula>
    </cfRule>
  </conditionalFormatting>
  <hyperlinks>
    <hyperlink ref="H2:I4" location="Summary!A1" display="Return to Home" xr:uid="{DC01E961-A675-454D-B055-8B86E75CAB6B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177800</xdr:colOff>
                    <xdr:row>5</xdr:row>
                    <xdr:rowOff>50800</xdr:rowOff>
                  </from>
                  <to>
                    <xdr:col>8</xdr:col>
                    <xdr:colOff>1524000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AA5B-E6AF-473B-82A9-BB9639C3E462}">
  <sheetPr codeName="Sheet8">
    <tabColor rgb="FF00B0F0"/>
  </sheetPr>
  <dimension ref="B1:J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8.5" bestFit="1" customWidth="1"/>
    <col min="8" max="8" width="13" customWidth="1"/>
    <col min="9" max="9" width="25" bestFit="1" customWidth="1"/>
    <col min="10" max="10" width="9.1640625" bestFit="1" customWidth="1"/>
  </cols>
  <sheetData>
    <row r="1" spans="2:10" ht="16" thickBot="1" x14ac:dyDescent="0.25"/>
    <row r="2" spans="2:10" x14ac:dyDescent="0.2">
      <c r="B2" s="1" t="s">
        <v>0</v>
      </c>
      <c r="C2" s="13">
        <v>750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10" x14ac:dyDescent="0.2">
      <c r="B3" s="1" t="s">
        <v>2</v>
      </c>
      <c r="C3" s="11">
        <v>7</v>
      </c>
      <c r="E3" s="1" t="s">
        <v>3</v>
      </c>
      <c r="F3" s="15">
        <f ca="1">SUM(H11:H211)</f>
        <v>25.420942227576894</v>
      </c>
      <c r="H3" s="25"/>
      <c r="I3" s="26"/>
    </row>
    <row r="4" spans="2:10" ht="16" thickBot="1" x14ac:dyDescent="0.25">
      <c r="B4" s="1" t="s">
        <v>4</v>
      </c>
      <c r="C4" s="9">
        <f>C7/C3</f>
        <v>17</v>
      </c>
      <c r="E4" s="1" t="s">
        <v>5</v>
      </c>
      <c r="F4" s="15">
        <f ca="1">SUM(I11:I211)</f>
        <v>340</v>
      </c>
      <c r="H4" s="27"/>
      <c r="I4" s="28"/>
    </row>
    <row r="5" spans="2:10" x14ac:dyDescent="0.2">
      <c r="B5" s="1" t="s">
        <v>6</v>
      </c>
      <c r="C5" s="12">
        <v>0.19</v>
      </c>
      <c r="E5" s="1" t="s">
        <v>7</v>
      </c>
      <c r="F5" s="15">
        <f ca="1">SUM(F12:F211)</f>
        <v>1114.8736253787715</v>
      </c>
    </row>
    <row r="6" spans="2:10" ht="16" thickBot="1" x14ac:dyDescent="0.25">
      <c r="B6" s="1" t="s">
        <v>8</v>
      </c>
      <c r="C6" s="13">
        <v>20</v>
      </c>
    </row>
    <row r="7" spans="2:10" ht="15" customHeight="1" x14ac:dyDescent="0.2">
      <c r="B7" s="1" t="s">
        <v>9</v>
      </c>
      <c r="C7" s="11">
        <v>119</v>
      </c>
      <c r="E7" s="29" t="str">
        <f ca="1">IF(ROUND(G211,2)&lt;&gt;0,"RESET","No RESET Required")</f>
        <v>RESET</v>
      </c>
      <c r="F7" s="30"/>
    </row>
    <row r="8" spans="2:10" ht="15" customHeight="1" thickBot="1" x14ac:dyDescent="0.25">
      <c r="B8" s="1" t="s">
        <v>10</v>
      </c>
      <c r="C8" s="8">
        <v>65.580801492868929</v>
      </c>
      <c r="E8" s="31"/>
      <c r="F8" s="32"/>
    </row>
    <row r="9" spans="2:10" x14ac:dyDescent="0.2">
      <c r="C9" s="2"/>
      <c r="F9" s="3"/>
      <c r="G9" s="3"/>
      <c r="H9" s="3"/>
      <c r="I9" s="3"/>
      <c r="J9" s="3"/>
    </row>
    <row r="10" spans="2:10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10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750</v>
      </c>
      <c r="H11" s="2">
        <f ca="1">IF(C11&gt;$C$7,0,(G11)*$C$5/365)</f>
        <v>0.3904109589041096</v>
      </c>
      <c r="I11" s="2">
        <f ca="1">IF(AND(C11=0,D11=7),$C$6,IF(C11=$C$7,0,IF(C11&lt;$C$7,IF(D11=7,$C$6,0),0)))</f>
        <v>0</v>
      </c>
    </row>
    <row r="12" spans="2:10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750.39041095890411</v>
      </c>
      <c r="F12" s="2">
        <f ca="1">IF(C12&gt;$C$7,0,IF(ROUND(E12,0)&gt;0,IF(C12=0,0,IF(MOD(C12,$C$3)&gt;0,0,$C$8)),0))</f>
        <v>0</v>
      </c>
      <c r="G12" s="2">
        <f ca="1">IF(C12&gt;$C$7,G11,E12-F12)</f>
        <v>750.39041095890411</v>
      </c>
      <c r="H12" s="2">
        <f t="shared" ref="H12:H75" ca="1" si="1">IF(C12&gt;$C$7,0,(G12)*$C$5/365)</f>
        <v>0.39061418652655283</v>
      </c>
      <c r="I12" s="2">
        <f t="shared" ref="I12:I75" ca="1" si="2">IF(AND(C12=0,D12=7),$C$6,IF(C12=$C$7,0,IF(C12&lt;$C$7,IF(D12=7,$C$6,0),0)))</f>
        <v>0</v>
      </c>
    </row>
    <row r="13" spans="2:10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750.7810251454307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750.7810251454307</v>
      </c>
      <c r="H13" s="2">
        <f t="shared" ca="1" si="1"/>
        <v>0.39081751993871738</v>
      </c>
      <c r="I13" s="2">
        <f t="shared" ca="1" si="2"/>
        <v>0</v>
      </c>
    </row>
    <row r="14" spans="2:10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751.17184266536947</v>
      </c>
      <c r="F14" s="2">
        <f t="shared" ca="1" si="5"/>
        <v>0</v>
      </c>
      <c r="G14" s="2">
        <f t="shared" ca="1" si="6"/>
        <v>751.17184266536947</v>
      </c>
      <c r="H14" s="2">
        <f t="shared" ca="1" si="1"/>
        <v>0.39102095919567176</v>
      </c>
      <c r="I14" s="2">
        <f t="shared" ca="1" si="2"/>
        <v>20</v>
      </c>
    </row>
    <row r="15" spans="2:10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771.56286362456513</v>
      </c>
      <c r="F15" s="2">
        <f t="shared" ca="1" si="5"/>
        <v>0</v>
      </c>
      <c r="G15" s="2">
        <f t="shared" ca="1" si="6"/>
        <v>771.56286362456513</v>
      </c>
      <c r="H15" s="2">
        <f t="shared" ca="1" si="1"/>
        <v>0.40163546325662297</v>
      </c>
      <c r="I15" s="2">
        <f t="shared" ca="1" si="2"/>
        <v>0</v>
      </c>
    </row>
    <row r="16" spans="2:10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771.96449908782176</v>
      </c>
      <c r="F16" s="2">
        <f t="shared" ca="1" si="5"/>
        <v>0</v>
      </c>
      <c r="G16" s="2">
        <f t="shared" ca="1" si="6"/>
        <v>771.96449908782176</v>
      </c>
      <c r="H16" s="2">
        <f t="shared" ca="1" si="1"/>
        <v>0.40184453377174284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772.3663436215935</v>
      </c>
      <c r="F17" s="2">
        <f t="shared" ca="1" si="5"/>
        <v>0</v>
      </c>
      <c r="G17" s="2">
        <f t="shared" ca="1" si="6"/>
        <v>772.3663436215935</v>
      </c>
      <c r="H17" s="2">
        <f t="shared" ca="1" si="1"/>
        <v>0.40205371311808979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772.76839733471161</v>
      </c>
      <c r="F18" s="2">
        <f t="shared" ca="1" si="5"/>
        <v>65.580801492868929</v>
      </c>
      <c r="G18" s="2">
        <f t="shared" ca="1" si="6"/>
        <v>707.18759584184272</v>
      </c>
      <c r="H18" s="2">
        <f t="shared" ca="1" si="1"/>
        <v>0.36812504989027428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707.55572089173302</v>
      </c>
      <c r="F19" s="2">
        <f t="shared" ca="1" si="5"/>
        <v>0</v>
      </c>
      <c r="G19" s="2">
        <f t="shared" ca="1" si="6"/>
        <v>707.55572089173302</v>
      </c>
      <c r="H19" s="2">
        <f t="shared" ca="1" si="1"/>
        <v>0.36831667662857331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707.92403756836154</v>
      </c>
      <c r="F20" s="2">
        <f t="shared" ca="1" si="5"/>
        <v>0</v>
      </c>
      <c r="G20" s="2">
        <f t="shared" ca="1" si="6"/>
        <v>707.92403756836154</v>
      </c>
      <c r="H20" s="2">
        <f t="shared" ca="1" si="1"/>
        <v>0.36850840311777722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708.29254597147929</v>
      </c>
      <c r="F21" s="2">
        <f t="shared" ca="1" si="5"/>
        <v>0</v>
      </c>
      <c r="G21" s="2">
        <f t="shared" ca="1" si="6"/>
        <v>708.29254597147929</v>
      </c>
      <c r="H21" s="2">
        <f t="shared" ca="1" si="1"/>
        <v>0.36870022940981118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728.66124620088908</v>
      </c>
      <c r="F22" s="2">
        <f t="shared" ca="1" si="5"/>
        <v>0</v>
      </c>
      <c r="G22" s="2">
        <f t="shared" ca="1" si="6"/>
        <v>728.66124620088908</v>
      </c>
      <c r="H22" s="2">
        <f t="shared" ca="1" si="1"/>
        <v>0.37930311446073678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729.04054931534984</v>
      </c>
      <c r="F23" s="2">
        <f t="shared" ca="1" si="5"/>
        <v>0</v>
      </c>
      <c r="G23" s="2">
        <f t="shared" ca="1" si="6"/>
        <v>729.04054931534984</v>
      </c>
      <c r="H23" s="2">
        <f t="shared" ca="1" si="1"/>
        <v>0.37950055991757936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729.42004987526741</v>
      </c>
      <c r="F24" s="2">
        <f t="shared" ca="1" si="5"/>
        <v>0</v>
      </c>
      <c r="G24" s="2">
        <f t="shared" ca="1" si="6"/>
        <v>729.42004987526741</v>
      </c>
      <c r="H24" s="2">
        <f t="shared" ca="1" si="1"/>
        <v>0.37969810815424881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729.79974798342164</v>
      </c>
      <c r="F25" s="2">
        <f t="shared" ca="1" si="5"/>
        <v>65.580801492868929</v>
      </c>
      <c r="G25" s="2">
        <f t="shared" ca="1" si="6"/>
        <v>664.21894649055275</v>
      </c>
      <c r="H25" s="2">
        <f t="shared" ca="1" si="1"/>
        <v>0.34575780776220555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664.56470429831495</v>
      </c>
      <c r="F26" s="2">
        <f t="shared" ca="1" si="5"/>
        <v>0</v>
      </c>
      <c r="G26" s="2">
        <f t="shared" ca="1" si="6"/>
        <v>664.56470429831495</v>
      </c>
      <c r="H26" s="2">
        <f t="shared" ca="1" si="1"/>
        <v>0.34593779127857488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664.91064208959358</v>
      </c>
      <c r="F27" s="2">
        <f t="shared" ca="1" si="5"/>
        <v>0</v>
      </c>
      <c r="G27" s="2">
        <f t="shared" ca="1" si="6"/>
        <v>664.91064208959358</v>
      </c>
      <c r="H27" s="2">
        <f t="shared" ca="1" si="1"/>
        <v>0.34611786848499393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665.25675995807853</v>
      </c>
      <c r="F28" s="2">
        <f t="shared" ca="1" si="5"/>
        <v>0</v>
      </c>
      <c r="G28" s="2">
        <f t="shared" ca="1" si="6"/>
        <v>665.25675995807853</v>
      </c>
      <c r="H28" s="2">
        <f t="shared" ca="1" si="1"/>
        <v>0.34629803943023268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685.60305799750881</v>
      </c>
      <c r="F29" s="2">
        <f t="shared" ca="1" si="5"/>
        <v>0</v>
      </c>
      <c r="G29" s="2">
        <f t="shared" ca="1" si="6"/>
        <v>685.60305799750881</v>
      </c>
      <c r="H29" s="2">
        <f t="shared" ca="1" si="1"/>
        <v>0.35688926306719637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685.95994726057597</v>
      </c>
      <c r="F30" s="2">
        <f t="shared" ca="1" si="5"/>
        <v>0</v>
      </c>
      <c r="G30" s="2">
        <f t="shared" ca="1" si="6"/>
        <v>685.95994726057597</v>
      </c>
      <c r="H30" s="2">
        <f t="shared" ca="1" si="1"/>
        <v>0.35707504103975185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686.31702230161568</v>
      </c>
      <c r="F31" s="2">
        <f t="shared" ca="1" si="5"/>
        <v>0</v>
      </c>
      <c r="G31" s="2">
        <f t="shared" ca="1" si="6"/>
        <v>686.31702230161568</v>
      </c>
      <c r="H31" s="2">
        <f t="shared" ca="1" si="1"/>
        <v>0.35726091571864926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686.67428321733428</v>
      </c>
      <c r="F32" s="2">
        <f t="shared" ca="1" si="5"/>
        <v>65.580801492868929</v>
      </c>
      <c r="G32" s="2">
        <f t="shared" ca="1" si="6"/>
        <v>621.09348172446539</v>
      </c>
      <c r="H32" s="2">
        <f t="shared" ca="1" si="1"/>
        <v>0.32330893569218749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621.41679066015763</v>
      </c>
      <c r="F33" s="2">
        <f t="shared" ca="1" si="5"/>
        <v>0</v>
      </c>
      <c r="G33" s="2">
        <f t="shared" ca="1" si="6"/>
        <v>621.41679066015763</v>
      </c>
      <c r="H33" s="2">
        <f t="shared" ca="1" si="1"/>
        <v>0.32347723349432861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621.740267893652</v>
      </c>
      <c r="F34" s="2">
        <f t="shared" ca="1" si="5"/>
        <v>0</v>
      </c>
      <c r="G34" s="2">
        <f t="shared" ca="1" si="6"/>
        <v>621.740267893652</v>
      </c>
      <c r="H34" s="2">
        <f t="shared" ca="1" si="1"/>
        <v>0.32364561890354487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622.06391351255559</v>
      </c>
      <c r="F35" s="2">
        <f t="shared" ca="1" si="5"/>
        <v>0</v>
      </c>
      <c r="G35" s="2">
        <f t="shared" ca="1" si="6"/>
        <v>622.06391351255559</v>
      </c>
      <c r="H35" s="2">
        <f t="shared" ca="1" si="1"/>
        <v>0.32381409196543987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642.38772760452105</v>
      </c>
      <c r="F36" s="2">
        <f t="shared" ca="1" si="5"/>
        <v>0</v>
      </c>
      <c r="G36" s="2">
        <f t="shared" ca="1" si="6"/>
        <v>642.38772760452105</v>
      </c>
      <c r="H36" s="2">
        <f t="shared" ca="1" si="1"/>
        <v>0.33439361162975068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642.72212121615075</v>
      </c>
      <c r="F37" s="2">
        <f t="shared" ca="1" si="5"/>
        <v>0</v>
      </c>
      <c r="G37" s="2">
        <f t="shared" ca="1" si="6"/>
        <v>642.72212121615075</v>
      </c>
      <c r="H37" s="2">
        <f t="shared" ca="1" si="1"/>
        <v>0.33456767953717437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643.0566888956879</v>
      </c>
      <c r="F38" s="2">
        <f t="shared" ca="1" si="5"/>
        <v>0</v>
      </c>
      <c r="G38" s="2">
        <f t="shared" ca="1" si="6"/>
        <v>643.0566888956879</v>
      </c>
      <c r="H38" s="2">
        <f t="shared" ca="1" si="1"/>
        <v>0.33474183805528956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643.39143073374316</v>
      </c>
      <c r="F39" s="2">
        <f t="shared" ca="1" si="5"/>
        <v>65.580801492868929</v>
      </c>
      <c r="G39" s="2">
        <f t="shared" ca="1" si="6"/>
        <v>577.81062924087428</v>
      </c>
      <c r="H39" s="2">
        <f t="shared" ca="1" si="1"/>
        <v>0.30077813576922219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578.11140737664346</v>
      </c>
      <c r="F40" s="2">
        <f t="shared" ca="1" si="5"/>
        <v>0</v>
      </c>
      <c r="G40" s="2">
        <f t="shared" ca="1" si="6"/>
        <v>578.11140737664346</v>
      </c>
      <c r="H40" s="2">
        <f t="shared" ca="1" si="1"/>
        <v>0.30093470520975962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578.41234208185324</v>
      </c>
      <c r="F41" s="2">
        <f t="shared" ca="1" si="5"/>
        <v>0</v>
      </c>
      <c r="G41" s="2">
        <f t="shared" ca="1" si="6"/>
        <v>578.41234208185324</v>
      </c>
      <c r="H41" s="2">
        <f t="shared" ca="1" si="1"/>
        <v>0.30109135615219762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578.71343343800538</v>
      </c>
      <c r="F42" s="2">
        <f t="shared" ca="1" si="5"/>
        <v>0</v>
      </c>
      <c r="G42" s="2">
        <f t="shared" ca="1" si="6"/>
        <v>578.71343343800538</v>
      </c>
      <c r="H42" s="2">
        <f t="shared" ca="1" si="1"/>
        <v>0.30124808863896169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599.01468152664438</v>
      </c>
      <c r="F43" s="2">
        <f t="shared" ca="1" si="5"/>
        <v>0</v>
      </c>
      <c r="G43" s="2">
        <f t="shared" ca="1" si="6"/>
        <v>599.01468152664438</v>
      </c>
      <c r="H43" s="2">
        <f t="shared" ca="1" si="1"/>
        <v>0.3118158616166094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599.32649738826103</v>
      </c>
      <c r="F44" s="2">
        <f t="shared" ca="1" si="5"/>
        <v>0</v>
      </c>
      <c r="G44" s="2">
        <f t="shared" ca="1" si="6"/>
        <v>599.32649738826103</v>
      </c>
      <c r="H44" s="2">
        <f t="shared" ca="1" si="1"/>
        <v>0.31197817672265643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599.63847556498365</v>
      </c>
      <c r="F45" s="2">
        <f t="shared" ca="1" si="5"/>
        <v>0</v>
      </c>
      <c r="G45" s="2">
        <f t="shared" ca="1" si="6"/>
        <v>599.63847556498365</v>
      </c>
      <c r="H45" s="2">
        <f t="shared" ca="1" si="1"/>
        <v>0.31214057632149833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599.9506161413052</v>
      </c>
      <c r="F46" s="2">
        <f t="shared" ca="1" si="5"/>
        <v>65.580801492868929</v>
      </c>
      <c r="G46" s="2">
        <f t="shared" ca="1" si="6"/>
        <v>534.36981464843632</v>
      </c>
      <c r="H46" s="2">
        <f t="shared" ca="1" si="1"/>
        <v>0.2781651089950764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534.64797975743136</v>
      </c>
      <c r="F47" s="2">
        <f t="shared" ca="1" si="5"/>
        <v>0</v>
      </c>
      <c r="G47" s="2">
        <f t="shared" ca="1" si="6"/>
        <v>534.64797975743136</v>
      </c>
      <c r="H47" s="2">
        <f t="shared" ca="1" si="1"/>
        <v>0.2783099072709917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534.92628966470238</v>
      </c>
      <c r="F48" s="2">
        <f t="shared" ca="1" si="5"/>
        <v>0</v>
      </c>
      <c r="G48" s="2">
        <f t="shared" ca="1" si="6"/>
        <v>534.92628966470238</v>
      </c>
      <c r="H48" s="2">
        <f t="shared" ca="1" si="1"/>
        <v>0.2784547809213519</v>
      </c>
      <c r="I48" s="2">
        <f t="shared" ca="1" si="2"/>
        <v>0</v>
      </c>
    </row>
    <row r="49" spans="2:10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535.20474444562376</v>
      </c>
      <c r="F49" s="2">
        <f t="shared" ca="1" si="5"/>
        <v>0</v>
      </c>
      <c r="G49" s="2">
        <f t="shared" ca="1" si="6"/>
        <v>535.20474444562376</v>
      </c>
      <c r="H49" s="2">
        <f t="shared" ca="1" si="1"/>
        <v>0.27859972998539317</v>
      </c>
      <c r="I49" s="2">
        <f t="shared" ca="1" si="2"/>
        <v>20</v>
      </c>
    </row>
    <row r="50" spans="2:10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555.4833441756092</v>
      </c>
      <c r="F50" s="2">
        <f t="shared" ca="1" si="5"/>
        <v>0</v>
      </c>
      <c r="G50" s="2">
        <f t="shared" ca="1" si="6"/>
        <v>555.4833441756092</v>
      </c>
      <c r="H50" s="2">
        <f t="shared" ca="1" si="1"/>
        <v>0.2891557134064815</v>
      </c>
      <c r="I50" s="2">
        <f t="shared" ca="1" si="2"/>
        <v>0</v>
      </c>
    </row>
    <row r="51" spans="2:10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555.77249988901565</v>
      </c>
      <c r="F51" s="2">
        <f t="shared" ca="1" si="5"/>
        <v>0</v>
      </c>
      <c r="G51" s="2">
        <f t="shared" ca="1" si="6"/>
        <v>555.77249988901565</v>
      </c>
      <c r="H51" s="2">
        <f t="shared" ca="1" si="1"/>
        <v>0.28930623281893963</v>
      </c>
      <c r="I51" s="2">
        <f t="shared" ca="1" si="2"/>
        <v>0</v>
      </c>
    </row>
    <row r="52" spans="2:10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556.06180612183459</v>
      </c>
      <c r="F52" s="2">
        <f t="shared" ca="1" si="5"/>
        <v>0</v>
      </c>
      <c r="G52" s="2">
        <f t="shared" ca="1" si="6"/>
        <v>556.06180612183459</v>
      </c>
      <c r="H52" s="2">
        <f t="shared" ca="1" si="1"/>
        <v>0.28945683058396871</v>
      </c>
      <c r="I52" s="2">
        <f t="shared" ca="1" si="2"/>
        <v>0</v>
      </c>
    </row>
    <row r="53" spans="2:10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556.35126295241855</v>
      </c>
      <c r="F53" s="2">
        <f t="shared" ca="1" si="5"/>
        <v>65.580801492868929</v>
      </c>
      <c r="G53" s="2">
        <f t="shared" ca="1" si="6"/>
        <v>490.77046145954961</v>
      </c>
      <c r="H53" s="2">
        <f t="shared" ca="1" si="1"/>
        <v>0.25546955528031351</v>
      </c>
      <c r="I53" s="2">
        <f t="shared" ca="1" si="2"/>
        <v>0</v>
      </c>
      <c r="J53" s="5"/>
    </row>
    <row r="54" spans="2:10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491.02593101482989</v>
      </c>
      <c r="F54" s="2">
        <f t="shared" ca="1" si="5"/>
        <v>0</v>
      </c>
      <c r="G54" s="2">
        <f t="shared" ca="1" si="6"/>
        <v>491.02593101482989</v>
      </c>
      <c r="H54" s="2">
        <f t="shared" ca="1" si="1"/>
        <v>0.25560253943237721</v>
      </c>
      <c r="I54" s="2">
        <f t="shared" ca="1" si="2"/>
        <v>0</v>
      </c>
    </row>
    <row r="55" spans="2:10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491.2815335542623</v>
      </c>
      <c r="F55" s="2">
        <f t="shared" ca="1" si="5"/>
        <v>0</v>
      </c>
      <c r="G55" s="2">
        <f t="shared" ca="1" si="6"/>
        <v>491.2815335542623</v>
      </c>
      <c r="H55" s="2">
        <f t="shared" ca="1" si="1"/>
        <v>0.25573559280906805</v>
      </c>
      <c r="I55" s="2">
        <f t="shared" ca="1" si="2"/>
        <v>0</v>
      </c>
    </row>
    <row r="56" spans="2:10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491.53726914707136</v>
      </c>
      <c r="F56" s="2">
        <f t="shared" ca="1" si="5"/>
        <v>0</v>
      </c>
      <c r="G56" s="2">
        <f t="shared" ca="1" si="6"/>
        <v>491.53726914707136</v>
      </c>
      <c r="H56" s="2">
        <f t="shared" ca="1" si="1"/>
        <v>0.2558687154464207</v>
      </c>
      <c r="I56" s="2">
        <f t="shared" ca="1" si="2"/>
        <v>20</v>
      </c>
    </row>
    <row r="57" spans="2:10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511.79313786251777</v>
      </c>
      <c r="F57" s="2">
        <f t="shared" ca="1" si="5"/>
        <v>0</v>
      </c>
      <c r="G57" s="2">
        <f t="shared" ca="1" si="6"/>
        <v>511.79313786251777</v>
      </c>
      <c r="H57" s="2">
        <f t="shared" ca="1" si="1"/>
        <v>0.26641286628459832</v>
      </c>
      <c r="I57" s="2">
        <f t="shared" ca="1" si="2"/>
        <v>0</v>
      </c>
    </row>
    <row r="58" spans="2:10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512.05955072880238</v>
      </c>
      <c r="F58" s="2">
        <f t="shared" ca="1" si="5"/>
        <v>0</v>
      </c>
      <c r="G58" s="2">
        <f t="shared" ca="1" si="6"/>
        <v>512.05955072880238</v>
      </c>
      <c r="H58" s="2">
        <f t="shared" ca="1" si="1"/>
        <v>0.26655154695471905</v>
      </c>
      <c r="I58" s="2">
        <f t="shared" ca="1" si="2"/>
        <v>0</v>
      </c>
    </row>
    <row r="59" spans="2:10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512.32610227575708</v>
      </c>
      <c r="F59" s="2">
        <f t="shared" ca="1" si="5"/>
        <v>0</v>
      </c>
      <c r="G59" s="2">
        <f t="shared" ca="1" si="6"/>
        <v>512.32610227575708</v>
      </c>
      <c r="H59" s="2">
        <f t="shared" ca="1" si="1"/>
        <v>0.26669029981477765</v>
      </c>
      <c r="I59" s="2">
        <f t="shared" ca="1" si="2"/>
        <v>0</v>
      </c>
    </row>
    <row r="60" spans="2:10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512.59279257557182</v>
      </c>
      <c r="F60" s="2">
        <f t="shared" ca="1" si="5"/>
        <v>65.580801492868929</v>
      </c>
      <c r="G60" s="2">
        <f t="shared" ca="1" si="6"/>
        <v>447.01199108270288</v>
      </c>
      <c r="H60" s="2">
        <f t="shared" ca="1" si="1"/>
        <v>0.23269117344031109</v>
      </c>
      <c r="I60" s="2">
        <f t="shared" ca="1" si="2"/>
        <v>0</v>
      </c>
    </row>
    <row r="61" spans="2:10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447.24468225614316</v>
      </c>
      <c r="F61" s="2">
        <f t="shared" ca="1" si="5"/>
        <v>0</v>
      </c>
      <c r="G61" s="2">
        <f t="shared" ca="1" si="6"/>
        <v>447.24468225614316</v>
      </c>
      <c r="H61" s="2">
        <f t="shared" ca="1" si="1"/>
        <v>0.23281230035251285</v>
      </c>
      <c r="I61" s="2">
        <f t="shared" ca="1" si="2"/>
        <v>0</v>
      </c>
    </row>
    <row r="62" spans="2:10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447.47749455649569</v>
      </c>
      <c r="F62" s="2">
        <f t="shared" ca="1" si="5"/>
        <v>0</v>
      </c>
      <c r="G62" s="2">
        <f t="shared" ca="1" si="6"/>
        <v>447.47749455649569</v>
      </c>
      <c r="H62" s="2">
        <f t="shared" ca="1" si="1"/>
        <v>0.23293349031707994</v>
      </c>
      <c r="I62" s="2">
        <f t="shared" ca="1" si="2"/>
        <v>0</v>
      </c>
    </row>
    <row r="63" spans="2:10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447.71042804681275</v>
      </c>
      <c r="F63" s="2">
        <f t="shared" ca="1" si="5"/>
        <v>0</v>
      </c>
      <c r="G63" s="2">
        <f t="shared" ca="1" si="6"/>
        <v>447.71042804681275</v>
      </c>
      <c r="H63" s="2">
        <f t="shared" ca="1" si="1"/>
        <v>0.23305474336683402</v>
      </c>
      <c r="I63" s="2">
        <f t="shared" ca="1" si="2"/>
        <v>20</v>
      </c>
    </row>
    <row r="64" spans="2:10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467.94348279017959</v>
      </c>
      <c r="F64" s="2">
        <f t="shared" ca="1" si="5"/>
        <v>0</v>
      </c>
      <c r="G64" s="2">
        <f t="shared" ca="1" si="6"/>
        <v>467.94348279017959</v>
      </c>
      <c r="H64" s="2">
        <f t="shared" ca="1" si="1"/>
        <v>0.2435870184387236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468.18706980861833</v>
      </c>
      <c r="F65" s="2">
        <f t="shared" ca="1" si="5"/>
        <v>0</v>
      </c>
      <c r="G65" s="2">
        <f t="shared" ca="1" si="6"/>
        <v>468.18706980861833</v>
      </c>
      <c r="H65" s="2">
        <f t="shared" ca="1" si="1"/>
        <v>0.24371381716065063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468.43078362577899</v>
      </c>
      <c r="F66" s="2">
        <f t="shared" ca="1" si="5"/>
        <v>0</v>
      </c>
      <c r="G66" s="2">
        <f t="shared" ca="1" si="6"/>
        <v>468.43078362577899</v>
      </c>
      <c r="H66" s="2">
        <f t="shared" ca="1" si="1"/>
        <v>0.2438406818873918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468.67462430766636</v>
      </c>
      <c r="F67" s="2">
        <f t="shared" ca="1" si="5"/>
        <v>65.580801492868929</v>
      </c>
      <c r="G67" s="2">
        <f t="shared" ca="1" si="6"/>
        <v>403.09382281479742</v>
      </c>
      <c r="H67" s="2">
        <f t="shared" ca="1" si="1"/>
        <v>0.20982966119126442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403.30365247598866</v>
      </c>
      <c r="F68" s="2">
        <f t="shared" ca="1" si="5"/>
        <v>0</v>
      </c>
      <c r="G68" s="2">
        <f t="shared" ca="1" si="6"/>
        <v>403.30365247598866</v>
      </c>
      <c r="H68" s="2">
        <f t="shared" ca="1" si="1"/>
        <v>0.20993888759024068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403.51359136357888</v>
      </c>
      <c r="F69" s="2">
        <f t="shared" ca="1" si="5"/>
        <v>0</v>
      </c>
      <c r="G69" s="2">
        <f t="shared" ca="1" si="6"/>
        <v>403.51359136357888</v>
      </c>
      <c r="H69" s="2">
        <f t="shared" ca="1" si="1"/>
        <v>0.21004817084679447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403.72363953442567</v>
      </c>
      <c r="F70" s="2">
        <f t="shared" ca="1" si="5"/>
        <v>0</v>
      </c>
      <c r="G70" s="2">
        <f t="shared" ca="1" si="6"/>
        <v>403.72363953442567</v>
      </c>
      <c r="H70" s="2">
        <f t="shared" ca="1" si="1"/>
        <v>0.21015751099052296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423.93379704541621</v>
      </c>
      <c r="F71" s="2">
        <f t="shared" ca="1" si="5"/>
        <v>0</v>
      </c>
      <c r="G71" s="2">
        <f t="shared" ca="1" si="6"/>
        <v>423.93379704541621</v>
      </c>
      <c r="H71" s="2">
        <f t="shared" ca="1" si="1"/>
        <v>0.22067786695514818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424.15447491237137</v>
      </c>
      <c r="F72" s="2">
        <f t="shared" ca="1" si="5"/>
        <v>0</v>
      </c>
      <c r="G72" s="2">
        <f t="shared" ca="1" si="6"/>
        <v>424.15447491237137</v>
      </c>
      <c r="H72" s="2">
        <f t="shared" ca="1" si="1"/>
        <v>0.22079274036534399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424.37526765273674</v>
      </c>
      <c r="F73" s="2">
        <f t="shared" ca="1" si="5"/>
        <v>0</v>
      </c>
      <c r="G73" s="2">
        <f t="shared" ca="1" si="6"/>
        <v>424.37526765273674</v>
      </c>
      <c r="H73" s="2">
        <f t="shared" ca="1" si="1"/>
        <v>0.22090767357265748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424.59617532630938</v>
      </c>
      <c r="F74" s="2">
        <f t="shared" ca="1" si="5"/>
        <v>65.580801492868929</v>
      </c>
      <c r="G74" s="2">
        <f t="shared" ca="1" si="6"/>
        <v>359.01537383344044</v>
      </c>
      <c r="H74" s="2">
        <f t="shared" ca="1" si="1"/>
        <v>0.18688471514617447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359.2022585485866</v>
      </c>
      <c r="F75" s="2">
        <f t="shared" ca="1" si="5"/>
        <v>0</v>
      </c>
      <c r="G75" s="2">
        <f t="shared" ca="1" si="6"/>
        <v>359.2022585485866</v>
      </c>
      <c r="H75" s="2">
        <f t="shared" ca="1" si="1"/>
        <v>0.18698199760063411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359.38924054618724</v>
      </c>
      <c r="F76" s="2">
        <f t="shared" ca="1" si="5"/>
        <v>0</v>
      </c>
      <c r="G76" s="2">
        <f t="shared" ca="1" si="6"/>
        <v>359.38924054618724</v>
      </c>
      <c r="H76" s="2">
        <f t="shared" ref="H76:H139" ca="1" si="11">IF(C76&gt;$C$7,0,(G76)*$C$5/365)</f>
        <v>0.18707933069527555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359.57631987688251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359.57631987688251</v>
      </c>
      <c r="H77" s="2">
        <f t="shared" ca="1" si="11"/>
        <v>0.18717671445645939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379.76349659133899</v>
      </c>
      <c r="F78" s="2">
        <f t="shared" ca="1" si="15"/>
        <v>0</v>
      </c>
      <c r="G78" s="2">
        <f t="shared" ca="1" si="16"/>
        <v>379.76349659133899</v>
      </c>
      <c r="H78" s="2">
        <f t="shared" ca="1" si="11"/>
        <v>0.19768510781466964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379.96118169915366</v>
      </c>
      <c r="F79" s="2">
        <f t="shared" ca="1" si="15"/>
        <v>0</v>
      </c>
      <c r="G79" s="2">
        <f t="shared" ca="1" si="16"/>
        <v>379.96118169915366</v>
      </c>
      <c r="H79" s="2">
        <f t="shared" ca="1" si="11"/>
        <v>0.19778801239134025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380.15896971154501</v>
      </c>
      <c r="F80" s="2">
        <f t="shared" ca="1" si="15"/>
        <v>0</v>
      </c>
      <c r="G80" s="2">
        <f t="shared" ca="1" si="16"/>
        <v>380.15896971154501</v>
      </c>
      <c r="H80" s="2">
        <f t="shared" ca="1" si="11"/>
        <v>0.19789097053477683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380.3568606820798</v>
      </c>
      <c r="F81" s="2">
        <f t="shared" ca="1" si="15"/>
        <v>65.580801492868929</v>
      </c>
      <c r="G81" s="2">
        <f t="shared" ca="1" si="16"/>
        <v>314.77605918921086</v>
      </c>
      <c r="H81" s="2">
        <f t="shared" ca="1" si="11"/>
        <v>0.16385603081082209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314.9399152200217</v>
      </c>
      <c r="F82" s="2">
        <f t="shared" ca="1" si="15"/>
        <v>0</v>
      </c>
      <c r="G82" s="2">
        <f t="shared" ca="1" si="16"/>
        <v>314.9399152200217</v>
      </c>
      <c r="H82" s="2">
        <f t="shared" ca="1" si="11"/>
        <v>0.1639413257309702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315.10385654575265</v>
      </c>
      <c r="F83" s="2">
        <f t="shared" ca="1" si="15"/>
        <v>0</v>
      </c>
      <c r="G83" s="2">
        <f t="shared" ca="1" si="16"/>
        <v>315.10385654575265</v>
      </c>
      <c r="H83" s="2">
        <f t="shared" ca="1" si="11"/>
        <v>0.16402666505121372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315.26788321080386</v>
      </c>
      <c r="F84" s="2">
        <f t="shared" ca="1" si="15"/>
        <v>0</v>
      </c>
      <c r="G84" s="2">
        <f t="shared" ca="1" si="16"/>
        <v>315.26788321080386</v>
      </c>
      <c r="H84" s="2">
        <f t="shared" ca="1" si="11"/>
        <v>0.16411204879466501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335.43199525959852</v>
      </c>
      <c r="F85" s="2">
        <f t="shared" ca="1" si="15"/>
        <v>0</v>
      </c>
      <c r="G85" s="2">
        <f t="shared" ca="1" si="16"/>
        <v>335.43199525959852</v>
      </c>
      <c r="H85" s="2">
        <f t="shared" ca="1" si="11"/>
        <v>0.17460843588855812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335.60660369548708</v>
      </c>
      <c r="F86" s="2">
        <f t="shared" ca="1" si="15"/>
        <v>0</v>
      </c>
      <c r="G86" s="2">
        <f t="shared" ca="1" si="16"/>
        <v>335.60660369548708</v>
      </c>
      <c r="H86" s="2">
        <f t="shared" ca="1" si="11"/>
        <v>0.17469932795107548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335.78130302343817</v>
      </c>
      <c r="F87" s="2">
        <f t="shared" ca="1" si="15"/>
        <v>0</v>
      </c>
      <c r="G87" s="2">
        <f t="shared" ca="1" si="16"/>
        <v>335.78130302343817</v>
      </c>
      <c r="H87" s="2">
        <f t="shared" ca="1" si="11"/>
        <v>0.17479026732726918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335.95609329076547</v>
      </c>
      <c r="F88" s="2">
        <f t="shared" ca="1" si="15"/>
        <v>65.580801492868929</v>
      </c>
      <c r="G88" s="2">
        <f t="shared" ca="1" si="16"/>
        <v>270.37529179789652</v>
      </c>
      <c r="H88" s="2">
        <f t="shared" ca="1" si="11"/>
        <v>0.14074330257972698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270.51603510047624</v>
      </c>
      <c r="F89" s="2">
        <f t="shared" ca="1" si="15"/>
        <v>0</v>
      </c>
      <c r="G89" s="2">
        <f t="shared" ca="1" si="16"/>
        <v>270.51603510047624</v>
      </c>
      <c r="H89" s="2">
        <f t="shared" ca="1" si="11"/>
        <v>0.14081656621668628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270.65685166669294</v>
      </c>
      <c r="F90" s="2">
        <f t="shared" ca="1" si="15"/>
        <v>0</v>
      </c>
      <c r="G90" s="2">
        <f t="shared" ca="1" si="16"/>
        <v>270.65685166669294</v>
      </c>
      <c r="H90" s="2">
        <f t="shared" ca="1" si="11"/>
        <v>0.14088986799088127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270.79774153468384</v>
      </c>
      <c r="F91" s="2">
        <f t="shared" ca="1" si="15"/>
        <v>0</v>
      </c>
      <c r="G91" s="2">
        <f t="shared" ca="1" si="16"/>
        <v>270.79774153468384</v>
      </c>
      <c r="H91" s="2">
        <f t="shared" ca="1" si="11"/>
        <v>0.14096320792216419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290.93870474260598</v>
      </c>
      <c r="F92" s="2">
        <f t="shared" ca="1" si="15"/>
        <v>0</v>
      </c>
      <c r="G92" s="2">
        <f t="shared" ca="1" si="16"/>
        <v>290.93870474260598</v>
      </c>
      <c r="H92" s="2">
        <f t="shared" ca="1" si="11"/>
        <v>0.15144754493450724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291.09015228754049</v>
      </c>
      <c r="F93" s="2">
        <f t="shared" ca="1" si="15"/>
        <v>0</v>
      </c>
      <c r="G93" s="2">
        <f t="shared" ca="1" si="16"/>
        <v>291.09015228754049</v>
      </c>
      <c r="H93" s="2">
        <f t="shared" ca="1" si="11"/>
        <v>0.15152638064282931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291.24167866818334</v>
      </c>
      <c r="F94" s="2">
        <f t="shared" ca="1" si="15"/>
        <v>0</v>
      </c>
      <c r="G94" s="2">
        <f t="shared" ca="1" si="16"/>
        <v>291.24167866818334</v>
      </c>
      <c r="H94" s="2">
        <f t="shared" ca="1" si="11"/>
        <v>0.15160525738891736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291.39328392557223</v>
      </c>
      <c r="F95" s="2">
        <f t="shared" ca="1" si="15"/>
        <v>65.580801492868929</v>
      </c>
      <c r="G95" s="2">
        <f t="shared" ca="1" si="16"/>
        <v>225.81248243270329</v>
      </c>
      <c r="H95" s="2">
        <f t="shared" ca="1" si="11"/>
        <v>0.11754622373209213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225.93002865643538</v>
      </c>
      <c r="F96" s="2">
        <f t="shared" ca="1" si="15"/>
        <v>0</v>
      </c>
      <c r="G96" s="2">
        <f t="shared" ca="1" si="16"/>
        <v>225.93002865643538</v>
      </c>
      <c r="H96" s="2">
        <f t="shared" ca="1" si="11"/>
        <v>0.11760741217732253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226.04763606861272</v>
      </c>
      <c r="F97" s="2">
        <f t="shared" ca="1" si="15"/>
        <v>0</v>
      </c>
      <c r="G97" s="2">
        <f t="shared" ca="1" si="16"/>
        <v>226.04763606861272</v>
      </c>
      <c r="H97" s="2">
        <f t="shared" ca="1" si="11"/>
        <v>0.11766863247407237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226.1653047010868</v>
      </c>
      <c r="F98" s="2">
        <f t="shared" ca="1" si="15"/>
        <v>0</v>
      </c>
      <c r="G98" s="2">
        <f t="shared" ca="1" si="16"/>
        <v>226.1653047010868</v>
      </c>
      <c r="H98" s="2">
        <f t="shared" ca="1" si="11"/>
        <v>0.11772988463892189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246.28303458572572</v>
      </c>
      <c r="F99" s="2">
        <f t="shared" ca="1" si="15"/>
        <v>0</v>
      </c>
      <c r="G99" s="2">
        <f t="shared" ca="1" si="16"/>
        <v>246.28303458572572</v>
      </c>
      <c r="H99" s="2">
        <f t="shared" ca="1" si="11"/>
        <v>0.12820212759256955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246.41123671331829</v>
      </c>
      <c r="F100" s="2">
        <f t="shared" ca="1" si="15"/>
        <v>0</v>
      </c>
      <c r="G100" s="2">
        <f t="shared" ca="1" si="16"/>
        <v>246.41123671331829</v>
      </c>
      <c r="H100" s="2">
        <f t="shared" ca="1" si="11"/>
        <v>0.12826886294665885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246.53950557626496</v>
      </c>
      <c r="F101" s="2">
        <f t="shared" ca="1" si="15"/>
        <v>0</v>
      </c>
      <c r="G101" s="2">
        <f t="shared" ca="1" si="16"/>
        <v>246.53950557626496</v>
      </c>
      <c r="H101" s="2">
        <f t="shared" ca="1" si="11"/>
        <v>0.12833563303969955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246.66784120930467</v>
      </c>
      <c r="F102" s="2">
        <f t="shared" ca="1" si="15"/>
        <v>65.580801492868929</v>
      </c>
      <c r="G102" s="2">
        <f t="shared" ca="1" si="16"/>
        <v>181.08703971643575</v>
      </c>
      <c r="H102" s="2">
        <f t="shared" ca="1" si="11"/>
        <v>9.4264486427733676E-2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ca="1" si="14"/>
        <v>181.18130420286349</v>
      </c>
      <c r="F103" s="2">
        <f t="shared" ca="1" si="15"/>
        <v>0</v>
      </c>
      <c r="G103" s="2">
        <f t="shared" ca="1" si="16"/>
        <v>181.18130420286349</v>
      </c>
      <c r="H103" s="2">
        <f t="shared" ca="1" si="11"/>
        <v>9.4313555612449487E-2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ca="1" si="14"/>
        <v>181.27561775847593</v>
      </c>
      <c r="F104" s="2">
        <f t="shared" ca="1" si="15"/>
        <v>0</v>
      </c>
      <c r="G104" s="2">
        <f t="shared" ca="1" si="16"/>
        <v>181.27561775847593</v>
      </c>
      <c r="H104" s="2">
        <f t="shared" ca="1" si="11"/>
        <v>9.4362650340028567E-2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ca="1" si="14"/>
        <v>181.36998040881596</v>
      </c>
      <c r="F105" s="2">
        <f t="shared" ca="1" si="15"/>
        <v>0</v>
      </c>
      <c r="G105" s="2">
        <f t="shared" ca="1" si="16"/>
        <v>181.36998040881596</v>
      </c>
      <c r="H105" s="2">
        <f t="shared" ca="1" si="11"/>
        <v>9.4411770623767224E-2</v>
      </c>
      <c r="I105" s="2">
        <f t="shared" ca="1" si="12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ca="1" si="14"/>
        <v>201.46439217943973</v>
      </c>
      <c r="F106" s="2">
        <f t="shared" ca="1" si="15"/>
        <v>0</v>
      </c>
      <c r="G106" s="2">
        <f t="shared" ca="1" si="16"/>
        <v>201.46439217943973</v>
      </c>
      <c r="H106" s="2">
        <f t="shared" ca="1" si="11"/>
        <v>0.10487187538107821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ca="1" si="14"/>
        <v>201.56926405482079</v>
      </c>
      <c r="F107" s="2">
        <f t="shared" ca="1" si="15"/>
        <v>0</v>
      </c>
      <c r="G107" s="2">
        <f t="shared" ca="1" si="16"/>
        <v>201.56926405482079</v>
      </c>
      <c r="H107" s="2">
        <f t="shared" ca="1" si="11"/>
        <v>0.10492646622031768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ca="1" si="14"/>
        <v>201.67419052104111</v>
      </c>
      <c r="F108" s="2">
        <f t="shared" ca="1" si="15"/>
        <v>0</v>
      </c>
      <c r="G108" s="2">
        <f t="shared" ca="1" si="16"/>
        <v>201.67419052104111</v>
      </c>
      <c r="H108" s="2">
        <f t="shared" ca="1" si="11"/>
        <v>0.10498108547670634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ca="1" si="14"/>
        <v>201.77917160651782</v>
      </c>
      <c r="F109" s="2">
        <f t="shared" ca="1" si="15"/>
        <v>65.580801492868929</v>
      </c>
      <c r="G109" s="2">
        <f t="shared" ca="1" si="16"/>
        <v>136.19837011364888</v>
      </c>
      <c r="H109" s="2">
        <f t="shared" ca="1" si="11"/>
        <v>7.0897781702995308E-2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ca="1" si="14"/>
        <v>136.26926789535187</v>
      </c>
      <c r="F110" s="2">
        <f t="shared" ca="1" si="15"/>
        <v>0</v>
      </c>
      <c r="G110" s="2">
        <f t="shared" ca="1" si="16"/>
        <v>136.26926789535187</v>
      </c>
      <c r="H110" s="2">
        <f t="shared" ca="1" si="11"/>
        <v>7.0934687397580423E-2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ca="1" si="14"/>
        <v>136.34020258274944</v>
      </c>
      <c r="F111" s="2">
        <f t="shared" ca="1" si="15"/>
        <v>0</v>
      </c>
      <c r="G111" s="2">
        <f t="shared" ca="1" si="16"/>
        <v>136.34020258274944</v>
      </c>
      <c r="H111" s="2">
        <f t="shared" ca="1" si="11"/>
        <v>7.097161230334903E-2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ca="1" si="14"/>
        <v>136.41117419505278</v>
      </c>
      <c r="F112" s="2">
        <f t="shared" ca="1" si="15"/>
        <v>0</v>
      </c>
      <c r="G112" s="2">
        <f t="shared" ca="1" si="16"/>
        <v>136.41117419505278</v>
      </c>
      <c r="H112" s="2">
        <f t="shared" ca="1" si="11"/>
        <v>7.1008556430301448E-2</v>
      </c>
      <c r="I112" s="2">
        <f t="shared" ca="1" si="12"/>
        <v>20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ca="1" si="14"/>
        <v>156.48218275148309</v>
      </c>
      <c r="F113" s="2">
        <f t="shared" ca="1" si="15"/>
        <v>0</v>
      </c>
      <c r="G113" s="2">
        <f t="shared" ca="1" si="16"/>
        <v>156.48218275148309</v>
      </c>
      <c r="H113" s="2">
        <f t="shared" ca="1" si="11"/>
        <v>8.1456478692552847E-2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ca="1" si="14"/>
        <v>156.56363923017565</v>
      </c>
      <c r="F114" s="2">
        <f t="shared" ca="1" si="15"/>
        <v>0</v>
      </c>
      <c r="G114" s="2">
        <f t="shared" ca="1" si="16"/>
        <v>156.56363923017565</v>
      </c>
      <c r="H114" s="2">
        <f t="shared" ca="1" si="11"/>
        <v>8.1498880695159939E-2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ca="1" si="14"/>
        <v>156.64513811087082</v>
      </c>
      <c r="F115" s="2">
        <f t="shared" ca="1" si="15"/>
        <v>0</v>
      </c>
      <c r="G115" s="2">
        <f t="shared" ca="1" si="16"/>
        <v>156.64513811087082</v>
      </c>
      <c r="H115" s="2">
        <f t="shared" ca="1" si="11"/>
        <v>8.1541304770042344E-2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ca="1" si="14"/>
        <v>156.72667941564086</v>
      </c>
      <c r="F116" s="2">
        <f t="shared" ca="1" si="15"/>
        <v>65.580801492868929</v>
      </c>
      <c r="G116" s="2">
        <f t="shared" ca="1" si="16"/>
        <v>91.14587792277193</v>
      </c>
      <c r="H116" s="2">
        <f t="shared" ca="1" si="11"/>
        <v>4.7445799466648404E-2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ca="1" si="14"/>
        <v>91.193323722238574</v>
      </c>
      <c r="F117" s="2">
        <f t="shared" ca="1" si="15"/>
        <v>0</v>
      </c>
      <c r="G117" s="2">
        <f t="shared" ca="1" si="16"/>
        <v>91.193323722238574</v>
      </c>
      <c r="H117" s="2">
        <f t="shared" ca="1" si="11"/>
        <v>4.7470497280069392E-2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ca="1" si="14"/>
        <v>91.240794219518648</v>
      </c>
      <c r="F118" s="2">
        <f t="shared" ca="1" si="15"/>
        <v>0</v>
      </c>
      <c r="G118" s="2">
        <f t="shared" ca="1" si="16"/>
        <v>91.240794219518648</v>
      </c>
      <c r="H118" s="2">
        <f t="shared" ca="1" si="11"/>
        <v>4.7495207949886417E-2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ca="1" si="14"/>
        <v>91.288289427468541</v>
      </c>
      <c r="F119" s="2">
        <f t="shared" ca="1" si="15"/>
        <v>0</v>
      </c>
      <c r="G119" s="2">
        <f t="shared" ca="1" si="16"/>
        <v>91.288289427468541</v>
      </c>
      <c r="H119" s="2">
        <f t="shared" ca="1" si="11"/>
        <v>4.7519931482791843E-2</v>
      </c>
      <c r="I119" s="2">
        <f t="shared" ca="1" si="12"/>
        <v>20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ca="1" si="14"/>
        <v>111.33580935895134</v>
      </c>
      <c r="F120" s="2">
        <f t="shared" ca="1" si="15"/>
        <v>0</v>
      </c>
      <c r="G120" s="2">
        <f t="shared" ca="1" si="16"/>
        <v>111.33580935895134</v>
      </c>
      <c r="H120" s="2">
        <f t="shared" ca="1" si="11"/>
        <v>5.7955626789591104E-2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ca="1" si="14"/>
        <v>111.39376498574093</v>
      </c>
      <c r="F121" s="2">
        <f t="shared" ca="1" si="15"/>
        <v>0</v>
      </c>
      <c r="G121" s="2">
        <f t="shared" ca="1" si="16"/>
        <v>111.39376498574093</v>
      </c>
      <c r="H121" s="2">
        <f t="shared" ca="1" si="11"/>
        <v>5.7985795472029526E-2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ca="1" si="14"/>
        <v>111.45175078121297</v>
      </c>
      <c r="F122" s="2">
        <f t="shared" ca="1" si="15"/>
        <v>0</v>
      </c>
      <c r="G122" s="2">
        <f t="shared" ca="1" si="16"/>
        <v>111.45175078121297</v>
      </c>
      <c r="H122" s="2">
        <f t="shared" ca="1" si="11"/>
        <v>5.8015979858713602E-2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ca="1" si="14"/>
        <v>111.50976676107167</v>
      </c>
      <c r="F123" s="2">
        <f t="shared" ca="1" si="15"/>
        <v>65.580801492868929</v>
      </c>
      <c r="G123" s="2">
        <f t="shared" ca="1" si="16"/>
        <v>45.928965268202745</v>
      </c>
      <c r="H123" s="2">
        <f t="shared" ca="1" si="11"/>
        <v>2.3908228495776774E-2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ca="1" si="14"/>
        <v>45.952873496698523</v>
      </c>
      <c r="F124" s="2">
        <f t="shared" ca="1" si="15"/>
        <v>0</v>
      </c>
      <c r="G124" s="2">
        <f t="shared" ca="1" si="16"/>
        <v>45.952873496698523</v>
      </c>
      <c r="H124" s="2">
        <f t="shared" ca="1" si="11"/>
        <v>2.3920673874993751E-2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ca="1" si="14"/>
        <v>45.97679417057352</v>
      </c>
      <c r="F125" s="2">
        <f t="shared" ca="1" si="15"/>
        <v>0</v>
      </c>
      <c r="G125" s="2">
        <f t="shared" ca="1" si="16"/>
        <v>45.97679417057352</v>
      </c>
      <c r="H125" s="2">
        <f t="shared" ca="1" si="11"/>
        <v>2.3933125732627309E-2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ca="1" si="14"/>
        <v>46.000727296306145</v>
      </c>
      <c r="F126" s="2">
        <f t="shared" ca="1" si="15"/>
        <v>0</v>
      </c>
      <c r="G126" s="2">
        <f t="shared" ca="1" si="16"/>
        <v>46.000727296306145</v>
      </c>
      <c r="H126" s="2">
        <f t="shared" ca="1" si="11"/>
        <v>2.3945584072049775E-2</v>
      </c>
      <c r="I126" s="2">
        <f t="shared" ca="1" si="12"/>
        <v>20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ca="1" si="14"/>
        <v>66.024672880378205</v>
      </c>
      <c r="F127" s="2">
        <f t="shared" ca="1" si="15"/>
        <v>0</v>
      </c>
      <c r="G127" s="2">
        <f t="shared" ca="1" si="16"/>
        <v>66.024672880378205</v>
      </c>
      <c r="H127" s="2">
        <f t="shared" ca="1" si="11"/>
        <v>3.4369007800744818E-2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ca="1" si="14"/>
        <v>66.059041888178953</v>
      </c>
      <c r="F128" s="2">
        <f t="shared" ca="1" si="15"/>
        <v>0</v>
      </c>
      <c r="G128" s="2">
        <f t="shared" ca="1" si="16"/>
        <v>66.059041888178953</v>
      </c>
      <c r="H128" s="2">
        <f t="shared" ca="1" si="11"/>
        <v>3.4386898517134251E-2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ca="1" si="14"/>
        <v>66.093428786696094</v>
      </c>
      <c r="F129" s="2">
        <f t="shared" ca="1" si="15"/>
        <v>0</v>
      </c>
      <c r="G129" s="2">
        <f t="shared" ca="1" si="16"/>
        <v>66.093428786696094</v>
      </c>
      <c r="H129" s="2">
        <f t="shared" ca="1" si="11"/>
        <v>3.4404798546499339E-2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ca="1" si="14"/>
        <v>66.127833585242598</v>
      </c>
      <c r="F130" s="2">
        <f t="shared" ca="1" si="15"/>
        <v>65.580801492868929</v>
      </c>
      <c r="G130" s="2">
        <f t="shared" ca="1" si="16"/>
        <v>0.54703209237366934</v>
      </c>
      <c r="H130" s="2">
        <f t="shared" ca="1" si="11"/>
        <v>2.8475643164656761E-4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si="14"/>
        <v>0</v>
      </c>
      <c r="F131" s="2">
        <f t="shared" si="15"/>
        <v>0</v>
      </c>
      <c r="G131" s="2">
        <f t="shared" ca="1" si="16"/>
        <v>0.54703209237366934</v>
      </c>
      <c r="H131" s="2">
        <f t="shared" si="11"/>
        <v>0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si="14"/>
        <v>0</v>
      </c>
      <c r="F132" s="2">
        <f t="shared" si="15"/>
        <v>0</v>
      </c>
      <c r="G132" s="2">
        <f t="shared" ca="1" si="16"/>
        <v>0.54703209237366934</v>
      </c>
      <c r="H132" s="2">
        <f t="shared" si="11"/>
        <v>0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si="14"/>
        <v>0</v>
      </c>
      <c r="F133" s="2">
        <f t="shared" si="15"/>
        <v>0</v>
      </c>
      <c r="G133" s="2">
        <f t="shared" ca="1" si="16"/>
        <v>0.54703209237366934</v>
      </c>
      <c r="H133" s="2">
        <f t="shared" si="11"/>
        <v>0</v>
      </c>
      <c r="I133" s="2">
        <f t="shared" ca="1" si="12"/>
        <v>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si="14"/>
        <v>0</v>
      </c>
      <c r="F134" s="2">
        <f t="shared" si="15"/>
        <v>0</v>
      </c>
      <c r="G134" s="2">
        <f t="shared" ca="1" si="16"/>
        <v>0.54703209237366934</v>
      </c>
      <c r="H134" s="2">
        <f t="shared" si="11"/>
        <v>0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si="14"/>
        <v>0</v>
      </c>
      <c r="F135" s="2">
        <f t="shared" si="15"/>
        <v>0</v>
      </c>
      <c r="G135" s="2">
        <f t="shared" ca="1" si="16"/>
        <v>0.54703209237366934</v>
      </c>
      <c r="H135" s="2">
        <f t="shared" si="11"/>
        <v>0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si="14"/>
        <v>0</v>
      </c>
      <c r="F136" s="2">
        <f t="shared" si="15"/>
        <v>0</v>
      </c>
      <c r="G136" s="2">
        <f t="shared" ca="1" si="16"/>
        <v>0.54703209237366934</v>
      </c>
      <c r="H136" s="2">
        <f t="shared" si="11"/>
        <v>0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si="14"/>
        <v>0</v>
      </c>
      <c r="F137" s="2">
        <f t="shared" si="15"/>
        <v>0</v>
      </c>
      <c r="G137" s="2">
        <f t="shared" ca="1" si="16"/>
        <v>0.54703209237366934</v>
      </c>
      <c r="H137" s="2">
        <f t="shared" si="11"/>
        <v>0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si="14"/>
        <v>0</v>
      </c>
      <c r="F138" s="2">
        <f t="shared" si="15"/>
        <v>0</v>
      </c>
      <c r="G138" s="2">
        <f t="shared" ca="1" si="16"/>
        <v>0.54703209237366934</v>
      </c>
      <c r="H138" s="2">
        <f t="shared" si="11"/>
        <v>0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si="14"/>
        <v>0</v>
      </c>
      <c r="F139" s="2">
        <f t="shared" si="15"/>
        <v>0</v>
      </c>
      <c r="G139" s="2">
        <f t="shared" ca="1" si="16"/>
        <v>0.54703209237366934</v>
      </c>
      <c r="H139" s="2">
        <f t="shared" si="11"/>
        <v>0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si="14"/>
        <v>0</v>
      </c>
      <c r="F140" s="2">
        <f t="shared" si="15"/>
        <v>0</v>
      </c>
      <c r="G140" s="2">
        <f t="shared" ca="1" si="16"/>
        <v>0.54703209237366934</v>
      </c>
      <c r="H140" s="2">
        <f t="shared" ref="H140:H203" si="21">IF(C140&gt;$C$7,0,(G140)*$C$5/365)</f>
        <v>0</v>
      </c>
      <c r="I140" s="2">
        <f t="shared" ref="I140:I203" ca="1" si="22">IF(AND(C140=0,D140=7),$C$6,IF(C140=$C$7,0,IF(C140&lt;$C$7,IF(D140=7,$C$6,0),0)))</f>
        <v>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si="24">IF(C141&gt;$C$7,0,G140+H140+I140)</f>
        <v>0</v>
      </c>
      <c r="F141" s="2">
        <f t="shared" ref="F141:F204" si="25">IF(C141&gt;$C$7,0,IF(ROUND(E141,0)&gt;0,IF(C141=0,0,IF(MOD(C141,$C$3)&gt;0,0,$C$8)),0))</f>
        <v>0</v>
      </c>
      <c r="G141" s="2">
        <f t="shared" ref="G141:G204" ca="1" si="26">IF(C141&gt;$C$7,G140,E141-F141)</f>
        <v>0.54703209237366934</v>
      </c>
      <c r="H141" s="2">
        <f t="shared" si="21"/>
        <v>0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si="24"/>
        <v>0</v>
      </c>
      <c r="F142" s="2">
        <f t="shared" si="25"/>
        <v>0</v>
      </c>
      <c r="G142" s="2">
        <f t="shared" ca="1" si="26"/>
        <v>0.54703209237366934</v>
      </c>
      <c r="H142" s="2">
        <f t="shared" si="21"/>
        <v>0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si="24"/>
        <v>0</v>
      </c>
      <c r="F143" s="2">
        <f t="shared" si="25"/>
        <v>0</v>
      </c>
      <c r="G143" s="2">
        <f t="shared" ca="1" si="26"/>
        <v>0.54703209237366934</v>
      </c>
      <c r="H143" s="2">
        <f t="shared" si="21"/>
        <v>0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si="24"/>
        <v>0</v>
      </c>
      <c r="F144" s="2">
        <f t="shared" si="25"/>
        <v>0</v>
      </c>
      <c r="G144" s="2">
        <f t="shared" ca="1" si="26"/>
        <v>0.54703209237366934</v>
      </c>
      <c r="H144" s="2">
        <f t="shared" si="21"/>
        <v>0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si="24"/>
        <v>0</v>
      </c>
      <c r="F145" s="2">
        <f t="shared" si="25"/>
        <v>0</v>
      </c>
      <c r="G145" s="2">
        <f t="shared" ca="1" si="26"/>
        <v>0.54703209237366934</v>
      </c>
      <c r="H145" s="2">
        <f t="shared" si="21"/>
        <v>0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si="24"/>
        <v>0</v>
      </c>
      <c r="F146" s="2">
        <f t="shared" si="25"/>
        <v>0</v>
      </c>
      <c r="G146" s="2">
        <f t="shared" ca="1" si="26"/>
        <v>0.54703209237366934</v>
      </c>
      <c r="H146" s="2">
        <f t="shared" si="21"/>
        <v>0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si="24"/>
        <v>0</v>
      </c>
      <c r="F147" s="2">
        <f t="shared" si="25"/>
        <v>0</v>
      </c>
      <c r="G147" s="2">
        <f t="shared" ca="1" si="26"/>
        <v>0.54703209237366934</v>
      </c>
      <c r="H147" s="2">
        <f t="shared" si="21"/>
        <v>0</v>
      </c>
      <c r="I147" s="2">
        <f t="shared" ca="1" si="22"/>
        <v>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si="24"/>
        <v>0</v>
      </c>
      <c r="F148" s="2">
        <f t="shared" si="25"/>
        <v>0</v>
      </c>
      <c r="G148" s="2">
        <f t="shared" ca="1" si="26"/>
        <v>0.54703209237366934</v>
      </c>
      <c r="H148" s="2">
        <f t="shared" si="21"/>
        <v>0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si="24"/>
        <v>0</v>
      </c>
      <c r="F149" s="2">
        <f t="shared" si="25"/>
        <v>0</v>
      </c>
      <c r="G149" s="2">
        <f t="shared" ca="1" si="26"/>
        <v>0.54703209237366934</v>
      </c>
      <c r="H149" s="2">
        <f t="shared" si="21"/>
        <v>0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si="24"/>
        <v>0</v>
      </c>
      <c r="F150" s="2">
        <f t="shared" si="25"/>
        <v>0</v>
      </c>
      <c r="G150" s="2">
        <f t="shared" ca="1" si="26"/>
        <v>0.54703209237366934</v>
      </c>
      <c r="H150" s="2">
        <f t="shared" si="21"/>
        <v>0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si="24"/>
        <v>0</v>
      </c>
      <c r="F151" s="2">
        <f t="shared" si="25"/>
        <v>0</v>
      </c>
      <c r="G151" s="2">
        <f t="shared" ca="1" si="26"/>
        <v>0.54703209237366934</v>
      </c>
      <c r="H151" s="2">
        <f t="shared" si="21"/>
        <v>0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si="24"/>
        <v>0</v>
      </c>
      <c r="F152" s="2">
        <f t="shared" si="25"/>
        <v>0</v>
      </c>
      <c r="G152" s="2">
        <f t="shared" ca="1" si="26"/>
        <v>0.54703209237366934</v>
      </c>
      <c r="H152" s="2">
        <f t="shared" si="21"/>
        <v>0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si="24"/>
        <v>0</v>
      </c>
      <c r="F153" s="2">
        <f t="shared" si="25"/>
        <v>0</v>
      </c>
      <c r="G153" s="2">
        <f t="shared" ca="1" si="26"/>
        <v>0.54703209237366934</v>
      </c>
      <c r="H153" s="2">
        <f t="shared" si="21"/>
        <v>0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si="24"/>
        <v>0</v>
      </c>
      <c r="F154" s="2">
        <f t="shared" si="25"/>
        <v>0</v>
      </c>
      <c r="G154" s="2">
        <f t="shared" ca="1" si="26"/>
        <v>0.54703209237366934</v>
      </c>
      <c r="H154" s="2">
        <f t="shared" si="21"/>
        <v>0</v>
      </c>
      <c r="I154" s="2">
        <f t="shared" ca="1" si="22"/>
        <v>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si="24"/>
        <v>0</v>
      </c>
      <c r="F155" s="2">
        <f t="shared" si="25"/>
        <v>0</v>
      </c>
      <c r="G155" s="2">
        <f t="shared" ca="1" si="26"/>
        <v>0.54703209237366934</v>
      </c>
      <c r="H155" s="2">
        <f t="shared" si="21"/>
        <v>0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si="24"/>
        <v>0</v>
      </c>
      <c r="F156" s="2">
        <f t="shared" si="25"/>
        <v>0</v>
      </c>
      <c r="G156" s="2">
        <f t="shared" ca="1" si="26"/>
        <v>0.54703209237366934</v>
      </c>
      <c r="H156" s="2">
        <f t="shared" si="21"/>
        <v>0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si="24"/>
        <v>0</v>
      </c>
      <c r="F157" s="2">
        <f t="shared" si="25"/>
        <v>0</v>
      </c>
      <c r="G157" s="2">
        <f t="shared" ca="1" si="26"/>
        <v>0.54703209237366934</v>
      </c>
      <c r="H157" s="2">
        <f t="shared" si="21"/>
        <v>0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si="24"/>
        <v>0</v>
      </c>
      <c r="F158" s="2">
        <f t="shared" si="25"/>
        <v>0</v>
      </c>
      <c r="G158" s="2">
        <f t="shared" ca="1" si="26"/>
        <v>0.54703209237366934</v>
      </c>
      <c r="H158" s="2">
        <f t="shared" si="21"/>
        <v>0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si="24"/>
        <v>0</v>
      </c>
      <c r="F159" s="2">
        <f t="shared" si="25"/>
        <v>0</v>
      </c>
      <c r="G159" s="2">
        <f t="shared" ca="1" si="26"/>
        <v>0.54703209237366934</v>
      </c>
      <c r="H159" s="2">
        <f t="shared" si="21"/>
        <v>0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si="24"/>
        <v>0</v>
      </c>
      <c r="F160" s="2">
        <f t="shared" si="25"/>
        <v>0</v>
      </c>
      <c r="G160" s="2">
        <f t="shared" ca="1" si="26"/>
        <v>0.54703209237366934</v>
      </c>
      <c r="H160" s="2">
        <f t="shared" si="21"/>
        <v>0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si="24"/>
        <v>0</v>
      </c>
      <c r="F161" s="2">
        <f t="shared" si="25"/>
        <v>0</v>
      </c>
      <c r="G161" s="2">
        <f t="shared" ca="1" si="26"/>
        <v>0.54703209237366934</v>
      </c>
      <c r="H161" s="2">
        <f t="shared" si="21"/>
        <v>0</v>
      </c>
      <c r="I161" s="2">
        <f t="shared" ca="1" si="22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si="24"/>
        <v>0</v>
      </c>
      <c r="F162" s="2">
        <f t="shared" si="25"/>
        <v>0</v>
      </c>
      <c r="G162" s="2">
        <f t="shared" ca="1" si="26"/>
        <v>0.54703209237366934</v>
      </c>
      <c r="H162" s="2">
        <f t="shared" si="21"/>
        <v>0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si="24"/>
        <v>0</v>
      </c>
      <c r="F163" s="2">
        <f t="shared" si="25"/>
        <v>0</v>
      </c>
      <c r="G163" s="2">
        <f t="shared" ca="1" si="26"/>
        <v>0.54703209237366934</v>
      </c>
      <c r="H163" s="2">
        <f t="shared" si="21"/>
        <v>0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si="24"/>
        <v>0</v>
      </c>
      <c r="F164" s="2">
        <f t="shared" si="25"/>
        <v>0</v>
      </c>
      <c r="G164" s="2">
        <f t="shared" ca="1" si="26"/>
        <v>0.54703209237366934</v>
      </c>
      <c r="H164" s="2">
        <f t="shared" si="21"/>
        <v>0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si="24"/>
        <v>0</v>
      </c>
      <c r="F165" s="2">
        <f t="shared" si="25"/>
        <v>0</v>
      </c>
      <c r="G165" s="2">
        <f t="shared" ca="1" si="26"/>
        <v>0.54703209237366934</v>
      </c>
      <c r="H165" s="2">
        <f t="shared" si="21"/>
        <v>0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0.54703209237366934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0.54703209237366934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0.54703209237366934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0.54703209237366934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0.54703209237366934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0.54703209237366934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0.54703209237366934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0.54703209237366934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0.54703209237366934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0.54703209237366934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0.54703209237366934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0.54703209237366934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0.54703209237366934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0.54703209237366934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0.54703209237366934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0.54703209237366934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0.54703209237366934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0.54703209237366934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0.54703209237366934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0.54703209237366934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0.54703209237366934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0.54703209237366934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0.54703209237366934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0.54703209237366934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0.54703209237366934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0.54703209237366934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0.54703209237366934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0.54703209237366934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0.54703209237366934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0.54703209237366934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0.54703209237366934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0.54703209237366934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0.54703209237366934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0.54703209237366934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0.54703209237366934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0.54703209237366934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0.54703209237366934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0.54703209237366934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0.54703209237366934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0.54703209237366934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0.54703209237366934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0.54703209237366934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0.54703209237366934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0.54703209237366934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0.54703209237366934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0.54703209237366934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E7">
    <cfRule type="cellIs" dxfId="63" priority="3" operator="equal">
      <formula>"No RESET Required"</formula>
    </cfRule>
    <cfRule type="cellIs" dxfId="62" priority="4" operator="equal">
      <formula>"RESET"</formula>
    </cfRule>
  </conditionalFormatting>
  <conditionalFormatting sqref="B11:H211">
    <cfRule type="expression" dxfId="61" priority="5">
      <formula>$C11=$C$7</formula>
    </cfRule>
    <cfRule type="expression" dxfId="60" priority="6">
      <formula>$C11&gt;$C$7</formula>
    </cfRule>
  </conditionalFormatting>
  <conditionalFormatting sqref="I11:I211">
    <cfRule type="expression" dxfId="59" priority="1">
      <formula>$C11=$C$7</formula>
    </cfRule>
    <cfRule type="expression" dxfId="58" priority="2">
      <formula>$C11&gt;$C$7</formula>
    </cfRule>
  </conditionalFormatting>
  <hyperlinks>
    <hyperlink ref="H2:I4" location="Summary!A1" display="Return to Home" xr:uid="{0A41D201-5FB1-4E81-88F7-2C10006F24FE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203200</xdr:colOff>
                    <xdr:row>5</xdr:row>
                    <xdr:rowOff>50800</xdr:rowOff>
                  </from>
                  <to>
                    <xdr:col>8</xdr:col>
                    <xdr:colOff>1549400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D08C-D446-4431-ACA9-67BC38BB974F}">
  <sheetPr codeName="Sheet9">
    <tabColor rgb="FF00B0F0"/>
  </sheetPr>
  <dimension ref="B1:J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7.1640625" customWidth="1"/>
    <col min="9" max="9" width="22.1640625" customWidth="1"/>
    <col min="10" max="10" width="9.1640625" bestFit="1" customWidth="1"/>
  </cols>
  <sheetData>
    <row r="1" spans="2:10" ht="16" thickBot="1" x14ac:dyDescent="0.25"/>
    <row r="2" spans="2:10" x14ac:dyDescent="0.2">
      <c r="B2" s="1" t="s">
        <v>0</v>
      </c>
      <c r="C2" s="13">
        <v>1000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10" x14ac:dyDescent="0.2">
      <c r="B3" s="1" t="s">
        <v>2</v>
      </c>
      <c r="C3" s="11">
        <v>7</v>
      </c>
      <c r="E3" s="1" t="s">
        <v>3</v>
      </c>
      <c r="F3" s="15">
        <f ca="1">SUM(H11:H211)</f>
        <v>35.608950339160884</v>
      </c>
      <c r="H3" s="25"/>
      <c r="I3" s="26"/>
    </row>
    <row r="4" spans="2:10" ht="16" thickBot="1" x14ac:dyDescent="0.25">
      <c r="B4" s="1" t="s">
        <v>4</v>
      </c>
      <c r="C4" s="9">
        <f>C7/C3</f>
        <v>18</v>
      </c>
      <c r="E4" s="1" t="s">
        <v>5</v>
      </c>
      <c r="F4" s="15">
        <f ca="1">SUM(I11:I211)</f>
        <v>360</v>
      </c>
      <c r="H4" s="27"/>
      <c r="I4" s="28"/>
    </row>
    <row r="5" spans="2:10" x14ac:dyDescent="0.2">
      <c r="B5" s="1" t="s">
        <v>6</v>
      </c>
      <c r="C5" s="12">
        <v>0.19</v>
      </c>
      <c r="E5" s="1" t="s">
        <v>7</v>
      </c>
      <c r="F5" s="15">
        <f ca="1">SUM(F12:F211)</f>
        <v>1395.0283706361683</v>
      </c>
    </row>
    <row r="6" spans="2:10" ht="16" thickBot="1" x14ac:dyDescent="0.25">
      <c r="B6" s="1" t="s">
        <v>8</v>
      </c>
      <c r="C6" s="13">
        <v>20</v>
      </c>
    </row>
    <row r="7" spans="2:10" ht="15" customHeight="1" x14ac:dyDescent="0.2">
      <c r="B7" s="1" t="s">
        <v>9</v>
      </c>
      <c r="C7" s="11">
        <v>126</v>
      </c>
      <c r="E7" s="29" t="str">
        <f ca="1">IF(ROUND(G211,2)&lt;&gt;0,"RESET","No RESET Required")</f>
        <v>RESET</v>
      </c>
      <c r="F7" s="30"/>
    </row>
    <row r="8" spans="2:10" ht="15" customHeight="1" thickBot="1" x14ac:dyDescent="0.25">
      <c r="B8" s="1" t="s">
        <v>10</v>
      </c>
      <c r="C8" s="8">
        <v>77.501576146453814</v>
      </c>
      <c r="E8" s="31"/>
      <c r="F8" s="32"/>
    </row>
    <row r="9" spans="2:10" x14ac:dyDescent="0.2">
      <c r="C9" s="2"/>
      <c r="F9" s="3"/>
      <c r="G9" s="3"/>
      <c r="H9" s="3"/>
      <c r="I9" s="3"/>
      <c r="J9" s="3"/>
    </row>
    <row r="10" spans="2:10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10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1000</v>
      </c>
      <c r="H11" s="2">
        <f ca="1">IF(C11&gt;$C$7,0,(G11)*$C$5/365)</f>
        <v>0.52054794520547942</v>
      </c>
      <c r="I11" s="2">
        <f ca="1">IF(AND(C11=0,D11=7),$C$6,IF(C11=$C$7,0,IF(C11&lt;$C$7,IF(D11=7,$C$6,0),0)))</f>
        <v>0</v>
      </c>
    </row>
    <row r="12" spans="2:10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1000.5205479452055</v>
      </c>
      <c r="F12" s="2">
        <f ca="1">IF(C12&gt;$C$7,0,IF(ROUND(E12,0)&gt;0,IF(C12=0,0,IF(MOD(C12,$C$3)&gt;0,0,$C$8)),0))</f>
        <v>0</v>
      </c>
      <c r="G12" s="2">
        <f ca="1">IF(C12&gt;$C$7,G11,E12-F12)</f>
        <v>1000.5205479452055</v>
      </c>
      <c r="H12" s="2">
        <f t="shared" ref="H12:H75" ca="1" si="1">IF(C12&gt;$C$7,0,(G12)*$C$5/365)</f>
        <v>0.52081891536873715</v>
      </c>
      <c r="I12" s="2">
        <f t="shared" ref="I12:I75" ca="1" si="2">IF(AND(C12=0,D12=7),$C$6,IF(C12=$C$7,0,IF(C12&lt;$C$7,IF(D12=7,$C$6,0),0)))</f>
        <v>0</v>
      </c>
    </row>
    <row r="13" spans="2:10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1001.0413668605743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1001.0413668605743</v>
      </c>
      <c r="H13" s="2">
        <f t="shared" ca="1" si="1"/>
        <v>0.52109002658495651</v>
      </c>
      <c r="I13" s="2">
        <f t="shared" ca="1" si="2"/>
        <v>0</v>
      </c>
    </row>
    <row r="14" spans="2:10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1001.5624568871592</v>
      </c>
      <c r="F14" s="2">
        <f t="shared" ca="1" si="5"/>
        <v>0</v>
      </c>
      <c r="G14" s="2">
        <f t="shared" ca="1" si="6"/>
        <v>1001.5624568871592</v>
      </c>
      <c r="H14" s="2">
        <f t="shared" ca="1" si="1"/>
        <v>0.52136127892756234</v>
      </c>
      <c r="I14" s="2">
        <f t="shared" ca="1" si="2"/>
        <v>20</v>
      </c>
    </row>
    <row r="15" spans="2:10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1022.0838181660868</v>
      </c>
      <c r="F15" s="2">
        <f t="shared" ca="1" si="5"/>
        <v>0</v>
      </c>
      <c r="G15" s="2">
        <f t="shared" ca="1" si="6"/>
        <v>1022.0838181660868</v>
      </c>
      <c r="H15" s="2">
        <f t="shared" ca="1" si="1"/>
        <v>0.53204363137412736</v>
      </c>
      <c r="I15" s="2">
        <f t="shared" ca="1" si="2"/>
        <v>0</v>
      </c>
    </row>
    <row r="16" spans="2:10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1022.6158617974609</v>
      </c>
      <c r="F16" s="2">
        <f t="shared" ca="1" si="5"/>
        <v>0</v>
      </c>
      <c r="G16" s="2">
        <f t="shared" ca="1" si="6"/>
        <v>1022.6158617974609</v>
      </c>
      <c r="H16" s="2">
        <f t="shared" ca="1" si="1"/>
        <v>0.53232058559319884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1023.1481823830541</v>
      </c>
      <c r="F17" s="2">
        <f t="shared" ca="1" si="5"/>
        <v>0</v>
      </c>
      <c r="G17" s="2">
        <f t="shared" ca="1" si="6"/>
        <v>1023.1481823830541</v>
      </c>
      <c r="H17" s="2">
        <f t="shared" ca="1" si="1"/>
        <v>0.53259768398021989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1023.6807800670343</v>
      </c>
      <c r="F18" s="2">
        <f t="shared" ca="1" si="5"/>
        <v>77.501576146453814</v>
      </c>
      <c r="G18" s="2">
        <f t="shared" ca="1" si="6"/>
        <v>946.17920392058056</v>
      </c>
      <c r="H18" s="2">
        <f t="shared" ca="1" si="1"/>
        <v>0.49253164039701458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946.6717355609776</v>
      </c>
      <c r="F19" s="2">
        <f t="shared" ca="1" si="5"/>
        <v>0</v>
      </c>
      <c r="G19" s="2">
        <f t="shared" ca="1" si="6"/>
        <v>946.6717355609776</v>
      </c>
      <c r="H19" s="2">
        <f t="shared" ca="1" si="1"/>
        <v>0.49278802673037192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947.164523587708</v>
      </c>
      <c r="F20" s="2">
        <f t="shared" ca="1" si="5"/>
        <v>0</v>
      </c>
      <c r="G20" s="2">
        <f t="shared" ca="1" si="6"/>
        <v>947.164523587708</v>
      </c>
      <c r="H20" s="2">
        <f t="shared" ca="1" si="1"/>
        <v>0.49304454652510826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947.65756813423309</v>
      </c>
      <c r="F21" s="2">
        <f t="shared" ca="1" si="5"/>
        <v>0</v>
      </c>
      <c r="G21" s="2">
        <f t="shared" ca="1" si="6"/>
        <v>947.65756813423309</v>
      </c>
      <c r="H21" s="2">
        <f t="shared" ca="1" si="1"/>
        <v>0.4933011998506967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968.15086933408384</v>
      </c>
      <c r="F22" s="2">
        <f t="shared" ca="1" si="5"/>
        <v>0</v>
      </c>
      <c r="G22" s="2">
        <f t="shared" ca="1" si="6"/>
        <v>968.15086933408384</v>
      </c>
      <c r="H22" s="2">
        <f t="shared" ca="1" si="1"/>
        <v>0.50396894568075601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968.65483827976459</v>
      </c>
      <c r="F23" s="2">
        <f t="shared" ca="1" si="5"/>
        <v>0</v>
      </c>
      <c r="G23" s="2">
        <f t="shared" ca="1" si="6"/>
        <v>968.65483827976459</v>
      </c>
      <c r="H23" s="2">
        <f t="shared" ca="1" si="1"/>
        <v>0.50423128567987752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969.1590695654445</v>
      </c>
      <c r="F24" s="2">
        <f t="shared" ca="1" si="5"/>
        <v>0</v>
      </c>
      <c r="G24" s="2">
        <f t="shared" ca="1" si="6"/>
        <v>969.1590695654445</v>
      </c>
      <c r="H24" s="2">
        <f t="shared" ca="1" si="1"/>
        <v>0.50449376223954645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969.66356332768407</v>
      </c>
      <c r="F25" s="2">
        <f t="shared" ca="1" si="5"/>
        <v>77.501576146453814</v>
      </c>
      <c r="G25" s="2">
        <f t="shared" ca="1" si="6"/>
        <v>892.1619871812303</v>
      </c>
      <c r="H25" s="2">
        <f t="shared" ca="1" si="1"/>
        <v>0.46441308921762675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892.6264002704479</v>
      </c>
      <c r="F26" s="2">
        <f t="shared" ca="1" si="5"/>
        <v>0</v>
      </c>
      <c r="G26" s="2">
        <f t="shared" ca="1" si="6"/>
        <v>892.6264002704479</v>
      </c>
      <c r="H26" s="2">
        <f t="shared" ca="1" si="1"/>
        <v>0.46465483849694544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893.09105510894483</v>
      </c>
      <c r="F27" s="2">
        <f t="shared" ca="1" si="5"/>
        <v>0</v>
      </c>
      <c r="G27" s="2">
        <f t="shared" ca="1" si="6"/>
        <v>893.09105510894483</v>
      </c>
      <c r="H27" s="2">
        <f t="shared" ca="1" si="1"/>
        <v>0.46489671361835483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893.5559518225632</v>
      </c>
      <c r="F28" s="2">
        <f t="shared" ca="1" si="5"/>
        <v>0</v>
      </c>
      <c r="G28" s="2">
        <f t="shared" ca="1" si="6"/>
        <v>893.5559518225632</v>
      </c>
      <c r="H28" s="2">
        <f t="shared" ca="1" si="1"/>
        <v>0.46513871464736167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914.02109053721051</v>
      </c>
      <c r="F29" s="2">
        <f t="shared" ca="1" si="5"/>
        <v>0</v>
      </c>
      <c r="G29" s="2">
        <f t="shared" ca="1" si="6"/>
        <v>914.02109053721051</v>
      </c>
      <c r="H29" s="2">
        <f t="shared" ca="1" si="1"/>
        <v>0.47579180055361642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914.49688233776408</v>
      </c>
      <c r="F30" s="2">
        <f t="shared" ca="1" si="5"/>
        <v>0</v>
      </c>
      <c r="G30" s="2">
        <f t="shared" ca="1" si="6"/>
        <v>914.49688233776408</v>
      </c>
      <c r="H30" s="2">
        <f t="shared" ca="1" si="1"/>
        <v>0.47603947299774024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914.97292181076182</v>
      </c>
      <c r="F31" s="2">
        <f t="shared" ca="1" si="5"/>
        <v>0</v>
      </c>
      <c r="G31" s="2">
        <f t="shared" ca="1" si="6"/>
        <v>914.97292181076182</v>
      </c>
      <c r="H31" s="2">
        <f t="shared" ca="1" si="1"/>
        <v>0.47628727436724588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915.44920908512904</v>
      </c>
      <c r="F32" s="2">
        <f t="shared" ca="1" si="5"/>
        <v>77.501576146453814</v>
      </c>
      <c r="G32" s="2">
        <f t="shared" ca="1" si="6"/>
        <v>837.94763293867527</v>
      </c>
      <c r="H32" s="2">
        <f t="shared" ca="1" si="1"/>
        <v>0.43619191851602274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838.38382485719126</v>
      </c>
      <c r="F33" s="2">
        <f t="shared" ca="1" si="5"/>
        <v>0</v>
      </c>
      <c r="G33" s="2">
        <f t="shared" ca="1" si="6"/>
        <v>838.38382485719126</v>
      </c>
      <c r="H33" s="2">
        <f t="shared" ca="1" si="1"/>
        <v>0.43641897732292151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838.82024383451414</v>
      </c>
      <c r="F34" s="2">
        <f t="shared" ca="1" si="5"/>
        <v>0</v>
      </c>
      <c r="G34" s="2">
        <f t="shared" ca="1" si="6"/>
        <v>838.82024383451414</v>
      </c>
      <c r="H34" s="2">
        <f t="shared" ca="1" si="1"/>
        <v>0.43664615432481557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839.25688998883891</v>
      </c>
      <c r="F35" s="2">
        <f t="shared" ca="1" si="5"/>
        <v>0</v>
      </c>
      <c r="G35" s="2">
        <f t="shared" ca="1" si="6"/>
        <v>839.25688998883891</v>
      </c>
      <c r="H35" s="2">
        <f t="shared" ca="1" si="1"/>
        <v>0.43687344958323121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859.69376343842214</v>
      </c>
      <c r="F36" s="2">
        <f t="shared" ca="1" si="5"/>
        <v>0</v>
      </c>
      <c r="G36" s="2">
        <f t="shared" ca="1" si="6"/>
        <v>859.69376343842214</v>
      </c>
      <c r="H36" s="2">
        <f t="shared" ca="1" si="1"/>
        <v>0.44751182206383616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860.14127526048594</v>
      </c>
      <c r="F37" s="2">
        <f t="shared" ca="1" si="5"/>
        <v>0</v>
      </c>
      <c r="G37" s="2">
        <f t="shared" ca="1" si="6"/>
        <v>860.14127526048594</v>
      </c>
      <c r="H37" s="2">
        <f t="shared" ca="1" si="1"/>
        <v>0.44774477342326668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860.58902003390915</v>
      </c>
      <c r="F38" s="2">
        <f t="shared" ca="1" si="5"/>
        <v>0</v>
      </c>
      <c r="G38" s="2">
        <f t="shared" ca="1" si="6"/>
        <v>860.58902003390915</v>
      </c>
      <c r="H38" s="2">
        <f t="shared" ca="1" si="1"/>
        <v>0.44797784604504864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861.03699787995424</v>
      </c>
      <c r="F39" s="2">
        <f t="shared" ca="1" si="5"/>
        <v>77.501576146453814</v>
      </c>
      <c r="G39" s="2">
        <f t="shared" ca="1" si="6"/>
        <v>783.53542173350047</v>
      </c>
      <c r="H39" s="2">
        <f t="shared" ca="1" si="1"/>
        <v>0.40786775377908246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783.94328948727957</v>
      </c>
      <c r="F40" s="2">
        <f t="shared" ca="1" si="5"/>
        <v>0</v>
      </c>
      <c r="G40" s="2">
        <f t="shared" ca="1" si="6"/>
        <v>783.94328948727957</v>
      </c>
      <c r="H40" s="2">
        <f t="shared" ca="1" si="1"/>
        <v>0.40808006850022771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784.3513695557798</v>
      </c>
      <c r="F41" s="2">
        <f t="shared" ca="1" si="5"/>
        <v>0</v>
      </c>
      <c r="G41" s="2">
        <f t="shared" ca="1" si="6"/>
        <v>784.3513695557798</v>
      </c>
      <c r="H41" s="2">
        <f t="shared" ca="1" si="1"/>
        <v>0.40829249374136484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784.75966204952113</v>
      </c>
      <c r="F42" s="2">
        <f t="shared" ca="1" si="5"/>
        <v>0</v>
      </c>
      <c r="G42" s="2">
        <f t="shared" ca="1" si="6"/>
        <v>784.75966204952113</v>
      </c>
      <c r="H42" s="2">
        <f t="shared" ca="1" si="1"/>
        <v>0.40850502956002471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805.16816707908117</v>
      </c>
      <c r="F43" s="2">
        <f t="shared" ca="1" si="5"/>
        <v>0</v>
      </c>
      <c r="G43" s="2">
        <f t="shared" ca="1" si="6"/>
        <v>805.16816707908117</v>
      </c>
      <c r="H43" s="2">
        <f t="shared" ca="1" si="1"/>
        <v>0.41912863491787783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805.58729571399908</v>
      </c>
      <c r="F44" s="2">
        <f t="shared" ca="1" si="5"/>
        <v>0</v>
      </c>
      <c r="G44" s="2">
        <f t="shared" ca="1" si="6"/>
        <v>805.58729571399908</v>
      </c>
      <c r="H44" s="2">
        <f t="shared" ca="1" si="1"/>
        <v>0.41934681146756114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806.00664252546665</v>
      </c>
      <c r="F45" s="2">
        <f t="shared" ca="1" si="5"/>
        <v>0</v>
      </c>
      <c r="G45" s="2">
        <f t="shared" ca="1" si="6"/>
        <v>806.00664252546665</v>
      </c>
      <c r="H45" s="2">
        <f t="shared" ca="1" si="1"/>
        <v>0.41956510158859911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806.42620762705519</v>
      </c>
      <c r="F46" s="2">
        <f t="shared" ca="1" si="5"/>
        <v>77.501576146453814</v>
      </c>
      <c r="G46" s="2">
        <f t="shared" ca="1" si="6"/>
        <v>728.92463148060142</v>
      </c>
      <c r="H46" s="2">
        <f t="shared" ca="1" si="1"/>
        <v>0.37944021912688847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729.3040716997283</v>
      </c>
      <c r="F47" s="2">
        <f t="shared" ca="1" si="5"/>
        <v>0</v>
      </c>
      <c r="G47" s="2">
        <f t="shared" ca="1" si="6"/>
        <v>729.3040716997283</v>
      </c>
      <c r="H47" s="2">
        <f t="shared" ca="1" si="1"/>
        <v>0.37963773595328321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729.68370943568164</v>
      </c>
      <c r="F48" s="2">
        <f t="shared" ca="1" si="5"/>
        <v>0</v>
      </c>
      <c r="G48" s="2">
        <f t="shared" ca="1" si="6"/>
        <v>729.68370943568164</v>
      </c>
      <c r="H48" s="2">
        <f t="shared" ca="1" si="1"/>
        <v>0.37983535559665615</v>
      </c>
      <c r="I48" s="2">
        <f t="shared" ca="1" si="2"/>
        <v>0</v>
      </c>
    </row>
    <row r="49" spans="2:10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730.06354479127833</v>
      </c>
      <c r="F49" s="2">
        <f t="shared" ca="1" si="5"/>
        <v>0</v>
      </c>
      <c r="G49" s="2">
        <f t="shared" ca="1" si="6"/>
        <v>730.06354479127833</v>
      </c>
      <c r="H49" s="2">
        <f t="shared" ca="1" si="1"/>
        <v>0.38003307811052844</v>
      </c>
      <c r="I49" s="2">
        <f t="shared" ca="1" si="2"/>
        <v>20</v>
      </c>
    </row>
    <row r="50" spans="2:10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750.44357786938883</v>
      </c>
      <c r="F50" s="2">
        <f t="shared" ca="1" si="5"/>
        <v>0</v>
      </c>
      <c r="G50" s="2">
        <f t="shared" ca="1" si="6"/>
        <v>750.44357786938883</v>
      </c>
      <c r="H50" s="2">
        <f t="shared" ca="1" si="1"/>
        <v>0.39064186245255855</v>
      </c>
      <c r="I50" s="2">
        <f t="shared" ca="1" si="2"/>
        <v>0</v>
      </c>
    </row>
    <row r="51" spans="2:10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750.83421973184136</v>
      </c>
      <c r="F51" s="2">
        <f t="shared" ca="1" si="5"/>
        <v>0</v>
      </c>
      <c r="G51" s="2">
        <f t="shared" ca="1" si="6"/>
        <v>750.83421973184136</v>
      </c>
      <c r="H51" s="2">
        <f t="shared" ca="1" si="1"/>
        <v>0.39084521027136948</v>
      </c>
      <c r="I51" s="2">
        <f t="shared" ca="1" si="2"/>
        <v>0</v>
      </c>
    </row>
    <row r="52" spans="2:10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751.22506494211268</v>
      </c>
      <c r="F52" s="2">
        <f t="shared" ca="1" si="5"/>
        <v>0</v>
      </c>
      <c r="G52" s="2">
        <f t="shared" ca="1" si="6"/>
        <v>751.22506494211268</v>
      </c>
      <c r="H52" s="2">
        <f t="shared" ca="1" si="1"/>
        <v>0.39104866394246957</v>
      </c>
      <c r="I52" s="2">
        <f t="shared" ca="1" si="2"/>
        <v>0</v>
      </c>
    </row>
    <row r="53" spans="2:10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751.61611360605514</v>
      </c>
      <c r="F53" s="2">
        <f t="shared" ca="1" si="5"/>
        <v>77.501576146453814</v>
      </c>
      <c r="G53" s="2">
        <f t="shared" ca="1" si="6"/>
        <v>674.11453745960137</v>
      </c>
      <c r="H53" s="2">
        <f t="shared" ca="1" si="1"/>
        <v>0.35090893730773776</v>
      </c>
      <c r="I53" s="2">
        <f t="shared" ca="1" si="2"/>
        <v>0</v>
      </c>
      <c r="J53" s="5"/>
    </row>
    <row r="54" spans="2:10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674.4654463969091</v>
      </c>
      <c r="F54" s="2">
        <f t="shared" ca="1" si="5"/>
        <v>0</v>
      </c>
      <c r="G54" s="2">
        <f t="shared" ca="1" si="6"/>
        <v>674.4654463969091</v>
      </c>
      <c r="H54" s="2">
        <f t="shared" ca="1" si="1"/>
        <v>0.35109160223400754</v>
      </c>
      <c r="I54" s="2">
        <f t="shared" ca="1" si="2"/>
        <v>0</v>
      </c>
    </row>
    <row r="55" spans="2:10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674.81653799914307</v>
      </c>
      <c r="F55" s="2">
        <f t="shared" ca="1" si="5"/>
        <v>0</v>
      </c>
      <c r="G55" s="2">
        <f t="shared" ca="1" si="6"/>
        <v>674.81653799914307</v>
      </c>
      <c r="H55" s="2">
        <f t="shared" ca="1" si="1"/>
        <v>0.35127436224612929</v>
      </c>
      <c r="I55" s="2">
        <f t="shared" ca="1" si="2"/>
        <v>0</v>
      </c>
    </row>
    <row r="56" spans="2:10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675.16781236138922</v>
      </c>
      <c r="F56" s="2">
        <f t="shared" ca="1" si="5"/>
        <v>0</v>
      </c>
      <c r="G56" s="2">
        <f t="shared" ca="1" si="6"/>
        <v>675.16781236138922</v>
      </c>
      <c r="H56" s="2">
        <f t="shared" ca="1" si="1"/>
        <v>0.35145721739359992</v>
      </c>
      <c r="I56" s="2">
        <f t="shared" ca="1" si="2"/>
        <v>20</v>
      </c>
    </row>
    <row r="57" spans="2:10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695.51926957878277</v>
      </c>
      <c r="F57" s="2">
        <f t="shared" ca="1" si="5"/>
        <v>0</v>
      </c>
      <c r="G57" s="2">
        <f t="shared" ca="1" si="6"/>
        <v>695.51926957878277</v>
      </c>
      <c r="H57" s="2">
        <f t="shared" ca="1" si="1"/>
        <v>0.36205112663005129</v>
      </c>
      <c r="I57" s="2">
        <f t="shared" ca="1" si="2"/>
        <v>0</v>
      </c>
    </row>
    <row r="58" spans="2:10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695.8813207054128</v>
      </c>
      <c r="F58" s="2">
        <f t="shared" ca="1" si="5"/>
        <v>0</v>
      </c>
      <c r="G58" s="2">
        <f t="shared" ca="1" si="6"/>
        <v>695.8813207054128</v>
      </c>
      <c r="H58" s="2">
        <f t="shared" ca="1" si="1"/>
        <v>0.36223959160007785</v>
      </c>
      <c r="I58" s="2">
        <f t="shared" ca="1" si="2"/>
        <v>0</v>
      </c>
    </row>
    <row r="59" spans="2:10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696.24356029701289</v>
      </c>
      <c r="F59" s="2">
        <f t="shared" ca="1" si="5"/>
        <v>0</v>
      </c>
      <c r="G59" s="2">
        <f t="shared" ca="1" si="6"/>
        <v>696.24356029701289</v>
      </c>
      <c r="H59" s="2">
        <f t="shared" ca="1" si="1"/>
        <v>0.36242815467515743</v>
      </c>
      <c r="I59" s="2">
        <f t="shared" ca="1" si="2"/>
        <v>0</v>
      </c>
    </row>
    <row r="60" spans="2:10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696.60598845168806</v>
      </c>
      <c r="F60" s="2">
        <f t="shared" ca="1" si="5"/>
        <v>77.501576146453814</v>
      </c>
      <c r="G60" s="2">
        <f t="shared" ca="1" si="6"/>
        <v>619.10441230523429</v>
      </c>
      <c r="H60" s="2">
        <f t="shared" ca="1" si="1"/>
        <v>0.32227352969313566</v>
      </c>
      <c r="I60" s="2">
        <f t="shared" ca="1" si="2"/>
        <v>0</v>
      </c>
    </row>
    <row r="61" spans="2:10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619.42668583492741</v>
      </c>
      <c r="F61" s="2">
        <f t="shared" ca="1" si="5"/>
        <v>0</v>
      </c>
      <c r="G61" s="2">
        <f t="shared" ca="1" si="6"/>
        <v>619.42668583492741</v>
      </c>
      <c r="H61" s="2">
        <f t="shared" ca="1" si="1"/>
        <v>0.32244128851681153</v>
      </c>
      <c r="I61" s="2">
        <f t="shared" ca="1" si="2"/>
        <v>0</v>
      </c>
    </row>
    <row r="62" spans="2:10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619.74912712344417</v>
      </c>
      <c r="F62" s="2">
        <f t="shared" ca="1" si="5"/>
        <v>0</v>
      </c>
      <c r="G62" s="2">
        <f t="shared" ca="1" si="6"/>
        <v>619.74912712344417</v>
      </c>
      <c r="H62" s="2">
        <f t="shared" ca="1" si="1"/>
        <v>0.32260913466699837</v>
      </c>
      <c r="I62" s="2">
        <f t="shared" ca="1" si="2"/>
        <v>0</v>
      </c>
    </row>
    <row r="63" spans="2:10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620.07173625811117</v>
      </c>
      <c r="F63" s="2">
        <f t="shared" ca="1" si="5"/>
        <v>0</v>
      </c>
      <c r="G63" s="2">
        <f t="shared" ca="1" si="6"/>
        <v>620.07173625811117</v>
      </c>
      <c r="H63" s="2">
        <f t="shared" ca="1" si="1"/>
        <v>0.32277706818915375</v>
      </c>
      <c r="I63" s="2">
        <f t="shared" ca="1" si="2"/>
        <v>20</v>
      </c>
    </row>
    <row r="64" spans="2:10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640.39451332630028</v>
      </c>
      <c r="F64" s="2">
        <f t="shared" ca="1" si="5"/>
        <v>0</v>
      </c>
      <c r="G64" s="2">
        <f t="shared" ca="1" si="6"/>
        <v>640.39451332630028</v>
      </c>
      <c r="H64" s="2">
        <f t="shared" ca="1" si="1"/>
        <v>0.33335604803286861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640.72786937433318</v>
      </c>
      <c r="F65" s="2">
        <f t="shared" ca="1" si="5"/>
        <v>0</v>
      </c>
      <c r="G65" s="2">
        <f t="shared" ca="1" si="6"/>
        <v>640.72786937433318</v>
      </c>
      <c r="H65" s="2">
        <f t="shared" ca="1" si="1"/>
        <v>0.33352957583869397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641.06139895017191</v>
      </c>
      <c r="F66" s="2">
        <f t="shared" ca="1" si="5"/>
        <v>0</v>
      </c>
      <c r="G66" s="2">
        <f t="shared" ca="1" si="6"/>
        <v>641.06139895017191</v>
      </c>
      <c r="H66" s="2">
        <f t="shared" ca="1" si="1"/>
        <v>0.33370319397406206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641.39510214414599</v>
      </c>
      <c r="F67" s="2">
        <f t="shared" ca="1" si="5"/>
        <v>77.501576146453814</v>
      </c>
      <c r="G67" s="2">
        <f t="shared" ca="1" si="6"/>
        <v>563.89352599769222</v>
      </c>
      <c r="H67" s="2">
        <f t="shared" ca="1" si="1"/>
        <v>0.2935336162727713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564.18705961396495</v>
      </c>
      <c r="F68" s="2">
        <f t="shared" ca="1" si="5"/>
        <v>0</v>
      </c>
      <c r="G68" s="2">
        <f t="shared" ca="1" si="6"/>
        <v>564.18705961396495</v>
      </c>
      <c r="H68" s="2">
        <f t="shared" ca="1" si="1"/>
        <v>0.29368641459357081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564.48074602855854</v>
      </c>
      <c r="F69" s="2">
        <f t="shared" ca="1" si="5"/>
        <v>0</v>
      </c>
      <c r="G69" s="2">
        <f t="shared" ca="1" si="6"/>
        <v>564.48074602855854</v>
      </c>
      <c r="H69" s="2">
        <f t="shared" ca="1" si="1"/>
        <v>0.29383929245322221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564.77458532101173</v>
      </c>
      <c r="F70" s="2">
        <f t="shared" ca="1" si="5"/>
        <v>0</v>
      </c>
      <c r="G70" s="2">
        <f t="shared" ca="1" si="6"/>
        <v>564.77458532101173</v>
      </c>
      <c r="H70" s="2">
        <f t="shared" ca="1" si="1"/>
        <v>0.29399224989312939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585.06857757090484</v>
      </c>
      <c r="F71" s="2">
        <f t="shared" ca="1" si="5"/>
        <v>0</v>
      </c>
      <c r="G71" s="2">
        <f t="shared" ca="1" si="6"/>
        <v>585.06857757090484</v>
      </c>
      <c r="H71" s="2">
        <f t="shared" ca="1" si="1"/>
        <v>0.30455624585882718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585.3731338167637</v>
      </c>
      <c r="F72" s="2">
        <f t="shared" ca="1" si="5"/>
        <v>0</v>
      </c>
      <c r="G72" s="2">
        <f t="shared" ca="1" si="6"/>
        <v>585.3731338167637</v>
      </c>
      <c r="H72" s="2">
        <f t="shared" ca="1" si="1"/>
        <v>0.30471478198680851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585.67784859875053</v>
      </c>
      <c r="F73" s="2">
        <f t="shared" ca="1" si="5"/>
        <v>0</v>
      </c>
      <c r="G73" s="2">
        <f t="shared" ca="1" si="6"/>
        <v>585.67784859875053</v>
      </c>
      <c r="H73" s="2">
        <f t="shared" ca="1" si="1"/>
        <v>0.30487340064044549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585.98272199939095</v>
      </c>
      <c r="F74" s="2">
        <f t="shared" ca="1" si="5"/>
        <v>77.501576146453814</v>
      </c>
      <c r="G74" s="2">
        <f t="shared" ca="1" si="6"/>
        <v>508.48114585293712</v>
      </c>
      <c r="H74" s="2">
        <f t="shared" ca="1" si="1"/>
        <v>0.26468881564947411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508.74583466858661</v>
      </c>
      <c r="F75" s="2">
        <f t="shared" ca="1" si="5"/>
        <v>0</v>
      </c>
      <c r="G75" s="2">
        <f t="shared" ca="1" si="6"/>
        <v>508.74583466858661</v>
      </c>
      <c r="H75" s="2">
        <f t="shared" ca="1" si="1"/>
        <v>0.26482659886857934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509.01066126745519</v>
      </c>
      <c r="F76" s="2">
        <f t="shared" ca="1" si="5"/>
        <v>0</v>
      </c>
      <c r="G76" s="2">
        <f t="shared" ca="1" si="6"/>
        <v>509.01066126745519</v>
      </c>
      <c r="H76" s="2">
        <f t="shared" ref="H76:H139" ca="1" si="11">IF(C76&gt;$C$7,0,(G76)*$C$5/365)</f>
        <v>0.26496445381045614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509.27562572126567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509.27562572126567</v>
      </c>
      <c r="H77" s="2">
        <f t="shared" ca="1" si="11"/>
        <v>0.26510238051243967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529.54072810177809</v>
      </c>
      <c r="F78" s="2">
        <f t="shared" ca="1" si="15"/>
        <v>0</v>
      </c>
      <c r="G78" s="2">
        <f t="shared" ca="1" si="16"/>
        <v>529.54072810177809</v>
      </c>
      <c r="H78" s="2">
        <f t="shared" ca="1" si="11"/>
        <v>0.27565133791599405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529.81637943969406</v>
      </c>
      <c r="F79" s="2">
        <f t="shared" ca="1" si="15"/>
        <v>0</v>
      </c>
      <c r="G79" s="2">
        <f t="shared" ca="1" si="16"/>
        <v>529.81637943969406</v>
      </c>
      <c r="H79" s="2">
        <f t="shared" ca="1" si="11"/>
        <v>0.27579482765353941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530.09217426734756</v>
      </c>
      <c r="F80" s="2">
        <f t="shared" ca="1" si="15"/>
        <v>0</v>
      </c>
      <c r="G80" s="2">
        <f t="shared" ca="1" si="16"/>
        <v>530.09217426734756</v>
      </c>
      <c r="H80" s="2">
        <f t="shared" ca="1" si="11"/>
        <v>0.27593839208437271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530.36811265943197</v>
      </c>
      <c r="F81" s="2">
        <f t="shared" ca="1" si="15"/>
        <v>77.501576146453814</v>
      </c>
      <c r="G81" s="2">
        <f t="shared" ca="1" si="16"/>
        <v>452.86653651297814</v>
      </c>
      <c r="H81" s="2">
        <f t="shared" ca="1" si="11"/>
        <v>0.23573874503415301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453.1022752580123</v>
      </c>
      <c r="F82" s="2">
        <f t="shared" ca="1" si="15"/>
        <v>0</v>
      </c>
      <c r="G82" s="2">
        <f t="shared" ca="1" si="16"/>
        <v>453.1022752580123</v>
      </c>
      <c r="H82" s="2">
        <f t="shared" ca="1" si="11"/>
        <v>0.23586145835348585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453.3381367163658</v>
      </c>
      <c r="F83" s="2">
        <f t="shared" ca="1" si="15"/>
        <v>0</v>
      </c>
      <c r="G83" s="2">
        <f t="shared" ca="1" si="16"/>
        <v>453.3381367163658</v>
      </c>
      <c r="H83" s="2">
        <f t="shared" ca="1" si="11"/>
        <v>0.23598423555098491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453.57412095191677</v>
      </c>
      <c r="F84" s="2">
        <f t="shared" ca="1" si="15"/>
        <v>0</v>
      </c>
      <c r="G84" s="2">
        <f t="shared" ca="1" si="16"/>
        <v>453.57412095191677</v>
      </c>
      <c r="H84" s="2">
        <f t="shared" ca="1" si="11"/>
        <v>0.23610707665990185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473.81022802857666</v>
      </c>
      <c r="F85" s="2">
        <f t="shared" ca="1" si="15"/>
        <v>0</v>
      </c>
      <c r="G85" s="2">
        <f t="shared" ca="1" si="16"/>
        <v>473.81022802857666</v>
      </c>
      <c r="H85" s="2">
        <f t="shared" ca="1" si="11"/>
        <v>0.24664094061761527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474.05686896919428</v>
      </c>
      <c r="F86" s="2">
        <f t="shared" ca="1" si="15"/>
        <v>0</v>
      </c>
      <c r="G86" s="2">
        <f t="shared" ca="1" si="16"/>
        <v>474.05686896919428</v>
      </c>
      <c r="H86" s="2">
        <f t="shared" ca="1" si="11"/>
        <v>0.2467693290524573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474.30363829824677</v>
      </c>
      <c r="F87" s="2">
        <f t="shared" ca="1" si="15"/>
        <v>0</v>
      </c>
      <c r="G87" s="2">
        <f t="shared" ca="1" si="16"/>
        <v>474.30363829824677</v>
      </c>
      <c r="H87" s="2">
        <f t="shared" ca="1" si="11"/>
        <v>0.2468977843196353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474.5505360825664</v>
      </c>
      <c r="F88" s="2">
        <f t="shared" ca="1" si="15"/>
        <v>77.501576146453814</v>
      </c>
      <c r="G88" s="2">
        <f t="shared" ca="1" si="16"/>
        <v>397.04895993611257</v>
      </c>
      <c r="H88" s="2">
        <f t="shared" ca="1" si="11"/>
        <v>0.20668302024071614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397.25564295635326</v>
      </c>
      <c r="F89" s="2">
        <f t="shared" ca="1" si="15"/>
        <v>0</v>
      </c>
      <c r="G89" s="2">
        <f t="shared" ca="1" si="16"/>
        <v>397.25564295635326</v>
      </c>
      <c r="H89" s="2">
        <f t="shared" ca="1" si="11"/>
        <v>0.2067906086622113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397.46243356501549</v>
      </c>
      <c r="F90" s="2">
        <f t="shared" ca="1" si="15"/>
        <v>0</v>
      </c>
      <c r="G90" s="2">
        <f t="shared" ca="1" si="16"/>
        <v>397.46243356501549</v>
      </c>
      <c r="H90" s="2">
        <f t="shared" ca="1" si="11"/>
        <v>0.20689825308863818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397.66933181810413</v>
      </c>
      <c r="F91" s="2">
        <f t="shared" ca="1" si="15"/>
        <v>0</v>
      </c>
      <c r="G91" s="2">
        <f t="shared" ca="1" si="16"/>
        <v>397.66933181810413</v>
      </c>
      <c r="H91" s="2">
        <f t="shared" ca="1" si="11"/>
        <v>0.20700595354915008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417.87633777165325</v>
      </c>
      <c r="F92" s="2">
        <f t="shared" ca="1" si="15"/>
        <v>0</v>
      </c>
      <c r="G92" s="2">
        <f t="shared" ca="1" si="16"/>
        <v>417.87633777165325</v>
      </c>
      <c r="H92" s="2">
        <f t="shared" ca="1" si="11"/>
        <v>0.21752466897702497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418.09386244063029</v>
      </c>
      <c r="F93" s="2">
        <f t="shared" ca="1" si="15"/>
        <v>0</v>
      </c>
      <c r="G93" s="2">
        <f t="shared" ca="1" si="16"/>
        <v>418.09386244063029</v>
      </c>
      <c r="H93" s="2">
        <f t="shared" ca="1" si="11"/>
        <v>0.21763790099649249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418.31150034162675</v>
      </c>
      <c r="F94" s="2">
        <f t="shared" ca="1" si="15"/>
        <v>0</v>
      </c>
      <c r="G94" s="2">
        <f t="shared" ca="1" si="16"/>
        <v>418.31150034162675</v>
      </c>
      <c r="H94" s="2">
        <f t="shared" ca="1" si="11"/>
        <v>0.21775119195865503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418.52925153358541</v>
      </c>
      <c r="F95" s="2">
        <f t="shared" ca="1" si="15"/>
        <v>77.501576146453814</v>
      </c>
      <c r="G95" s="2">
        <f t="shared" ca="1" si="16"/>
        <v>341.02767538713158</v>
      </c>
      <c r="H95" s="2">
        <f t="shared" ca="1" si="11"/>
        <v>0.1775212556809726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341.20519664281255</v>
      </c>
      <c r="F96" s="2">
        <f t="shared" ca="1" si="15"/>
        <v>0</v>
      </c>
      <c r="G96" s="2">
        <f t="shared" ca="1" si="16"/>
        <v>341.20519664281255</v>
      </c>
      <c r="H96" s="2">
        <f t="shared" ca="1" si="11"/>
        <v>0.17761366400584763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341.38281030681839</v>
      </c>
      <c r="F97" s="2">
        <f t="shared" ca="1" si="15"/>
        <v>0</v>
      </c>
      <c r="G97" s="2">
        <f t="shared" ca="1" si="16"/>
        <v>341.38281030681839</v>
      </c>
      <c r="H97" s="2">
        <f t="shared" ca="1" si="11"/>
        <v>0.17770612043368628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341.56051642725208</v>
      </c>
      <c r="F98" s="2">
        <f t="shared" ca="1" si="15"/>
        <v>0</v>
      </c>
      <c r="G98" s="2">
        <f t="shared" ca="1" si="16"/>
        <v>341.56051642725208</v>
      </c>
      <c r="H98" s="2">
        <f t="shared" ca="1" si="11"/>
        <v>0.1777986249895285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361.7383150522416</v>
      </c>
      <c r="F99" s="2">
        <f t="shared" ca="1" si="15"/>
        <v>0</v>
      </c>
      <c r="G99" s="2">
        <f t="shared" ca="1" si="16"/>
        <v>361.7383150522416</v>
      </c>
      <c r="H99" s="2">
        <f t="shared" ca="1" si="11"/>
        <v>0.18830213660253672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361.92661718884415</v>
      </c>
      <c r="F100" s="2">
        <f t="shared" ca="1" si="15"/>
        <v>0</v>
      </c>
      <c r="G100" s="2">
        <f t="shared" ca="1" si="16"/>
        <v>361.92661718884415</v>
      </c>
      <c r="H100" s="2">
        <f t="shared" ca="1" si="11"/>
        <v>0.188400156892823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362.11501734573699</v>
      </c>
      <c r="F101" s="2">
        <f t="shared" ca="1" si="15"/>
        <v>0</v>
      </c>
      <c r="G101" s="2">
        <f t="shared" ca="1" si="16"/>
        <v>362.11501734573699</v>
      </c>
      <c r="H101" s="2">
        <f t="shared" ca="1" si="11"/>
        <v>0.18849822820736992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362.30351557394437</v>
      </c>
      <c r="F102" s="2">
        <f t="shared" ca="1" si="15"/>
        <v>77.501576146453814</v>
      </c>
      <c r="G102" s="2">
        <f t="shared" ca="1" si="16"/>
        <v>284.80193942749054</v>
      </c>
      <c r="H102" s="2">
        <f t="shared" ca="1" si="11"/>
        <v>0.14825306435951563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ca="1" si="14"/>
        <v>284.95019249185003</v>
      </c>
      <c r="F103" s="2">
        <f t="shared" ca="1" si="15"/>
        <v>0</v>
      </c>
      <c r="G103" s="2">
        <f t="shared" ca="1" si="16"/>
        <v>284.95019249185003</v>
      </c>
      <c r="H103" s="2">
        <f t="shared" ca="1" si="11"/>
        <v>0.14833023718753838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ca="1" si="14"/>
        <v>285.0985227290376</v>
      </c>
      <c r="F104" s="2">
        <f t="shared" ca="1" si="15"/>
        <v>0</v>
      </c>
      <c r="G104" s="2">
        <f t="shared" ca="1" si="16"/>
        <v>285.0985227290376</v>
      </c>
      <c r="H104" s="2">
        <f t="shared" ca="1" si="11"/>
        <v>0.1484074501877182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ca="1" si="14"/>
        <v>285.24693017922533</v>
      </c>
      <c r="F105" s="2">
        <f t="shared" ca="1" si="15"/>
        <v>0</v>
      </c>
      <c r="G105" s="2">
        <f t="shared" ca="1" si="16"/>
        <v>285.24693017922533</v>
      </c>
      <c r="H105" s="2">
        <f t="shared" ca="1" si="11"/>
        <v>0.14848470338096662</v>
      </c>
      <c r="I105" s="2">
        <f t="shared" ca="1" si="12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ca="1" si="14"/>
        <v>305.3954148826063</v>
      </c>
      <c r="F106" s="2">
        <f t="shared" ca="1" si="15"/>
        <v>0</v>
      </c>
      <c r="G106" s="2">
        <f t="shared" ca="1" si="16"/>
        <v>305.3954148826063</v>
      </c>
      <c r="H106" s="2">
        <f t="shared" ca="1" si="11"/>
        <v>0.15897295569231562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ca="1" si="14"/>
        <v>305.55438783829862</v>
      </c>
      <c r="F107" s="2">
        <f t="shared" ca="1" si="15"/>
        <v>0</v>
      </c>
      <c r="G107" s="2">
        <f t="shared" ca="1" si="16"/>
        <v>305.55438783829862</v>
      </c>
      <c r="H107" s="2">
        <f t="shared" ca="1" si="11"/>
        <v>0.15905570873774449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ca="1" si="14"/>
        <v>305.71344354703638</v>
      </c>
      <c r="F108" s="2">
        <f t="shared" ca="1" si="15"/>
        <v>0</v>
      </c>
      <c r="G108" s="2">
        <f t="shared" ca="1" si="16"/>
        <v>305.71344354703638</v>
      </c>
      <c r="H108" s="2">
        <f t="shared" ca="1" si="11"/>
        <v>0.15913850486010114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ca="1" si="14"/>
        <v>305.87258205189647</v>
      </c>
      <c r="F109" s="2">
        <f t="shared" ca="1" si="15"/>
        <v>77.501576146453814</v>
      </c>
      <c r="G109" s="2">
        <f t="shared" ca="1" si="16"/>
        <v>228.37100590544264</v>
      </c>
      <c r="H109" s="2">
        <f t="shared" ca="1" si="11"/>
        <v>0.11887805786858659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ca="1" si="14"/>
        <v>228.48988396331123</v>
      </c>
      <c r="F110" s="2">
        <f t="shared" ca="1" si="15"/>
        <v>0</v>
      </c>
      <c r="G110" s="2">
        <f t="shared" ca="1" si="16"/>
        <v>228.48988396331123</v>
      </c>
      <c r="H110" s="2">
        <f t="shared" ca="1" si="11"/>
        <v>0.11893993959734009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ca="1" si="14"/>
        <v>228.60882390290857</v>
      </c>
      <c r="F111" s="2">
        <f t="shared" ca="1" si="15"/>
        <v>0</v>
      </c>
      <c r="G111" s="2">
        <f t="shared" ca="1" si="16"/>
        <v>228.60882390290857</v>
      </c>
      <c r="H111" s="2">
        <f t="shared" ca="1" si="11"/>
        <v>0.11900185353850036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ca="1" si="14"/>
        <v>228.72782575644706</v>
      </c>
      <c r="F112" s="2">
        <f t="shared" ca="1" si="15"/>
        <v>0</v>
      </c>
      <c r="G112" s="2">
        <f t="shared" ca="1" si="16"/>
        <v>228.72782575644706</v>
      </c>
      <c r="H112" s="2">
        <f t="shared" ca="1" si="11"/>
        <v>0.11906379970883545</v>
      </c>
      <c r="I112" s="2">
        <f t="shared" ca="1" si="12"/>
        <v>20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ca="1" si="14"/>
        <v>248.8468895561559</v>
      </c>
      <c r="F113" s="2">
        <f t="shared" ca="1" si="15"/>
        <v>0</v>
      </c>
      <c r="G113" s="2">
        <f t="shared" ca="1" si="16"/>
        <v>248.8468895561559</v>
      </c>
      <c r="H113" s="2">
        <f t="shared" ca="1" si="11"/>
        <v>0.12953673702923185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ca="1" si="14"/>
        <v>248.97642629318514</v>
      </c>
      <c r="F114" s="2">
        <f t="shared" ca="1" si="15"/>
        <v>0</v>
      </c>
      <c r="G114" s="2">
        <f t="shared" ca="1" si="16"/>
        <v>248.97642629318514</v>
      </c>
      <c r="H114" s="2">
        <f t="shared" ca="1" si="11"/>
        <v>0.12960416711152103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ca="1" si="14"/>
        <v>249.10603046029667</v>
      </c>
      <c r="F115" s="2">
        <f t="shared" ca="1" si="15"/>
        <v>0</v>
      </c>
      <c r="G115" s="2">
        <f t="shared" ca="1" si="16"/>
        <v>249.10603046029667</v>
      </c>
      <c r="H115" s="2">
        <f t="shared" ca="1" si="11"/>
        <v>0.12967163229440101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ca="1" si="14"/>
        <v>249.23570209259105</v>
      </c>
      <c r="F116" s="2">
        <f t="shared" ca="1" si="15"/>
        <v>77.501576146453814</v>
      </c>
      <c r="G116" s="2">
        <f t="shared" ca="1" si="16"/>
        <v>171.73412594613723</v>
      </c>
      <c r="H116" s="2">
        <f t="shared" ca="1" si="11"/>
        <v>8.9395846382920752E-2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ca="1" si="14"/>
        <v>171.82352179252015</v>
      </c>
      <c r="F117" s="2">
        <f t="shared" ca="1" si="15"/>
        <v>0</v>
      </c>
      <c r="G117" s="2">
        <f t="shared" ca="1" si="16"/>
        <v>171.82352179252015</v>
      </c>
      <c r="H117" s="2">
        <f t="shared" ca="1" si="11"/>
        <v>8.9442381207065283E-2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ca="1" si="14"/>
        <v>171.91296417372723</v>
      </c>
      <c r="F118" s="2">
        <f t="shared" ca="1" si="15"/>
        <v>0</v>
      </c>
      <c r="G118" s="2">
        <f t="shared" ca="1" si="16"/>
        <v>171.91296417372723</v>
      </c>
      <c r="H118" s="2">
        <f t="shared" ca="1" si="11"/>
        <v>8.948894025481692E-2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ca="1" si="14"/>
        <v>172.00245311398206</v>
      </c>
      <c r="F119" s="2">
        <f t="shared" ca="1" si="15"/>
        <v>0</v>
      </c>
      <c r="G119" s="2">
        <f t="shared" ca="1" si="16"/>
        <v>172.00245311398206</v>
      </c>
      <c r="H119" s="2">
        <f t="shared" ca="1" si="11"/>
        <v>8.9535523538785175E-2</v>
      </c>
      <c r="I119" s="2">
        <f t="shared" ca="1" si="12"/>
        <v>20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ca="1" si="14"/>
        <v>192.09198863752084</v>
      </c>
      <c r="F120" s="2">
        <f t="shared" ca="1" si="15"/>
        <v>0</v>
      </c>
      <c r="G120" s="2">
        <f t="shared" ca="1" si="16"/>
        <v>192.09198863752084</v>
      </c>
      <c r="H120" s="2">
        <f t="shared" ca="1" si="11"/>
        <v>9.9993089975695781E-2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ca="1" si="14"/>
        <v>192.19198172749654</v>
      </c>
      <c r="F121" s="2">
        <f t="shared" ca="1" si="15"/>
        <v>0</v>
      </c>
      <c r="G121" s="2">
        <f t="shared" ca="1" si="16"/>
        <v>192.19198172749654</v>
      </c>
      <c r="H121" s="2">
        <f t="shared" ca="1" si="11"/>
        <v>0.10004514117321739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ca="1" si="14"/>
        <v>192.29202686866975</v>
      </c>
      <c r="F122" s="2">
        <f t="shared" ca="1" si="15"/>
        <v>0</v>
      </c>
      <c r="G122" s="2">
        <f t="shared" ca="1" si="16"/>
        <v>192.29202686866975</v>
      </c>
      <c r="H122" s="2">
        <f t="shared" ca="1" si="11"/>
        <v>0.10009721946588288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ca="1" si="14"/>
        <v>192.39212408813563</v>
      </c>
      <c r="F123" s="2">
        <f t="shared" ca="1" si="15"/>
        <v>77.501576146453814</v>
      </c>
      <c r="G123" s="2">
        <f t="shared" ca="1" si="16"/>
        <v>114.89054794168182</v>
      </c>
      <c r="H123" s="2">
        <f t="shared" ca="1" si="11"/>
        <v>5.9806038654574095E-2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ca="1" si="14"/>
        <v>114.95035398033639</v>
      </c>
      <c r="F124" s="2">
        <f t="shared" ca="1" si="15"/>
        <v>0</v>
      </c>
      <c r="G124" s="2">
        <f t="shared" ca="1" si="16"/>
        <v>114.95035398033639</v>
      </c>
      <c r="H124" s="2">
        <f t="shared" ca="1" si="11"/>
        <v>5.9837170565106609E-2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ca="1" si="14"/>
        <v>115.01019115090149</v>
      </c>
      <c r="F125" s="2">
        <f t="shared" ca="1" si="15"/>
        <v>0</v>
      </c>
      <c r="G125" s="2">
        <f t="shared" ca="1" si="16"/>
        <v>115.01019115090149</v>
      </c>
      <c r="H125" s="2">
        <f t="shared" ca="1" si="11"/>
        <v>5.9868318681291194E-2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ca="1" si="14"/>
        <v>115.07005946958279</v>
      </c>
      <c r="F126" s="2">
        <f t="shared" ca="1" si="15"/>
        <v>0</v>
      </c>
      <c r="G126" s="2">
        <f t="shared" ca="1" si="16"/>
        <v>115.07005946958279</v>
      </c>
      <c r="H126" s="2">
        <f t="shared" ca="1" si="11"/>
        <v>5.9899483011563642E-2</v>
      </c>
      <c r="I126" s="2">
        <f t="shared" ca="1" si="12"/>
        <v>20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ca="1" si="14"/>
        <v>135.12995895259434</v>
      </c>
      <c r="F127" s="2">
        <f t="shared" ca="1" si="15"/>
        <v>0</v>
      </c>
      <c r="G127" s="2">
        <f t="shared" ca="1" si="16"/>
        <v>135.12995895259434</v>
      </c>
      <c r="H127" s="2">
        <f t="shared" ca="1" si="11"/>
        <v>7.0341622468473766E-2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ca="1" si="14"/>
        <v>135.20030057506281</v>
      </c>
      <c r="F128" s="2">
        <f t="shared" ca="1" si="15"/>
        <v>0</v>
      </c>
      <c r="G128" s="2">
        <f t="shared" ca="1" si="16"/>
        <v>135.20030057506281</v>
      </c>
      <c r="H128" s="2">
        <f t="shared" ca="1" si="11"/>
        <v>7.037823865551214E-2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ca="1" si="14"/>
        <v>135.27067881371832</v>
      </c>
      <c r="F129" s="2">
        <f t="shared" ca="1" si="15"/>
        <v>0</v>
      </c>
      <c r="G129" s="2">
        <f t="shared" ca="1" si="16"/>
        <v>135.27067881371832</v>
      </c>
      <c r="H129" s="2">
        <f t="shared" ca="1" si="11"/>
        <v>7.0414873903031458E-2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ca="1" si="14"/>
        <v>135.34109368762134</v>
      </c>
      <c r="F130" s="2">
        <f t="shared" ca="1" si="15"/>
        <v>77.501576146453814</v>
      </c>
      <c r="G130" s="2">
        <f t="shared" ca="1" si="16"/>
        <v>57.839517541167524</v>
      </c>
      <c r="H130" s="2">
        <f t="shared" ca="1" si="11"/>
        <v>3.0108242007731038E-2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ca="1" si="14"/>
        <v>57.869625783175252</v>
      </c>
      <c r="F131" s="2">
        <f t="shared" ca="1" si="15"/>
        <v>0</v>
      </c>
      <c r="G131" s="2">
        <f t="shared" ca="1" si="16"/>
        <v>57.869625783175252</v>
      </c>
      <c r="H131" s="2">
        <f t="shared" ca="1" si="11"/>
        <v>3.012391479124191E-2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ca="1" si="14"/>
        <v>57.899749697966492</v>
      </c>
      <c r="F132" s="2">
        <f t="shared" ca="1" si="15"/>
        <v>0</v>
      </c>
      <c r="G132" s="2">
        <f t="shared" ca="1" si="16"/>
        <v>57.899749697966492</v>
      </c>
      <c r="H132" s="2">
        <f t="shared" ca="1" si="11"/>
        <v>3.0139595733188036E-2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ca="1" si="14"/>
        <v>57.929889293699681</v>
      </c>
      <c r="F133" s="2">
        <f t="shared" ca="1" si="15"/>
        <v>0</v>
      </c>
      <c r="G133" s="2">
        <f t="shared" ca="1" si="16"/>
        <v>57.929889293699681</v>
      </c>
      <c r="H133" s="2">
        <f t="shared" ca="1" si="11"/>
        <v>3.0155284837816272E-2</v>
      </c>
      <c r="I133" s="2">
        <f t="shared" ca="1" si="12"/>
        <v>20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ca="1" si="14"/>
        <v>77.960044578537492</v>
      </c>
      <c r="F134" s="2">
        <f t="shared" ca="1" si="15"/>
        <v>0</v>
      </c>
      <c r="G134" s="2">
        <f t="shared" ca="1" si="16"/>
        <v>77.960044578537492</v>
      </c>
      <c r="H134" s="2">
        <f t="shared" ca="1" si="11"/>
        <v>4.0581941013485272E-2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ca="1" si="14"/>
        <v>78.000626519550977</v>
      </c>
      <c r="F135" s="2">
        <f t="shared" ca="1" si="15"/>
        <v>0</v>
      </c>
      <c r="G135" s="2">
        <f t="shared" ca="1" si="16"/>
        <v>78.000626519550977</v>
      </c>
      <c r="H135" s="2">
        <f t="shared" ca="1" si="11"/>
        <v>4.0603065859492291E-2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ca="1" si="14"/>
        <v>78.041229585410463</v>
      </c>
      <c r="F136" s="2">
        <f t="shared" ca="1" si="15"/>
        <v>0</v>
      </c>
      <c r="G136" s="2">
        <f t="shared" ca="1" si="16"/>
        <v>78.041229585410463</v>
      </c>
      <c r="H136" s="2">
        <f t="shared" ca="1" si="11"/>
        <v>4.0624201701994489E-2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ca="1" si="14"/>
        <v>78.081853787112451</v>
      </c>
      <c r="F137" s="2">
        <f t="shared" ca="1" si="15"/>
        <v>77.501576146453814</v>
      </c>
      <c r="G137" s="2">
        <f t="shared" ca="1" si="16"/>
        <v>0.58027764065863607</v>
      </c>
      <c r="H137" s="2">
        <f t="shared" ca="1" si="11"/>
        <v>3.0206233349353663E-4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si="14"/>
        <v>0</v>
      </c>
      <c r="F138" s="2">
        <f t="shared" si="15"/>
        <v>0</v>
      </c>
      <c r="G138" s="2">
        <f t="shared" ca="1" si="16"/>
        <v>0.58027764065863607</v>
      </c>
      <c r="H138" s="2">
        <f t="shared" si="11"/>
        <v>0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si="14"/>
        <v>0</v>
      </c>
      <c r="F139" s="2">
        <f t="shared" si="15"/>
        <v>0</v>
      </c>
      <c r="G139" s="2">
        <f t="shared" ca="1" si="16"/>
        <v>0.58027764065863607</v>
      </c>
      <c r="H139" s="2">
        <f t="shared" si="11"/>
        <v>0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si="14"/>
        <v>0</v>
      </c>
      <c r="F140" s="2">
        <f t="shared" si="15"/>
        <v>0</v>
      </c>
      <c r="G140" s="2">
        <f t="shared" ca="1" si="16"/>
        <v>0.58027764065863607</v>
      </c>
      <c r="H140" s="2">
        <f t="shared" ref="H140:H203" si="21">IF(C140&gt;$C$7,0,(G140)*$C$5/365)</f>
        <v>0</v>
      </c>
      <c r="I140" s="2">
        <f t="shared" ref="I140:I203" ca="1" si="22">IF(AND(C140=0,D140=7),$C$6,IF(C140=$C$7,0,IF(C140&lt;$C$7,IF(D140=7,$C$6,0),0)))</f>
        <v>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si="24">IF(C141&gt;$C$7,0,G140+H140+I140)</f>
        <v>0</v>
      </c>
      <c r="F141" s="2">
        <f t="shared" ref="F141:F204" si="25">IF(C141&gt;$C$7,0,IF(ROUND(E141,0)&gt;0,IF(C141=0,0,IF(MOD(C141,$C$3)&gt;0,0,$C$8)),0))</f>
        <v>0</v>
      </c>
      <c r="G141" s="2">
        <f t="shared" ref="G141:G204" ca="1" si="26">IF(C141&gt;$C$7,G140,E141-F141)</f>
        <v>0.58027764065863607</v>
      </c>
      <c r="H141" s="2">
        <f t="shared" si="21"/>
        <v>0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si="24"/>
        <v>0</v>
      </c>
      <c r="F142" s="2">
        <f t="shared" si="25"/>
        <v>0</v>
      </c>
      <c r="G142" s="2">
        <f t="shared" ca="1" si="26"/>
        <v>0.58027764065863607</v>
      </c>
      <c r="H142" s="2">
        <f t="shared" si="21"/>
        <v>0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si="24"/>
        <v>0</v>
      </c>
      <c r="F143" s="2">
        <f t="shared" si="25"/>
        <v>0</v>
      </c>
      <c r="G143" s="2">
        <f t="shared" ca="1" si="26"/>
        <v>0.58027764065863607</v>
      </c>
      <c r="H143" s="2">
        <f t="shared" si="21"/>
        <v>0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si="24"/>
        <v>0</v>
      </c>
      <c r="F144" s="2">
        <f t="shared" si="25"/>
        <v>0</v>
      </c>
      <c r="G144" s="2">
        <f t="shared" ca="1" si="26"/>
        <v>0.58027764065863607</v>
      </c>
      <c r="H144" s="2">
        <f t="shared" si="21"/>
        <v>0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si="24"/>
        <v>0</v>
      </c>
      <c r="F145" s="2">
        <f t="shared" si="25"/>
        <v>0</v>
      </c>
      <c r="G145" s="2">
        <f t="shared" ca="1" si="26"/>
        <v>0.58027764065863607</v>
      </c>
      <c r="H145" s="2">
        <f t="shared" si="21"/>
        <v>0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si="24"/>
        <v>0</v>
      </c>
      <c r="F146" s="2">
        <f t="shared" si="25"/>
        <v>0</v>
      </c>
      <c r="G146" s="2">
        <f t="shared" ca="1" si="26"/>
        <v>0.58027764065863607</v>
      </c>
      <c r="H146" s="2">
        <f t="shared" si="21"/>
        <v>0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si="24"/>
        <v>0</v>
      </c>
      <c r="F147" s="2">
        <f t="shared" si="25"/>
        <v>0</v>
      </c>
      <c r="G147" s="2">
        <f t="shared" ca="1" si="26"/>
        <v>0.58027764065863607</v>
      </c>
      <c r="H147" s="2">
        <f t="shared" si="21"/>
        <v>0</v>
      </c>
      <c r="I147" s="2">
        <f t="shared" ca="1" si="22"/>
        <v>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si="24"/>
        <v>0</v>
      </c>
      <c r="F148" s="2">
        <f t="shared" si="25"/>
        <v>0</v>
      </c>
      <c r="G148" s="2">
        <f t="shared" ca="1" si="26"/>
        <v>0.58027764065863607</v>
      </c>
      <c r="H148" s="2">
        <f t="shared" si="21"/>
        <v>0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si="24"/>
        <v>0</v>
      </c>
      <c r="F149" s="2">
        <f t="shared" si="25"/>
        <v>0</v>
      </c>
      <c r="G149" s="2">
        <f t="shared" ca="1" si="26"/>
        <v>0.58027764065863607</v>
      </c>
      <c r="H149" s="2">
        <f t="shared" si="21"/>
        <v>0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si="24"/>
        <v>0</v>
      </c>
      <c r="F150" s="2">
        <f t="shared" si="25"/>
        <v>0</v>
      </c>
      <c r="G150" s="2">
        <f t="shared" ca="1" si="26"/>
        <v>0.58027764065863607</v>
      </c>
      <c r="H150" s="2">
        <f t="shared" si="21"/>
        <v>0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si="24"/>
        <v>0</v>
      </c>
      <c r="F151" s="2">
        <f t="shared" si="25"/>
        <v>0</v>
      </c>
      <c r="G151" s="2">
        <f t="shared" ca="1" si="26"/>
        <v>0.58027764065863607</v>
      </c>
      <c r="H151" s="2">
        <f t="shared" si="21"/>
        <v>0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si="24"/>
        <v>0</v>
      </c>
      <c r="F152" s="2">
        <f t="shared" si="25"/>
        <v>0</v>
      </c>
      <c r="G152" s="2">
        <f t="shared" ca="1" si="26"/>
        <v>0.58027764065863607</v>
      </c>
      <c r="H152" s="2">
        <f t="shared" si="21"/>
        <v>0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si="24"/>
        <v>0</v>
      </c>
      <c r="F153" s="2">
        <f t="shared" si="25"/>
        <v>0</v>
      </c>
      <c r="G153" s="2">
        <f t="shared" ca="1" si="26"/>
        <v>0.58027764065863607</v>
      </c>
      <c r="H153" s="2">
        <f t="shared" si="21"/>
        <v>0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si="24"/>
        <v>0</v>
      </c>
      <c r="F154" s="2">
        <f t="shared" si="25"/>
        <v>0</v>
      </c>
      <c r="G154" s="2">
        <f t="shared" ca="1" si="26"/>
        <v>0.58027764065863607</v>
      </c>
      <c r="H154" s="2">
        <f t="shared" si="21"/>
        <v>0</v>
      </c>
      <c r="I154" s="2">
        <f t="shared" ca="1" si="22"/>
        <v>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si="24"/>
        <v>0</v>
      </c>
      <c r="F155" s="2">
        <f t="shared" si="25"/>
        <v>0</v>
      </c>
      <c r="G155" s="2">
        <f t="shared" ca="1" si="26"/>
        <v>0.58027764065863607</v>
      </c>
      <c r="H155" s="2">
        <f t="shared" si="21"/>
        <v>0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si="24"/>
        <v>0</v>
      </c>
      <c r="F156" s="2">
        <f t="shared" si="25"/>
        <v>0</v>
      </c>
      <c r="G156" s="2">
        <f t="shared" ca="1" si="26"/>
        <v>0.58027764065863607</v>
      </c>
      <c r="H156" s="2">
        <f t="shared" si="21"/>
        <v>0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si="24"/>
        <v>0</v>
      </c>
      <c r="F157" s="2">
        <f t="shared" si="25"/>
        <v>0</v>
      </c>
      <c r="G157" s="2">
        <f t="shared" ca="1" si="26"/>
        <v>0.58027764065863607</v>
      </c>
      <c r="H157" s="2">
        <f t="shared" si="21"/>
        <v>0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si="24"/>
        <v>0</v>
      </c>
      <c r="F158" s="2">
        <f t="shared" si="25"/>
        <v>0</v>
      </c>
      <c r="G158" s="2">
        <f t="shared" ca="1" si="26"/>
        <v>0.58027764065863607</v>
      </c>
      <c r="H158" s="2">
        <f t="shared" si="21"/>
        <v>0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si="24"/>
        <v>0</v>
      </c>
      <c r="F159" s="2">
        <f t="shared" si="25"/>
        <v>0</v>
      </c>
      <c r="G159" s="2">
        <f t="shared" ca="1" si="26"/>
        <v>0.58027764065863607</v>
      </c>
      <c r="H159" s="2">
        <f t="shared" si="21"/>
        <v>0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si="24"/>
        <v>0</v>
      </c>
      <c r="F160" s="2">
        <f t="shared" si="25"/>
        <v>0</v>
      </c>
      <c r="G160" s="2">
        <f t="shared" ca="1" si="26"/>
        <v>0.58027764065863607</v>
      </c>
      <c r="H160" s="2">
        <f t="shared" si="21"/>
        <v>0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si="24"/>
        <v>0</v>
      </c>
      <c r="F161" s="2">
        <f t="shared" si="25"/>
        <v>0</v>
      </c>
      <c r="G161" s="2">
        <f t="shared" ca="1" si="26"/>
        <v>0.58027764065863607</v>
      </c>
      <c r="H161" s="2">
        <f t="shared" si="21"/>
        <v>0</v>
      </c>
      <c r="I161" s="2">
        <f t="shared" ca="1" si="22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si="24"/>
        <v>0</v>
      </c>
      <c r="F162" s="2">
        <f t="shared" si="25"/>
        <v>0</v>
      </c>
      <c r="G162" s="2">
        <f t="shared" ca="1" si="26"/>
        <v>0.58027764065863607</v>
      </c>
      <c r="H162" s="2">
        <f t="shared" si="21"/>
        <v>0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si="24"/>
        <v>0</v>
      </c>
      <c r="F163" s="2">
        <f t="shared" si="25"/>
        <v>0</v>
      </c>
      <c r="G163" s="2">
        <f t="shared" ca="1" si="26"/>
        <v>0.58027764065863607</v>
      </c>
      <c r="H163" s="2">
        <f t="shared" si="21"/>
        <v>0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si="24"/>
        <v>0</v>
      </c>
      <c r="F164" s="2">
        <f t="shared" si="25"/>
        <v>0</v>
      </c>
      <c r="G164" s="2">
        <f t="shared" ca="1" si="26"/>
        <v>0.58027764065863607</v>
      </c>
      <c r="H164" s="2">
        <f t="shared" si="21"/>
        <v>0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si="24"/>
        <v>0</v>
      </c>
      <c r="F165" s="2">
        <f t="shared" si="25"/>
        <v>0</v>
      </c>
      <c r="G165" s="2">
        <f t="shared" ca="1" si="26"/>
        <v>0.58027764065863607</v>
      </c>
      <c r="H165" s="2">
        <f t="shared" si="21"/>
        <v>0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0.58027764065863607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0.58027764065863607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0.58027764065863607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0.58027764065863607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0.58027764065863607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0.58027764065863607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0.58027764065863607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0.58027764065863607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0.58027764065863607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0.58027764065863607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0.58027764065863607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0.58027764065863607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0.58027764065863607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0.58027764065863607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0.58027764065863607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0.58027764065863607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0.58027764065863607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0.58027764065863607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0.58027764065863607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0.58027764065863607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0.58027764065863607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0.58027764065863607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0.58027764065863607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0.58027764065863607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0.58027764065863607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0.58027764065863607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0.58027764065863607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0.58027764065863607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0.58027764065863607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0.58027764065863607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0.58027764065863607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0.58027764065863607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0.58027764065863607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0.58027764065863607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0.58027764065863607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0.58027764065863607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0.58027764065863607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0.58027764065863607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0.58027764065863607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0.58027764065863607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0.58027764065863607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0.58027764065863607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0.58027764065863607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0.58027764065863607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0.58027764065863607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0.58027764065863607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B11:I211">
    <cfRule type="expression" dxfId="57" priority="3">
      <formula>$C11=$C$7</formula>
    </cfRule>
    <cfRule type="expression" dxfId="56" priority="4">
      <formula>$C11&gt;$C$7</formula>
    </cfRule>
  </conditionalFormatting>
  <conditionalFormatting sqref="E7">
    <cfRule type="cellIs" dxfId="55" priority="1" operator="equal">
      <formula>"No RESET Required"</formula>
    </cfRule>
    <cfRule type="cellIs" dxfId="54" priority="2" operator="equal">
      <formula>"RESET"</formula>
    </cfRule>
  </conditionalFormatting>
  <hyperlinks>
    <hyperlink ref="H2:I4" location="Summary!A1" display="Return to Home" xr:uid="{7B4CA1F7-EC7A-458F-B934-D6BF5A24CD56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203200</xdr:colOff>
                    <xdr:row>5</xdr:row>
                    <xdr:rowOff>76200</xdr:rowOff>
                  </from>
                  <to>
                    <xdr:col>8</xdr:col>
                    <xdr:colOff>1549400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60222-C750-4992-A6B3-023D9F86695C}">
  <sheetPr codeName="Sheet10">
    <tabColor rgb="FF00B0F0"/>
  </sheetPr>
  <dimension ref="B1:J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3" customWidth="1"/>
    <col min="9" max="9" width="25" bestFit="1" customWidth="1"/>
    <col min="10" max="10" width="9.1640625" bestFit="1" customWidth="1"/>
  </cols>
  <sheetData>
    <row r="1" spans="2:10" ht="16" thickBot="1" x14ac:dyDescent="0.25"/>
    <row r="2" spans="2:10" x14ac:dyDescent="0.2">
      <c r="B2" s="1" t="s">
        <v>0</v>
      </c>
      <c r="C2" s="13">
        <v>1250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10" x14ac:dyDescent="0.2">
      <c r="B3" s="1" t="s">
        <v>2</v>
      </c>
      <c r="C3" s="11">
        <v>7</v>
      </c>
      <c r="E3" s="1" t="s">
        <v>3</v>
      </c>
      <c r="F3" s="15">
        <f ca="1">SUM(F12:F211)</f>
        <v>1720.7903371271486</v>
      </c>
      <c r="H3" s="25"/>
      <c r="I3" s="26"/>
    </row>
    <row r="4" spans="2:10" ht="16" thickBot="1" x14ac:dyDescent="0.25">
      <c r="B4" s="1" t="s">
        <v>4</v>
      </c>
      <c r="C4" s="9">
        <f>C7/C3</f>
        <v>21</v>
      </c>
      <c r="E4" s="1" t="s">
        <v>5</v>
      </c>
      <c r="F4" s="15">
        <f ca="1">SUM(H11:H211)</f>
        <v>51.471435529323593</v>
      </c>
      <c r="H4" s="27"/>
      <c r="I4" s="28"/>
    </row>
    <row r="5" spans="2:10" x14ac:dyDescent="0.2">
      <c r="B5" s="1" t="s">
        <v>6</v>
      </c>
      <c r="C5" s="12">
        <v>0.19</v>
      </c>
      <c r="E5" s="1" t="s">
        <v>7</v>
      </c>
      <c r="F5" s="15">
        <f ca="1">SUM(G12:G211)</f>
        <v>97665.416108993668</v>
      </c>
    </row>
    <row r="6" spans="2:10" ht="16" thickBot="1" x14ac:dyDescent="0.25">
      <c r="B6" s="1" t="s">
        <v>8</v>
      </c>
      <c r="C6" s="13">
        <v>20</v>
      </c>
    </row>
    <row r="7" spans="2:10" ht="15" customHeight="1" x14ac:dyDescent="0.2">
      <c r="B7" s="1" t="s">
        <v>9</v>
      </c>
      <c r="C7" s="11">
        <v>147</v>
      </c>
      <c r="E7" s="29" t="str">
        <f ca="1">IF(ROUND(G211,2)&lt;&gt;0,"RESET","No RESET Required")</f>
        <v>RESET</v>
      </c>
      <c r="F7" s="30"/>
    </row>
    <row r="8" spans="2:10" ht="15" customHeight="1" thickBot="1" x14ac:dyDescent="0.25">
      <c r="B8" s="1" t="s">
        <v>10</v>
      </c>
      <c r="C8" s="8">
        <v>81.942397006054648</v>
      </c>
      <c r="E8" s="31"/>
      <c r="F8" s="32"/>
    </row>
    <row r="9" spans="2:10" x14ac:dyDescent="0.2">
      <c r="C9" s="2"/>
      <c r="F9" s="3"/>
      <c r="G9" s="3"/>
      <c r="H9" s="3"/>
      <c r="I9" s="3"/>
      <c r="J9" s="3"/>
    </row>
    <row r="10" spans="2:10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10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1250</v>
      </c>
      <c r="H11" s="2">
        <f ca="1">IF(C11&gt;$C$7,0,(G11)*$C$5/365)</f>
        <v>0.65068493150684936</v>
      </c>
      <c r="I11" s="2">
        <f ca="1">IF(AND(C11=0,D11=7),$C$6,IF(C11=$C$7,0,IF(C11&lt;$C$7,IF(D11=7,$C$6,0),0)))</f>
        <v>0</v>
      </c>
    </row>
    <row r="12" spans="2:10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1250.6506849315069</v>
      </c>
      <c r="F12" s="2">
        <f ca="1">IF(C12&gt;$C$7,0,IF(ROUND(E12,0)&gt;0,IF(C12=0,0,IF(MOD(C12,$C$3)&gt;0,0,$C$8)),0))</f>
        <v>0</v>
      </c>
      <c r="G12" s="2">
        <f ca="1">IF(C12&gt;$C$7,G11,E12-F12)</f>
        <v>1250.6506849315069</v>
      </c>
      <c r="H12" s="2">
        <f t="shared" ref="H12:H75" ca="1" si="1">IF(C12&gt;$C$7,0,(G12)*$C$5/365)</f>
        <v>0.6510236442109214</v>
      </c>
      <c r="I12" s="2">
        <f t="shared" ref="I12:I75" ca="1" si="2">IF(AND(C12=0,D12=7),$C$6,IF(C12=$C$7,0,IF(C12&lt;$C$7,IF(D12=7,$C$6,0),0)))</f>
        <v>0</v>
      </c>
    </row>
    <row r="13" spans="2:10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1251.3017085757178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1251.3017085757178</v>
      </c>
      <c r="H13" s="2">
        <f t="shared" ca="1" si="1"/>
        <v>0.65136253323119553</v>
      </c>
      <c r="I13" s="2">
        <f t="shared" ca="1" si="2"/>
        <v>0</v>
      </c>
    </row>
    <row r="14" spans="2:10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1251.953071108949</v>
      </c>
      <c r="F14" s="2">
        <f t="shared" ca="1" si="5"/>
        <v>0</v>
      </c>
      <c r="G14" s="2">
        <f t="shared" ca="1" si="6"/>
        <v>1251.953071108949</v>
      </c>
      <c r="H14" s="2">
        <f t="shared" ca="1" si="1"/>
        <v>0.65170159865945287</v>
      </c>
      <c r="I14" s="2">
        <f t="shared" ca="1" si="2"/>
        <v>20</v>
      </c>
    </row>
    <row r="15" spans="2:10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1272.6047727076084</v>
      </c>
      <c r="F15" s="2">
        <f t="shared" ca="1" si="5"/>
        <v>0</v>
      </c>
      <c r="G15" s="2">
        <f t="shared" ca="1" si="6"/>
        <v>1272.6047727076084</v>
      </c>
      <c r="H15" s="2">
        <f t="shared" ca="1" si="1"/>
        <v>0.6624517994916318</v>
      </c>
      <c r="I15" s="2">
        <f t="shared" ca="1" si="2"/>
        <v>0</v>
      </c>
    </row>
    <row r="16" spans="2:10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1273.2672245071001</v>
      </c>
      <c r="F16" s="2">
        <f t="shared" ca="1" si="5"/>
        <v>0</v>
      </c>
      <c r="G16" s="2">
        <f t="shared" ca="1" si="6"/>
        <v>1273.2672245071001</v>
      </c>
      <c r="H16" s="2">
        <f t="shared" ca="1" si="1"/>
        <v>0.66279663741465489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1273.9300211445147</v>
      </c>
      <c r="F17" s="2">
        <f t="shared" ca="1" si="5"/>
        <v>0</v>
      </c>
      <c r="G17" s="2">
        <f t="shared" ca="1" si="6"/>
        <v>1273.9300211445147</v>
      </c>
      <c r="H17" s="2">
        <f t="shared" ca="1" si="1"/>
        <v>0.66314165484235021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1274.5931627993571</v>
      </c>
      <c r="F18" s="2">
        <f t="shared" ca="1" si="5"/>
        <v>81.942397006054648</v>
      </c>
      <c r="G18" s="2">
        <f t="shared" ca="1" si="6"/>
        <v>1192.6507657933025</v>
      </c>
      <c r="H18" s="2">
        <f t="shared" ca="1" si="1"/>
        <v>0.62083190548144518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1193.271597698784</v>
      </c>
      <c r="F19" s="2">
        <f t="shared" ca="1" si="5"/>
        <v>0</v>
      </c>
      <c r="G19" s="2">
        <f t="shared" ca="1" si="6"/>
        <v>1193.271597698784</v>
      </c>
      <c r="H19" s="2">
        <f t="shared" ca="1" si="1"/>
        <v>0.6211550782541615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1193.8927527770381</v>
      </c>
      <c r="F20" s="2">
        <f t="shared" ca="1" si="5"/>
        <v>0</v>
      </c>
      <c r="G20" s="2">
        <f t="shared" ca="1" si="6"/>
        <v>1193.8927527770381</v>
      </c>
      <c r="H20" s="2">
        <f t="shared" ca="1" si="1"/>
        <v>0.62147841925380076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1194.514231196292</v>
      </c>
      <c r="F21" s="2">
        <f t="shared" ca="1" si="5"/>
        <v>0</v>
      </c>
      <c r="G21" s="2">
        <f t="shared" ca="1" si="6"/>
        <v>1194.514231196292</v>
      </c>
      <c r="H21" s="2">
        <f t="shared" ca="1" si="1"/>
        <v>0.62180192856793282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1215.13603312486</v>
      </c>
      <c r="F22" s="2">
        <f t="shared" ca="1" si="5"/>
        <v>0</v>
      </c>
      <c r="G22" s="2">
        <f t="shared" ca="1" si="6"/>
        <v>1215.13603312486</v>
      </c>
      <c r="H22" s="2">
        <f t="shared" ca="1" si="1"/>
        <v>0.63253656518828327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1215.7685696900483</v>
      </c>
      <c r="F23" s="2">
        <f t="shared" ca="1" si="5"/>
        <v>0</v>
      </c>
      <c r="G23" s="2">
        <f t="shared" ca="1" si="6"/>
        <v>1215.7685696900483</v>
      </c>
      <c r="H23" s="2">
        <f t="shared" ca="1" si="1"/>
        <v>0.63286583079755943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1216.4014355208458</v>
      </c>
      <c r="F24" s="2">
        <f t="shared" ca="1" si="5"/>
        <v>0</v>
      </c>
      <c r="G24" s="2">
        <f t="shared" ca="1" si="6"/>
        <v>1216.4014355208458</v>
      </c>
      <c r="H24" s="2">
        <f t="shared" ca="1" si="1"/>
        <v>0.63319526780537183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1217.0346307886512</v>
      </c>
      <c r="F25" s="2">
        <f t="shared" ca="1" si="5"/>
        <v>81.942397006054648</v>
      </c>
      <c r="G25" s="2">
        <f t="shared" ca="1" si="6"/>
        <v>1135.0922337825964</v>
      </c>
      <c r="H25" s="2">
        <f t="shared" ca="1" si="1"/>
        <v>0.59086992991422826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1135.6831037125107</v>
      </c>
      <c r="F26" s="2">
        <f t="shared" ca="1" si="5"/>
        <v>0</v>
      </c>
      <c r="G26" s="2">
        <f t="shared" ca="1" si="6"/>
        <v>1135.6831037125107</v>
      </c>
      <c r="H26" s="2">
        <f t="shared" ca="1" si="1"/>
        <v>0.59117750604212882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1136.2742812185529</v>
      </c>
      <c r="F27" s="2">
        <f t="shared" ca="1" si="5"/>
        <v>0</v>
      </c>
      <c r="G27" s="2">
        <f t="shared" ca="1" si="6"/>
        <v>1136.2742812185529</v>
      </c>
      <c r="H27" s="2">
        <f t="shared" ca="1" si="1"/>
        <v>0.5914852422781508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1136.8657664608311</v>
      </c>
      <c r="F28" s="2">
        <f t="shared" ca="1" si="5"/>
        <v>0</v>
      </c>
      <c r="G28" s="2">
        <f t="shared" ca="1" si="6"/>
        <v>1136.8657664608311</v>
      </c>
      <c r="H28" s="2">
        <f t="shared" ca="1" si="1"/>
        <v>0.5917931387056381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1157.4575595995368</v>
      </c>
      <c r="F29" s="2">
        <f t="shared" ca="1" si="5"/>
        <v>0</v>
      </c>
      <c r="G29" s="2">
        <f t="shared" ca="1" si="6"/>
        <v>1157.4575595995368</v>
      </c>
      <c r="H29" s="2">
        <f t="shared" ca="1" si="1"/>
        <v>0.6025121543120876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1158.0600717538489</v>
      </c>
      <c r="F30" s="2">
        <f t="shared" ca="1" si="5"/>
        <v>0</v>
      </c>
      <c r="G30" s="2">
        <f t="shared" ca="1" si="6"/>
        <v>1158.0600717538489</v>
      </c>
      <c r="H30" s="2">
        <f t="shared" ca="1" si="1"/>
        <v>0.6028257907759762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1158.6628975446249</v>
      </c>
      <c r="F31" s="2">
        <f t="shared" ca="1" si="5"/>
        <v>0</v>
      </c>
      <c r="G31" s="2">
        <f t="shared" ca="1" si="6"/>
        <v>1158.6628975446249</v>
      </c>
      <c r="H31" s="2">
        <f t="shared" ca="1" si="1"/>
        <v>0.6031395905026814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1159.2660371351276</v>
      </c>
      <c r="F32" s="2">
        <f t="shared" ca="1" si="5"/>
        <v>81.942397006054648</v>
      </c>
      <c r="G32" s="2">
        <f t="shared" ca="1" si="6"/>
        <v>1077.3236401290728</v>
      </c>
      <c r="H32" s="2">
        <f t="shared" ca="1" si="1"/>
        <v>0.56079860719047625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1077.8844387362633</v>
      </c>
      <c r="F33" s="2">
        <f t="shared" ca="1" si="5"/>
        <v>0</v>
      </c>
      <c r="G33" s="2">
        <f t="shared" ca="1" si="6"/>
        <v>1077.8844387362633</v>
      </c>
      <c r="H33" s="2">
        <f t="shared" ca="1" si="1"/>
        <v>0.56109052975312335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1078.4455292660164</v>
      </c>
      <c r="F34" s="2">
        <f t="shared" ca="1" si="5"/>
        <v>0</v>
      </c>
      <c r="G34" s="2">
        <f t="shared" ca="1" si="6"/>
        <v>1078.4455292660164</v>
      </c>
      <c r="H34" s="2">
        <f t="shared" ca="1" si="1"/>
        <v>0.56138260427546061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1079.0069118702918</v>
      </c>
      <c r="F35" s="2">
        <f t="shared" ca="1" si="5"/>
        <v>0</v>
      </c>
      <c r="G35" s="2">
        <f t="shared" ca="1" si="6"/>
        <v>1079.0069118702918</v>
      </c>
      <c r="H35" s="2">
        <f t="shared" ca="1" si="1"/>
        <v>0.56167483083659031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1099.5685867011284</v>
      </c>
      <c r="F36" s="2">
        <f t="shared" ca="1" si="5"/>
        <v>0</v>
      </c>
      <c r="G36" s="2">
        <f t="shared" ca="1" si="6"/>
        <v>1099.5685867011284</v>
      </c>
      <c r="H36" s="2">
        <f t="shared" ca="1" si="1"/>
        <v>0.57237816841976552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1100.1409648695483</v>
      </c>
      <c r="F37" s="2">
        <f t="shared" ca="1" si="5"/>
        <v>0</v>
      </c>
      <c r="G37" s="2">
        <f t="shared" ca="1" si="6"/>
        <v>1100.1409648695483</v>
      </c>
      <c r="H37" s="2">
        <f t="shared" ca="1" si="1"/>
        <v>0.57267611869921697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1100.7136409882476</v>
      </c>
      <c r="F38" s="2">
        <f t="shared" ca="1" si="5"/>
        <v>0</v>
      </c>
      <c r="G38" s="2">
        <f t="shared" ca="1" si="6"/>
        <v>1100.7136409882476</v>
      </c>
      <c r="H38" s="2">
        <f t="shared" ca="1" si="1"/>
        <v>0.57297422407607401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1101.2866152123236</v>
      </c>
      <c r="F39" s="2">
        <f t="shared" ca="1" si="5"/>
        <v>81.942397006054648</v>
      </c>
      <c r="G39" s="2">
        <f t="shared" ca="1" si="6"/>
        <v>1019.3442182062689</v>
      </c>
      <c r="H39" s="2">
        <f t="shared" ca="1" si="1"/>
        <v>0.5306175382443592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1019.8748357445132</v>
      </c>
      <c r="F40" s="2">
        <f t="shared" ca="1" si="5"/>
        <v>0</v>
      </c>
      <c r="G40" s="2">
        <f t="shared" ca="1" si="6"/>
        <v>1019.8748357445132</v>
      </c>
      <c r="H40" s="2">
        <f t="shared" ca="1" si="1"/>
        <v>0.53089375011358231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1020.4057294946268</v>
      </c>
      <c r="F41" s="2">
        <f t="shared" ca="1" si="5"/>
        <v>0</v>
      </c>
      <c r="G41" s="2">
        <f t="shared" ca="1" si="6"/>
        <v>1020.4057294946268</v>
      </c>
      <c r="H41" s="2">
        <f t="shared" ca="1" si="1"/>
        <v>0.53117010576432633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1020.9368996003911</v>
      </c>
      <c r="F42" s="2">
        <f t="shared" ca="1" si="5"/>
        <v>0</v>
      </c>
      <c r="G42" s="2">
        <f t="shared" ca="1" si="6"/>
        <v>1020.9368996003911</v>
      </c>
      <c r="H42" s="2">
        <f t="shared" ca="1" si="1"/>
        <v>0.5314466052714365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1041.4683462056626</v>
      </c>
      <c r="F43" s="2">
        <f t="shared" ca="1" si="5"/>
        <v>0</v>
      </c>
      <c r="G43" s="2">
        <f t="shared" ca="1" si="6"/>
        <v>1041.4683462056626</v>
      </c>
      <c r="H43" s="2">
        <f t="shared" ca="1" si="1"/>
        <v>0.54213420761390652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1042.0104804132764</v>
      </c>
      <c r="F44" s="2">
        <f t="shared" ca="1" si="5"/>
        <v>0</v>
      </c>
      <c r="G44" s="2">
        <f t="shared" ca="1" si="6"/>
        <v>1042.0104804132764</v>
      </c>
      <c r="H44" s="2">
        <f t="shared" ca="1" si="1"/>
        <v>0.54241641446170552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1042.5528968277381</v>
      </c>
      <c r="F45" s="2">
        <f t="shared" ca="1" si="5"/>
        <v>0</v>
      </c>
      <c r="G45" s="2">
        <f t="shared" ca="1" si="6"/>
        <v>1042.5528968277381</v>
      </c>
      <c r="H45" s="2">
        <f t="shared" ca="1" si="1"/>
        <v>0.54269876821169927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1043.0955955959498</v>
      </c>
      <c r="F46" s="2">
        <f t="shared" ca="1" si="5"/>
        <v>81.942397006054648</v>
      </c>
      <c r="G46" s="2">
        <f t="shared" ca="1" si="6"/>
        <v>961.15319858989517</v>
      </c>
      <c r="H46" s="2">
        <f t="shared" ca="1" si="1"/>
        <v>0.50032632255364407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961.6535249124488</v>
      </c>
      <c r="F47" s="2">
        <f t="shared" ca="1" si="5"/>
        <v>0</v>
      </c>
      <c r="G47" s="2">
        <f t="shared" ca="1" si="6"/>
        <v>961.6535249124488</v>
      </c>
      <c r="H47" s="2">
        <f t="shared" ca="1" si="1"/>
        <v>0.50058676639278155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962.15411167884156</v>
      </c>
      <c r="F48" s="2">
        <f t="shared" ca="1" si="5"/>
        <v>0</v>
      </c>
      <c r="G48" s="2">
        <f t="shared" ca="1" si="6"/>
        <v>962.15411167884156</v>
      </c>
      <c r="H48" s="2">
        <f t="shared" ca="1" si="1"/>
        <v>0.50084734580542434</v>
      </c>
      <c r="I48" s="2">
        <f t="shared" ca="1" si="2"/>
        <v>0</v>
      </c>
    </row>
    <row r="49" spans="2:10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962.65495902464693</v>
      </c>
      <c r="F49" s="2">
        <f t="shared" ca="1" si="5"/>
        <v>0</v>
      </c>
      <c r="G49" s="2">
        <f t="shared" ca="1" si="6"/>
        <v>962.65495902464693</v>
      </c>
      <c r="H49" s="2">
        <f t="shared" ca="1" si="1"/>
        <v>0.50110806086214499</v>
      </c>
      <c r="I49" s="2">
        <f t="shared" ca="1" si="2"/>
        <v>20</v>
      </c>
    </row>
    <row r="50" spans="2:10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983.15606708550911</v>
      </c>
      <c r="F50" s="2">
        <f t="shared" ca="1" si="5"/>
        <v>0</v>
      </c>
      <c r="G50" s="2">
        <f t="shared" ca="1" si="6"/>
        <v>983.15606708550911</v>
      </c>
      <c r="H50" s="2">
        <f t="shared" ca="1" si="1"/>
        <v>0.51177987053766227</v>
      </c>
      <c r="I50" s="2">
        <f t="shared" ca="1" si="2"/>
        <v>0</v>
      </c>
    </row>
    <row r="51" spans="2:10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983.66784695604679</v>
      </c>
      <c r="F51" s="2">
        <f t="shared" ca="1" si="5"/>
        <v>0</v>
      </c>
      <c r="G51" s="2">
        <f t="shared" ca="1" si="6"/>
        <v>983.66784695604679</v>
      </c>
      <c r="H51" s="2">
        <f t="shared" ca="1" si="1"/>
        <v>0.51204627649766821</v>
      </c>
      <c r="I51" s="2">
        <f t="shared" ca="1" si="2"/>
        <v>0</v>
      </c>
    </row>
    <row r="52" spans="2:10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984.17989323254449</v>
      </c>
      <c r="F52" s="2">
        <f t="shared" ca="1" si="5"/>
        <v>0</v>
      </c>
      <c r="G52" s="2">
        <f t="shared" ca="1" si="6"/>
        <v>984.17989323254449</v>
      </c>
      <c r="H52" s="2">
        <f t="shared" ca="1" si="1"/>
        <v>0.51231282113474919</v>
      </c>
      <c r="I52" s="2">
        <f t="shared" ca="1" si="2"/>
        <v>0</v>
      </c>
    </row>
    <row r="53" spans="2:10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984.69220605367923</v>
      </c>
      <c r="F53" s="2">
        <f t="shared" ca="1" si="5"/>
        <v>81.942397006054648</v>
      </c>
      <c r="G53" s="2">
        <f t="shared" ca="1" si="6"/>
        <v>902.74980904762458</v>
      </c>
      <c r="H53" s="2">
        <f t="shared" ca="1" si="1"/>
        <v>0.46992455813437989</v>
      </c>
      <c r="I53" s="2">
        <f t="shared" ca="1" si="2"/>
        <v>0</v>
      </c>
      <c r="J53" s="5"/>
    </row>
    <row r="54" spans="2:10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903.21973360575896</v>
      </c>
      <c r="F54" s="2">
        <f t="shared" ca="1" si="5"/>
        <v>0</v>
      </c>
      <c r="G54" s="2">
        <f t="shared" ca="1" si="6"/>
        <v>903.21973360575896</v>
      </c>
      <c r="H54" s="2">
        <f t="shared" ca="1" si="1"/>
        <v>0.47016917639751837</v>
      </c>
      <c r="I54" s="2">
        <f t="shared" ca="1" si="2"/>
        <v>0</v>
      </c>
    </row>
    <row r="55" spans="2:10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903.68990278215642</v>
      </c>
      <c r="F55" s="2">
        <f t="shared" ca="1" si="5"/>
        <v>0</v>
      </c>
      <c r="G55" s="2">
        <f t="shared" ca="1" si="6"/>
        <v>903.68990278215642</v>
      </c>
      <c r="H55" s="2">
        <f t="shared" ca="1" si="1"/>
        <v>0.47041392199619103</v>
      </c>
      <c r="I55" s="2">
        <f t="shared" ca="1" si="2"/>
        <v>0</v>
      </c>
    </row>
    <row r="56" spans="2:10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904.16031670415259</v>
      </c>
      <c r="F56" s="2">
        <f t="shared" ca="1" si="5"/>
        <v>0</v>
      </c>
      <c r="G56" s="2">
        <f t="shared" ca="1" si="6"/>
        <v>904.16031670415259</v>
      </c>
      <c r="H56" s="2">
        <f t="shared" ca="1" si="1"/>
        <v>0.47065879499668217</v>
      </c>
      <c r="I56" s="2">
        <f t="shared" ca="1" si="2"/>
        <v>20</v>
      </c>
    </row>
    <row r="57" spans="2:10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924.63097549914926</v>
      </c>
      <c r="F57" s="2">
        <f t="shared" ca="1" si="5"/>
        <v>0</v>
      </c>
      <c r="G57" s="2">
        <f t="shared" ca="1" si="6"/>
        <v>924.63097549914926</v>
      </c>
      <c r="H57" s="2">
        <f t="shared" ca="1" si="1"/>
        <v>0.48131475436942017</v>
      </c>
      <c r="I57" s="2">
        <f t="shared" ca="1" si="2"/>
        <v>0</v>
      </c>
    </row>
    <row r="58" spans="2:10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925.11229025351872</v>
      </c>
      <c r="F58" s="2">
        <f t="shared" ca="1" si="5"/>
        <v>0</v>
      </c>
      <c r="G58" s="2">
        <f t="shared" ca="1" si="6"/>
        <v>925.11229025351872</v>
      </c>
      <c r="H58" s="2">
        <f t="shared" ca="1" si="1"/>
        <v>0.48156530177580426</v>
      </c>
      <c r="I58" s="2">
        <f t="shared" ca="1" si="2"/>
        <v>0</v>
      </c>
    </row>
    <row r="59" spans="2:10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925.59385555529457</v>
      </c>
      <c r="F59" s="2">
        <f t="shared" ca="1" si="5"/>
        <v>0</v>
      </c>
      <c r="G59" s="2">
        <f t="shared" ca="1" si="6"/>
        <v>925.59385555529457</v>
      </c>
      <c r="H59" s="2">
        <f t="shared" ca="1" si="1"/>
        <v>0.48181597960412598</v>
      </c>
      <c r="I59" s="2">
        <f t="shared" ca="1" si="2"/>
        <v>0</v>
      </c>
    </row>
    <row r="60" spans="2:10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926.07567153489867</v>
      </c>
      <c r="F60" s="2">
        <f t="shared" ca="1" si="5"/>
        <v>81.942397006054648</v>
      </c>
      <c r="G60" s="2">
        <f t="shared" ca="1" si="6"/>
        <v>844.13327452884403</v>
      </c>
      <c r="H60" s="2">
        <f t="shared" ca="1" si="1"/>
        <v>0.43941184153556267</v>
      </c>
      <c r="I60" s="2">
        <f t="shared" ca="1" si="2"/>
        <v>0</v>
      </c>
    </row>
    <row r="61" spans="2:10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844.57268637037964</v>
      </c>
      <c r="F61" s="2">
        <f t="shared" ca="1" si="5"/>
        <v>0</v>
      </c>
      <c r="G61" s="2">
        <f t="shared" ca="1" si="6"/>
        <v>844.57268637037964</v>
      </c>
      <c r="H61" s="2">
        <f t="shared" ca="1" si="1"/>
        <v>0.43964057646677296</v>
      </c>
      <c r="I61" s="2">
        <f t="shared" ca="1" si="2"/>
        <v>0</v>
      </c>
    </row>
    <row r="62" spans="2:10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845.01232694684643</v>
      </c>
      <c r="F62" s="2">
        <f t="shared" ca="1" si="5"/>
        <v>0</v>
      </c>
      <c r="G62" s="2">
        <f t="shared" ca="1" si="6"/>
        <v>845.01232694684643</v>
      </c>
      <c r="H62" s="2">
        <f t="shared" ca="1" si="1"/>
        <v>0.43986943046548171</v>
      </c>
      <c r="I62" s="2">
        <f t="shared" ca="1" si="2"/>
        <v>0</v>
      </c>
    </row>
    <row r="63" spans="2:10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845.45219637731191</v>
      </c>
      <c r="F63" s="2">
        <f t="shared" ca="1" si="5"/>
        <v>0</v>
      </c>
      <c r="G63" s="2">
        <f t="shared" ca="1" si="6"/>
        <v>845.45219637731191</v>
      </c>
      <c r="H63" s="2">
        <f t="shared" ca="1" si="1"/>
        <v>0.44009840359366925</v>
      </c>
      <c r="I63" s="2">
        <f t="shared" ca="1" si="2"/>
        <v>20</v>
      </c>
    </row>
    <row r="64" spans="2:10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865.89229478090556</v>
      </c>
      <c r="F64" s="2">
        <f t="shared" ca="1" si="5"/>
        <v>0</v>
      </c>
      <c r="G64" s="2">
        <f t="shared" ca="1" si="6"/>
        <v>865.89229478090556</v>
      </c>
      <c r="H64" s="2">
        <f t="shared" ca="1" si="1"/>
        <v>0.45073845481745767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866.34303323572306</v>
      </c>
      <c r="F65" s="2">
        <f t="shared" ca="1" si="5"/>
        <v>0</v>
      </c>
      <c r="G65" s="2">
        <f t="shared" ca="1" si="6"/>
        <v>866.34303323572306</v>
      </c>
      <c r="H65" s="2">
        <f t="shared" ca="1" si="1"/>
        <v>0.45097308579393802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866.79400632151703</v>
      </c>
      <c r="F66" s="2">
        <f t="shared" ca="1" si="5"/>
        <v>0</v>
      </c>
      <c r="G66" s="2">
        <f t="shared" ca="1" si="6"/>
        <v>866.79400632151703</v>
      </c>
      <c r="H66" s="2">
        <f t="shared" ca="1" si="1"/>
        <v>0.45120783890709104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867.2452141604241</v>
      </c>
      <c r="F67" s="2">
        <f t="shared" ca="1" si="5"/>
        <v>81.942397006054648</v>
      </c>
      <c r="G67" s="2">
        <f t="shared" ca="1" si="6"/>
        <v>785.30281715436945</v>
      </c>
      <c r="H67" s="2">
        <f t="shared" ca="1" si="1"/>
        <v>0.40878776783378135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785.71160492220326</v>
      </c>
      <c r="F68" s="2">
        <f t="shared" ca="1" si="5"/>
        <v>0</v>
      </c>
      <c r="G68" s="2">
        <f t="shared" ca="1" si="6"/>
        <v>785.71160492220326</v>
      </c>
      <c r="H68" s="2">
        <f t="shared" ca="1" si="1"/>
        <v>0.40900056146635239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786.12060548366958</v>
      </c>
      <c r="F69" s="2">
        <f t="shared" ca="1" si="5"/>
        <v>0</v>
      </c>
      <c r="G69" s="2">
        <f t="shared" ca="1" si="6"/>
        <v>786.12060548366958</v>
      </c>
      <c r="H69" s="2">
        <f t="shared" ca="1" si="1"/>
        <v>0.40921346586821156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786.5298189495378</v>
      </c>
      <c r="F70" s="2">
        <f t="shared" ca="1" si="5"/>
        <v>0</v>
      </c>
      <c r="G70" s="2">
        <f t="shared" ca="1" si="6"/>
        <v>786.5298189495378</v>
      </c>
      <c r="H70" s="2">
        <f t="shared" ca="1" si="1"/>
        <v>0.40942648109701968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806.93924543063486</v>
      </c>
      <c r="F71" s="2">
        <f t="shared" ca="1" si="5"/>
        <v>0</v>
      </c>
      <c r="G71" s="2">
        <f t="shared" ca="1" si="6"/>
        <v>806.93924543063486</v>
      </c>
      <c r="H71" s="2">
        <f t="shared" ca="1" si="1"/>
        <v>0.42005056611457703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807.35929599674944</v>
      </c>
      <c r="F72" s="2">
        <f t="shared" ca="1" si="5"/>
        <v>0</v>
      </c>
      <c r="G72" s="2">
        <f t="shared" ca="1" si="6"/>
        <v>807.35929599674944</v>
      </c>
      <c r="H72" s="2">
        <f t="shared" ca="1" si="1"/>
        <v>0.4202692225736504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807.7795652193231</v>
      </c>
      <c r="F73" s="2">
        <f t="shared" ca="1" si="5"/>
        <v>0</v>
      </c>
      <c r="G73" s="2">
        <f t="shared" ca="1" si="6"/>
        <v>807.7795652193231</v>
      </c>
      <c r="H73" s="2">
        <f t="shared" ca="1" si="1"/>
        <v>0.42048799285389421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808.20005321217695</v>
      </c>
      <c r="F74" s="2">
        <f t="shared" ca="1" si="5"/>
        <v>81.942397006054648</v>
      </c>
      <c r="G74" s="2">
        <f t="shared" ca="1" si="6"/>
        <v>726.25765620612231</v>
      </c>
      <c r="H74" s="2">
        <f t="shared" ca="1" si="1"/>
        <v>0.37805193062784448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726.63570813675017</v>
      </c>
      <c r="F75" s="2">
        <f t="shared" ca="1" si="5"/>
        <v>0</v>
      </c>
      <c r="G75" s="2">
        <f t="shared" ca="1" si="6"/>
        <v>726.63570813675017</v>
      </c>
      <c r="H75" s="2">
        <f t="shared" ca="1" si="1"/>
        <v>0.37824872478351379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727.01395686153364</v>
      </c>
      <c r="F76" s="2">
        <f t="shared" ca="1" si="5"/>
        <v>0</v>
      </c>
      <c r="G76" s="2">
        <f t="shared" ca="1" si="6"/>
        <v>727.01395686153364</v>
      </c>
      <c r="H76" s="2">
        <f t="shared" ref="H76:H139" ca="1" si="11">IF(C76&gt;$C$7,0,(G76)*$C$5/365)</f>
        <v>0.37844562137997645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727.39240248291367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727.39240248291367</v>
      </c>
      <c r="H77" s="2">
        <f t="shared" ca="1" si="11"/>
        <v>0.3786426204705578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747.77104510338427</v>
      </c>
      <c r="F78" s="2">
        <f t="shared" ca="1" si="15"/>
        <v>0</v>
      </c>
      <c r="G78" s="2">
        <f t="shared" ca="1" si="16"/>
        <v>747.77104510338427</v>
      </c>
      <c r="H78" s="2">
        <f t="shared" ca="1" si="11"/>
        <v>0.38925068101272059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748.16029578439702</v>
      </c>
      <c r="F79" s="2">
        <f t="shared" ca="1" si="15"/>
        <v>0</v>
      </c>
      <c r="G79" s="2">
        <f t="shared" ca="1" si="16"/>
        <v>748.16029578439702</v>
      </c>
      <c r="H79" s="2">
        <f t="shared" ca="1" si="11"/>
        <v>0.38945330465489159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748.54974908905194</v>
      </c>
      <c r="F80" s="2">
        <f t="shared" ca="1" si="15"/>
        <v>0</v>
      </c>
      <c r="G80" s="2">
        <f t="shared" ca="1" si="16"/>
        <v>748.54974908905194</v>
      </c>
      <c r="H80" s="2">
        <f t="shared" ca="1" si="11"/>
        <v>0.38965603377238323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748.93940512282438</v>
      </c>
      <c r="F81" s="2">
        <f t="shared" ca="1" si="15"/>
        <v>81.942397006054648</v>
      </c>
      <c r="G81" s="2">
        <f t="shared" ca="1" si="16"/>
        <v>666.99700811676973</v>
      </c>
      <c r="H81" s="2">
        <f t="shared" ca="1" si="11"/>
        <v>0.34720392203338696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667.34421203880311</v>
      </c>
      <c r="F82" s="2">
        <f t="shared" ca="1" si="15"/>
        <v>0</v>
      </c>
      <c r="G82" s="2">
        <f t="shared" ca="1" si="16"/>
        <v>667.34421203880311</v>
      </c>
      <c r="H82" s="2">
        <f t="shared" ca="1" si="11"/>
        <v>0.34738465832156873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667.69159669712462</v>
      </c>
      <c r="F83" s="2">
        <f t="shared" ca="1" si="15"/>
        <v>0</v>
      </c>
      <c r="G83" s="2">
        <f t="shared" ca="1" si="16"/>
        <v>667.69159669712462</v>
      </c>
      <c r="H83" s="2">
        <f t="shared" ca="1" si="11"/>
        <v>0.34756548869165393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668.03916218581628</v>
      </c>
      <c r="F84" s="2">
        <f t="shared" ca="1" si="15"/>
        <v>0</v>
      </c>
      <c r="G84" s="2">
        <f t="shared" ca="1" si="16"/>
        <v>668.03916218581628</v>
      </c>
      <c r="H84" s="2">
        <f t="shared" ca="1" si="11"/>
        <v>0.34774641319261668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688.38690859900885</v>
      </c>
      <c r="F85" s="2">
        <f t="shared" ca="1" si="15"/>
        <v>0</v>
      </c>
      <c r="G85" s="2">
        <f t="shared" ca="1" si="16"/>
        <v>688.38690859900885</v>
      </c>
      <c r="H85" s="2">
        <f t="shared" ca="1" si="11"/>
        <v>0.35833839077756624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688.74524698978644</v>
      </c>
      <c r="F86" s="2">
        <f t="shared" ca="1" si="15"/>
        <v>0</v>
      </c>
      <c r="G86" s="2">
        <f t="shared" ca="1" si="16"/>
        <v>688.74524698978644</v>
      </c>
      <c r="H86" s="2">
        <f t="shared" ca="1" si="11"/>
        <v>0.35852492309057371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689.10377191287705</v>
      </c>
      <c r="F87" s="2">
        <f t="shared" ca="1" si="15"/>
        <v>0</v>
      </c>
      <c r="G87" s="2">
        <f t="shared" ca="1" si="16"/>
        <v>689.10377191287705</v>
      </c>
      <c r="H87" s="2">
        <f t="shared" ca="1" si="11"/>
        <v>0.35871155250259351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689.46248346537959</v>
      </c>
      <c r="F88" s="2">
        <f t="shared" ca="1" si="15"/>
        <v>81.942397006054648</v>
      </c>
      <c r="G88" s="2">
        <f t="shared" ca="1" si="16"/>
        <v>607.52008645932494</v>
      </c>
      <c r="H88" s="2">
        <f t="shared" ca="1" si="11"/>
        <v>0.3162433326774568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607.8363297920024</v>
      </c>
      <c r="F89" s="2">
        <f t="shared" ca="1" si="15"/>
        <v>0</v>
      </c>
      <c r="G89" s="2">
        <f t="shared" ca="1" si="16"/>
        <v>607.8363297920024</v>
      </c>
      <c r="H89" s="2">
        <f t="shared" ca="1" si="11"/>
        <v>0.31640795249446702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608.1527377444969</v>
      </c>
      <c r="F90" s="2">
        <f t="shared" ca="1" si="15"/>
        <v>0</v>
      </c>
      <c r="G90" s="2">
        <f t="shared" ca="1" si="16"/>
        <v>608.1527377444969</v>
      </c>
      <c r="H90" s="2">
        <f t="shared" ca="1" si="11"/>
        <v>0.31657265800398471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608.46931040250092</v>
      </c>
      <c r="F91" s="2">
        <f t="shared" ca="1" si="15"/>
        <v>0</v>
      </c>
      <c r="G91" s="2">
        <f t="shared" ca="1" si="16"/>
        <v>608.46931040250092</v>
      </c>
      <c r="H91" s="2">
        <f t="shared" ca="1" si="11"/>
        <v>0.31673744925061692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628.7860478517515</v>
      </c>
      <c r="F92" s="2">
        <f t="shared" ca="1" si="15"/>
        <v>0</v>
      </c>
      <c r="G92" s="2">
        <f t="shared" ca="1" si="16"/>
        <v>628.7860478517515</v>
      </c>
      <c r="H92" s="2">
        <f t="shared" ca="1" si="11"/>
        <v>0.32731328518310349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629.1133611369346</v>
      </c>
      <c r="F93" s="2">
        <f t="shared" ca="1" si="15"/>
        <v>0</v>
      </c>
      <c r="G93" s="2">
        <f t="shared" ca="1" si="16"/>
        <v>629.1133611369346</v>
      </c>
      <c r="H93" s="2">
        <f t="shared" ca="1" si="11"/>
        <v>0.32748366744114404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629.44084480437573</v>
      </c>
      <c r="F94" s="2">
        <f t="shared" ca="1" si="15"/>
        <v>0</v>
      </c>
      <c r="G94" s="2">
        <f t="shared" ca="1" si="16"/>
        <v>629.44084480437573</v>
      </c>
      <c r="H94" s="2">
        <f t="shared" ca="1" si="11"/>
        <v>0.32765413839131891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629.768498942767</v>
      </c>
      <c r="F95" s="2">
        <f t="shared" ca="1" si="15"/>
        <v>81.942397006054648</v>
      </c>
      <c r="G95" s="2">
        <f t="shared" ca="1" si="16"/>
        <v>547.82610193671235</v>
      </c>
      <c r="H95" s="2">
        <f t="shared" ca="1" si="11"/>
        <v>0.28516975169308317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548.1112716884054</v>
      </c>
      <c r="F96" s="2">
        <f t="shared" ca="1" si="15"/>
        <v>0</v>
      </c>
      <c r="G96" s="2">
        <f t="shared" ca="1" si="16"/>
        <v>548.1112716884054</v>
      </c>
      <c r="H96" s="2">
        <f t="shared" ca="1" si="11"/>
        <v>0.28531819622136173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548.39658988462679</v>
      </c>
      <c r="F97" s="2">
        <f t="shared" ca="1" si="15"/>
        <v>0</v>
      </c>
      <c r="G97" s="2">
        <f t="shared" ca="1" si="16"/>
        <v>548.39658988462679</v>
      </c>
      <c r="H97" s="2">
        <f t="shared" ca="1" si="11"/>
        <v>0.28546671802213452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548.68205660264891</v>
      </c>
      <c r="F98" s="2">
        <f t="shared" ca="1" si="15"/>
        <v>0</v>
      </c>
      <c r="G98" s="2">
        <f t="shared" ca="1" si="16"/>
        <v>548.68205660264891</v>
      </c>
      <c r="H98" s="2">
        <f t="shared" ca="1" si="11"/>
        <v>0.28561531713562543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568.96767191978449</v>
      </c>
      <c r="F99" s="2">
        <f t="shared" ca="1" si="15"/>
        <v>0</v>
      </c>
      <c r="G99" s="2">
        <f t="shared" ca="1" si="16"/>
        <v>568.96767191978449</v>
      </c>
      <c r="H99" s="2">
        <f t="shared" ca="1" si="11"/>
        <v>0.29617495250618919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569.26384687229063</v>
      </c>
      <c r="F100" s="2">
        <f t="shared" ca="1" si="15"/>
        <v>0</v>
      </c>
      <c r="G100" s="2">
        <f t="shared" ca="1" si="16"/>
        <v>569.26384687229063</v>
      </c>
      <c r="H100" s="2">
        <f t="shared" ca="1" si="11"/>
        <v>0.29632912576913756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569.56017599805978</v>
      </c>
      <c r="F101" s="2">
        <f t="shared" ca="1" si="15"/>
        <v>0</v>
      </c>
      <c r="G101" s="2">
        <f t="shared" ca="1" si="16"/>
        <v>569.56017599805978</v>
      </c>
      <c r="H101" s="2">
        <f t="shared" ca="1" si="11"/>
        <v>0.29648337928666124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569.85665937734643</v>
      </c>
      <c r="F102" s="2">
        <f t="shared" ca="1" si="15"/>
        <v>81.942397006054648</v>
      </c>
      <c r="G102" s="2">
        <f t="shared" ca="1" si="16"/>
        <v>487.91426237129178</v>
      </c>
      <c r="H102" s="2">
        <f t="shared" ca="1" si="11"/>
        <v>0.25398276671382314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ca="1" si="14"/>
        <v>488.1682451380056</v>
      </c>
      <c r="F103" s="2">
        <f t="shared" ca="1" si="15"/>
        <v>0</v>
      </c>
      <c r="G103" s="2">
        <f t="shared" ca="1" si="16"/>
        <v>488.1682451380056</v>
      </c>
      <c r="H103" s="2">
        <f t="shared" ca="1" si="11"/>
        <v>0.25411497692115359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ca="1" si="14"/>
        <v>488.42236011492673</v>
      </c>
      <c r="F104" s="2">
        <f t="shared" ca="1" si="15"/>
        <v>0</v>
      </c>
      <c r="G104" s="2">
        <f t="shared" ca="1" si="16"/>
        <v>488.42236011492673</v>
      </c>
      <c r="H104" s="2">
        <f t="shared" ca="1" si="11"/>
        <v>0.25424725595023584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ca="1" si="14"/>
        <v>488.67660737087698</v>
      </c>
      <c r="F105" s="2">
        <f t="shared" ca="1" si="15"/>
        <v>0</v>
      </c>
      <c r="G105" s="2">
        <f t="shared" ca="1" si="16"/>
        <v>488.67660737087698</v>
      </c>
      <c r="H105" s="2">
        <f t="shared" ca="1" si="11"/>
        <v>0.25437960383689484</v>
      </c>
      <c r="I105" s="2">
        <f t="shared" ca="1" si="12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ca="1" si="14"/>
        <v>508.93098697471385</v>
      </c>
      <c r="F106" s="2">
        <f t="shared" ca="1" si="15"/>
        <v>0</v>
      </c>
      <c r="G106" s="2">
        <f t="shared" ca="1" si="16"/>
        <v>508.93098697471385</v>
      </c>
      <c r="H106" s="2">
        <f t="shared" ca="1" si="11"/>
        <v>0.26492297952108396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ca="1" si="14"/>
        <v>509.19590995423493</v>
      </c>
      <c r="F107" s="2">
        <f t="shared" ca="1" si="15"/>
        <v>0</v>
      </c>
      <c r="G107" s="2">
        <f t="shared" ca="1" si="16"/>
        <v>509.19590995423493</v>
      </c>
      <c r="H107" s="2">
        <f t="shared" ca="1" si="11"/>
        <v>0.26506088463371136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ca="1" si="14"/>
        <v>509.46097083886866</v>
      </c>
      <c r="F108" s="2">
        <f t="shared" ca="1" si="15"/>
        <v>0</v>
      </c>
      <c r="G108" s="2">
        <f t="shared" ca="1" si="16"/>
        <v>509.46097083886866</v>
      </c>
      <c r="H108" s="2">
        <f t="shared" ca="1" si="11"/>
        <v>0.26519886153256178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ca="1" si="14"/>
        <v>509.72616970040121</v>
      </c>
      <c r="F109" s="2">
        <f t="shared" ca="1" si="15"/>
        <v>81.942397006054648</v>
      </c>
      <c r="G109" s="2">
        <f t="shared" ca="1" si="16"/>
        <v>427.78377269434657</v>
      </c>
      <c r="H109" s="2">
        <f t="shared" ca="1" si="11"/>
        <v>0.22268196386829001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ca="1" si="14"/>
        <v>428.00645465821486</v>
      </c>
      <c r="F110" s="2">
        <f t="shared" ca="1" si="15"/>
        <v>0</v>
      </c>
      <c r="G110" s="2">
        <f t="shared" ca="1" si="16"/>
        <v>428.00645465821486</v>
      </c>
      <c r="H110" s="2">
        <f t="shared" ca="1" si="11"/>
        <v>0.22279788050701596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ca="1" si="14"/>
        <v>428.22925253872188</v>
      </c>
      <c r="F111" s="2">
        <f t="shared" ca="1" si="15"/>
        <v>0</v>
      </c>
      <c r="G111" s="2">
        <f t="shared" ca="1" si="16"/>
        <v>428.22925253872188</v>
      </c>
      <c r="H111" s="2">
        <f t="shared" ca="1" si="11"/>
        <v>0.22291385748591003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ca="1" si="14"/>
        <v>428.45216639620782</v>
      </c>
      <c r="F112" s="2">
        <f t="shared" ca="1" si="15"/>
        <v>0</v>
      </c>
      <c r="G112" s="2">
        <f t="shared" ca="1" si="16"/>
        <v>428.45216639620782</v>
      </c>
      <c r="H112" s="2">
        <f t="shared" ca="1" si="11"/>
        <v>0.22302989483638216</v>
      </c>
      <c r="I112" s="2">
        <f t="shared" ca="1" si="12"/>
        <v>20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ca="1" si="14"/>
        <v>448.67519629104419</v>
      </c>
      <c r="F113" s="2">
        <f t="shared" ca="1" si="15"/>
        <v>0</v>
      </c>
      <c r="G113" s="2">
        <f t="shared" ca="1" si="16"/>
        <v>448.67519629104419</v>
      </c>
      <c r="H113" s="2">
        <f t="shared" ca="1" si="11"/>
        <v>0.23355695149396821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ca="1" si="14"/>
        <v>448.90875324253818</v>
      </c>
      <c r="F114" s="2">
        <f t="shared" ca="1" si="15"/>
        <v>0</v>
      </c>
      <c r="G114" s="2">
        <f t="shared" ca="1" si="16"/>
        <v>448.90875324253818</v>
      </c>
      <c r="H114" s="2">
        <f t="shared" ca="1" si="11"/>
        <v>0.23367852908515685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ca="1" si="14"/>
        <v>449.14243177162336</v>
      </c>
      <c r="F115" s="2">
        <f t="shared" ca="1" si="15"/>
        <v>0</v>
      </c>
      <c r="G115" s="2">
        <f t="shared" ca="1" si="16"/>
        <v>449.14243177162336</v>
      </c>
      <c r="H115" s="2">
        <f t="shared" ca="1" si="11"/>
        <v>0.23380016996331079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ca="1" si="14"/>
        <v>449.3762319415867</v>
      </c>
      <c r="F116" s="2">
        <f t="shared" ca="1" si="15"/>
        <v>81.942397006054648</v>
      </c>
      <c r="G116" s="2">
        <f t="shared" ca="1" si="16"/>
        <v>367.43383493553205</v>
      </c>
      <c r="H116" s="2">
        <f t="shared" ca="1" si="11"/>
        <v>0.19126692777466051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ca="1" si="14"/>
        <v>367.62510186330672</v>
      </c>
      <c r="F117" s="2">
        <f t="shared" ca="1" si="15"/>
        <v>0</v>
      </c>
      <c r="G117" s="2">
        <f t="shared" ca="1" si="16"/>
        <v>367.62510186330672</v>
      </c>
      <c r="H117" s="2">
        <f t="shared" ca="1" si="11"/>
        <v>0.1913664913808994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ca="1" si="14"/>
        <v>367.81646835468763</v>
      </c>
      <c r="F118" s="2">
        <f t="shared" ca="1" si="15"/>
        <v>0</v>
      </c>
      <c r="G118" s="2">
        <f t="shared" ca="1" si="16"/>
        <v>367.81646835468763</v>
      </c>
      <c r="H118" s="2">
        <f t="shared" ca="1" si="11"/>
        <v>0.19146610681476889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ca="1" si="14"/>
        <v>368.00793446150237</v>
      </c>
      <c r="F119" s="2">
        <f t="shared" ca="1" si="15"/>
        <v>0</v>
      </c>
      <c r="G119" s="2">
        <f t="shared" ca="1" si="16"/>
        <v>368.00793446150237</v>
      </c>
      <c r="H119" s="2">
        <f t="shared" ca="1" si="11"/>
        <v>0.19156577410324782</v>
      </c>
      <c r="I119" s="2">
        <f t="shared" ca="1" si="12"/>
        <v>20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ca="1" si="14"/>
        <v>388.19950023560563</v>
      </c>
      <c r="F120" s="2">
        <f t="shared" ca="1" si="15"/>
        <v>0</v>
      </c>
      <c r="G120" s="2">
        <f t="shared" ca="1" si="16"/>
        <v>388.19950023560563</v>
      </c>
      <c r="H120" s="2">
        <f t="shared" ca="1" si="11"/>
        <v>0.20207645217743855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ca="1" si="14"/>
        <v>388.40157668778306</v>
      </c>
      <c r="F121" s="2">
        <f t="shared" ca="1" si="15"/>
        <v>0</v>
      </c>
      <c r="G121" s="2">
        <f t="shared" ca="1" si="16"/>
        <v>388.40157668778306</v>
      </c>
      <c r="H121" s="2">
        <f t="shared" ca="1" si="11"/>
        <v>0.20218164265939392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ca="1" si="14"/>
        <v>388.60375833044247</v>
      </c>
      <c r="F122" s="2">
        <f t="shared" ca="1" si="15"/>
        <v>0</v>
      </c>
      <c r="G122" s="2">
        <f t="shared" ca="1" si="16"/>
        <v>388.60375833044247</v>
      </c>
      <c r="H122" s="2">
        <f t="shared" ca="1" si="11"/>
        <v>0.20228688789803856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ca="1" si="14"/>
        <v>388.8060452183405</v>
      </c>
      <c r="F123" s="2">
        <f t="shared" ca="1" si="15"/>
        <v>81.942397006054648</v>
      </c>
      <c r="G123" s="2">
        <f t="shared" ca="1" si="16"/>
        <v>306.86364821228585</v>
      </c>
      <c r="H123" s="2">
        <f t="shared" ca="1" si="11"/>
        <v>0.1597372415351625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ca="1" si="14"/>
        <v>307.02338545382099</v>
      </c>
      <c r="F124" s="2">
        <f t="shared" ca="1" si="15"/>
        <v>0</v>
      </c>
      <c r="G124" s="2">
        <f t="shared" ca="1" si="16"/>
        <v>307.02338545382099</v>
      </c>
      <c r="H124" s="2">
        <f t="shared" ca="1" si="11"/>
        <v>0.15982039242801641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ca="1" si="14"/>
        <v>307.183205846249</v>
      </c>
      <c r="F125" s="2">
        <f t="shared" ca="1" si="15"/>
        <v>0</v>
      </c>
      <c r="G125" s="2">
        <f t="shared" ca="1" si="16"/>
        <v>307.183205846249</v>
      </c>
      <c r="H125" s="2">
        <f t="shared" ca="1" si="11"/>
        <v>0.15990358660489676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ca="1" si="14"/>
        <v>307.34310943285391</v>
      </c>
      <c r="F126" s="2">
        <f t="shared" ca="1" si="15"/>
        <v>0</v>
      </c>
      <c r="G126" s="2">
        <f t="shared" ca="1" si="16"/>
        <v>307.34310943285391</v>
      </c>
      <c r="H126" s="2">
        <f t="shared" ca="1" si="11"/>
        <v>0.15998682408833492</v>
      </c>
      <c r="I126" s="2">
        <f t="shared" ca="1" si="12"/>
        <v>20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ca="1" si="14"/>
        <v>327.50309625694223</v>
      </c>
      <c r="F127" s="2">
        <f t="shared" ca="1" si="15"/>
        <v>0</v>
      </c>
      <c r="G127" s="2">
        <f t="shared" ca="1" si="16"/>
        <v>327.50309625694223</v>
      </c>
      <c r="H127" s="2">
        <f t="shared" ca="1" si="11"/>
        <v>0.17048106380498362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ca="1" si="14"/>
        <v>327.6735773207472</v>
      </c>
      <c r="F128" s="2">
        <f t="shared" ca="1" si="15"/>
        <v>0</v>
      </c>
      <c r="G128" s="2">
        <f t="shared" ca="1" si="16"/>
        <v>327.6735773207472</v>
      </c>
      <c r="H128" s="2">
        <f t="shared" ca="1" si="11"/>
        <v>0.17056980737244373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ca="1" si="14"/>
        <v>327.84414712811963</v>
      </c>
      <c r="F129" s="2">
        <f t="shared" ca="1" si="15"/>
        <v>0</v>
      </c>
      <c r="G129" s="2">
        <f t="shared" ca="1" si="16"/>
        <v>327.84414712811963</v>
      </c>
      <c r="H129" s="2">
        <f t="shared" ca="1" si="11"/>
        <v>0.17065859713518558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ca="1" si="14"/>
        <v>328.0148057252548</v>
      </c>
      <c r="F130" s="2">
        <f t="shared" ca="1" si="15"/>
        <v>81.942397006054648</v>
      </c>
      <c r="G130" s="2">
        <f t="shared" ca="1" si="16"/>
        <v>246.07240871920015</v>
      </c>
      <c r="H130" s="2">
        <f t="shared" ca="1" si="11"/>
        <v>0.12809248673054255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ca="1" si="14"/>
        <v>246.20050120593069</v>
      </c>
      <c r="F131" s="2">
        <f t="shared" ca="1" si="15"/>
        <v>0</v>
      </c>
      <c r="G131" s="2">
        <f t="shared" ca="1" si="16"/>
        <v>246.20050120593069</v>
      </c>
      <c r="H131" s="2">
        <f t="shared" ca="1" si="11"/>
        <v>0.12815916501130639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ca="1" si="14"/>
        <v>246.328660370942</v>
      </c>
      <c r="F132" s="2">
        <f t="shared" ca="1" si="15"/>
        <v>0</v>
      </c>
      <c r="G132" s="2">
        <f t="shared" ca="1" si="16"/>
        <v>246.328660370942</v>
      </c>
      <c r="H132" s="2">
        <f t="shared" ca="1" si="11"/>
        <v>0.12822587800131227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ca="1" si="14"/>
        <v>246.45688624894331</v>
      </c>
      <c r="F133" s="2">
        <f t="shared" ca="1" si="15"/>
        <v>0</v>
      </c>
      <c r="G133" s="2">
        <f t="shared" ca="1" si="16"/>
        <v>246.45688624894331</v>
      </c>
      <c r="H133" s="2">
        <f t="shared" ca="1" si="11"/>
        <v>0.12829262571862804</v>
      </c>
      <c r="I133" s="2">
        <f t="shared" ca="1" si="12"/>
        <v>20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ca="1" si="14"/>
        <v>266.58517887466189</v>
      </c>
      <c r="F134" s="2">
        <f t="shared" ca="1" si="15"/>
        <v>0</v>
      </c>
      <c r="G134" s="2">
        <f t="shared" ca="1" si="16"/>
        <v>266.58517887466189</v>
      </c>
      <c r="H134" s="2">
        <f t="shared" ca="1" si="11"/>
        <v>0.13877036708544044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ca="1" si="14"/>
        <v>266.72394924174733</v>
      </c>
      <c r="F135" s="2">
        <f t="shared" ca="1" si="15"/>
        <v>0</v>
      </c>
      <c r="G135" s="2">
        <f t="shared" ca="1" si="16"/>
        <v>266.72394924174733</v>
      </c>
      <c r="H135" s="2">
        <f t="shared" ca="1" si="11"/>
        <v>0.13884260371488216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ca="1" si="14"/>
        <v>266.8627918454622</v>
      </c>
      <c r="F136" s="2">
        <f t="shared" ca="1" si="15"/>
        <v>0</v>
      </c>
      <c r="G136" s="2">
        <f t="shared" ca="1" si="16"/>
        <v>266.8627918454622</v>
      </c>
      <c r="H136" s="2">
        <f t="shared" ca="1" si="11"/>
        <v>0.13891487794695292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ca="1" si="14"/>
        <v>267.00170672340914</v>
      </c>
      <c r="F137" s="2">
        <f t="shared" ca="1" si="15"/>
        <v>81.942397006054648</v>
      </c>
      <c r="G137" s="2">
        <f t="shared" ca="1" si="16"/>
        <v>185.05930971735449</v>
      </c>
      <c r="H137" s="2">
        <f t="shared" ca="1" si="11"/>
        <v>9.6332243414513297E-2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ca="1" si="14"/>
        <v>185.155641960769</v>
      </c>
      <c r="F138" s="2">
        <f t="shared" ca="1" si="15"/>
        <v>0</v>
      </c>
      <c r="G138" s="2">
        <f t="shared" ca="1" si="16"/>
        <v>185.155641960769</v>
      </c>
      <c r="H138" s="2">
        <f t="shared" ca="1" si="11"/>
        <v>9.6382388965879764E-2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ca="1" si="14"/>
        <v>185.25202434973488</v>
      </c>
      <c r="F139" s="2">
        <f t="shared" ca="1" si="15"/>
        <v>0</v>
      </c>
      <c r="G139" s="2">
        <f t="shared" ca="1" si="16"/>
        <v>185.25202434973488</v>
      </c>
      <c r="H139" s="2">
        <f t="shared" ca="1" si="11"/>
        <v>9.6432560620409946E-2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ca="1" si="14"/>
        <v>185.34845691035528</v>
      </c>
      <c r="F140" s="2">
        <f t="shared" ca="1" si="15"/>
        <v>0</v>
      </c>
      <c r="G140" s="2">
        <f t="shared" ca="1" si="16"/>
        <v>185.34845691035528</v>
      </c>
      <c r="H140" s="2">
        <f t="shared" ref="H140:H203" ca="1" si="21">IF(C140&gt;$C$7,0,(G140)*$C$5/365)</f>
        <v>9.6482758391691792E-2</v>
      </c>
      <c r="I140" s="2">
        <f t="shared" ref="I140:I203" ca="1" si="22">IF(AND(C140=0,D140=7),$C$6,IF(C140=$C$7,0,IF(C140&lt;$C$7,IF(D140=7,$C$6,0),0)))</f>
        <v>20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ca="1" si="24">IF(C141&gt;$C$7,0,G140+H140+I140)</f>
        <v>205.44493966874697</v>
      </c>
      <c r="F141" s="2">
        <f t="shared" ref="F141:F204" ca="1" si="25">IF(C141&gt;$C$7,0,IF(ROUND(E141,0)&gt;0,IF(C141=0,0,IF(MOD(C141,$C$3)&gt;0,0,$C$8)),0))</f>
        <v>0</v>
      </c>
      <c r="G141" s="2">
        <f t="shared" ref="G141:G204" ca="1" si="26">IF(C141&gt;$C$7,G140,E141-F141)</f>
        <v>205.44493966874697</v>
      </c>
      <c r="H141" s="2">
        <f t="shared" ca="1" si="21"/>
        <v>0.10694394119742993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ca="1" si="24"/>
        <v>205.55188360994441</v>
      </c>
      <c r="F142" s="2">
        <f t="shared" ca="1" si="25"/>
        <v>0</v>
      </c>
      <c r="G142" s="2">
        <f t="shared" ca="1" si="26"/>
        <v>205.55188360994441</v>
      </c>
      <c r="H142" s="2">
        <f t="shared" ca="1" si="21"/>
        <v>0.10699961064627243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ca="1" si="24"/>
        <v>205.6588832205907</v>
      </c>
      <c r="F143" s="2">
        <f t="shared" ca="1" si="25"/>
        <v>0</v>
      </c>
      <c r="G143" s="2">
        <f t="shared" ca="1" si="26"/>
        <v>205.6588832205907</v>
      </c>
      <c r="H143" s="2">
        <f t="shared" ca="1" si="21"/>
        <v>0.10705530907373213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ca="1" si="24"/>
        <v>205.76593852966442</v>
      </c>
      <c r="F144" s="2">
        <f t="shared" ca="1" si="25"/>
        <v>81.942397006054648</v>
      </c>
      <c r="G144" s="2">
        <f t="shared" ca="1" si="26"/>
        <v>123.82354152360978</v>
      </c>
      <c r="H144" s="2">
        <f t="shared" ca="1" si="21"/>
        <v>6.445609010818043E-2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ca="1" si="24"/>
        <v>123.88799761371796</v>
      </c>
      <c r="F145" s="2">
        <f t="shared" ca="1" si="25"/>
        <v>0</v>
      </c>
      <c r="G145" s="2">
        <f t="shared" ca="1" si="26"/>
        <v>123.88799761371796</v>
      </c>
      <c r="H145" s="2">
        <f t="shared" ca="1" si="21"/>
        <v>6.4489642593442226E-2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ca="1" si="24"/>
        <v>123.9524872563114</v>
      </c>
      <c r="F146" s="2">
        <f t="shared" ca="1" si="25"/>
        <v>0</v>
      </c>
      <c r="G146" s="2">
        <f t="shared" ca="1" si="26"/>
        <v>123.9524872563114</v>
      </c>
      <c r="H146" s="2">
        <f t="shared" ca="1" si="21"/>
        <v>6.4523212544381273E-2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ca="1" si="24"/>
        <v>124.01701046885579</v>
      </c>
      <c r="F147" s="2">
        <f t="shared" ca="1" si="25"/>
        <v>0</v>
      </c>
      <c r="G147" s="2">
        <f t="shared" ca="1" si="26"/>
        <v>124.01701046885579</v>
      </c>
      <c r="H147" s="2">
        <f t="shared" ca="1" si="21"/>
        <v>6.4556799970089312E-2</v>
      </c>
      <c r="I147" s="2">
        <f t="shared" ca="1" si="22"/>
        <v>20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ca="1" si="24"/>
        <v>144.08156726882589</v>
      </c>
      <c r="F148" s="2">
        <f t="shared" ca="1" si="25"/>
        <v>0</v>
      </c>
      <c r="G148" s="2">
        <f t="shared" ca="1" si="26"/>
        <v>144.08156726882589</v>
      </c>
      <c r="H148" s="2">
        <f t="shared" ca="1" si="21"/>
        <v>7.5001363783772382E-2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ca="1" si="24"/>
        <v>144.15656863260966</v>
      </c>
      <c r="F149" s="2">
        <f t="shared" ca="1" si="25"/>
        <v>0</v>
      </c>
      <c r="G149" s="2">
        <f t="shared" ca="1" si="26"/>
        <v>144.15656863260966</v>
      </c>
      <c r="H149" s="2">
        <f t="shared" ca="1" si="21"/>
        <v>7.5040405589577641E-2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ca="1" si="24"/>
        <v>144.23160903819925</v>
      </c>
      <c r="F150" s="2">
        <f t="shared" ca="1" si="25"/>
        <v>0</v>
      </c>
      <c r="G150" s="2">
        <f t="shared" ca="1" si="26"/>
        <v>144.23160903819925</v>
      </c>
      <c r="H150" s="2">
        <f t="shared" ca="1" si="21"/>
        <v>7.5079467718514689E-2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ca="1" si="24"/>
        <v>144.30668850591778</v>
      </c>
      <c r="F151" s="2">
        <f t="shared" ca="1" si="25"/>
        <v>81.942397006054648</v>
      </c>
      <c r="G151" s="2">
        <f t="shared" ca="1" si="26"/>
        <v>62.364291499863128</v>
      </c>
      <c r="H151" s="2">
        <f t="shared" ca="1" si="21"/>
        <v>3.2463603794449299E-2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ca="1" si="24"/>
        <v>62.396755103657576</v>
      </c>
      <c r="F152" s="2">
        <f t="shared" ca="1" si="25"/>
        <v>0</v>
      </c>
      <c r="G152" s="2">
        <f t="shared" ca="1" si="26"/>
        <v>62.396755103657576</v>
      </c>
      <c r="H152" s="2">
        <f t="shared" ca="1" si="21"/>
        <v>3.2480502656698461E-2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ca="1" si="24"/>
        <v>62.429235606314272</v>
      </c>
      <c r="F153" s="2">
        <f t="shared" ca="1" si="25"/>
        <v>0</v>
      </c>
      <c r="G153" s="2">
        <f t="shared" ca="1" si="26"/>
        <v>62.429235606314272</v>
      </c>
      <c r="H153" s="2">
        <f t="shared" ca="1" si="21"/>
        <v>3.2497410315615649E-2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ca="1" si="24"/>
        <v>62.461733016629886</v>
      </c>
      <c r="F154" s="2">
        <f t="shared" ca="1" si="25"/>
        <v>0</v>
      </c>
      <c r="G154" s="2">
        <f t="shared" ca="1" si="26"/>
        <v>62.461733016629886</v>
      </c>
      <c r="H154" s="2">
        <f t="shared" ca="1" si="21"/>
        <v>3.2514326775779943E-2</v>
      </c>
      <c r="I154" s="2">
        <f t="shared" ca="1" si="22"/>
        <v>20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ca="1" si="24"/>
        <v>82.494247343405675</v>
      </c>
      <c r="F155" s="2">
        <f t="shared" ca="1" si="25"/>
        <v>0</v>
      </c>
      <c r="G155" s="2">
        <f t="shared" ca="1" si="26"/>
        <v>82.494247343405675</v>
      </c>
      <c r="H155" s="2">
        <f t="shared" ca="1" si="21"/>
        <v>4.2942210945882409E-2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ca="1" si="24"/>
        <v>82.537189554351556</v>
      </c>
      <c r="F156" s="2">
        <f t="shared" ca="1" si="25"/>
        <v>0</v>
      </c>
      <c r="G156" s="2">
        <f t="shared" ca="1" si="26"/>
        <v>82.537189554351556</v>
      </c>
      <c r="H156" s="2">
        <f t="shared" ca="1" si="21"/>
        <v>4.2964564425552867E-2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ca="1" si="24"/>
        <v>82.580154118777102</v>
      </c>
      <c r="F157" s="2">
        <f t="shared" ca="1" si="25"/>
        <v>0</v>
      </c>
      <c r="G157" s="2">
        <f t="shared" ca="1" si="26"/>
        <v>82.580154118777102</v>
      </c>
      <c r="H157" s="2">
        <f t="shared" ca="1" si="21"/>
        <v>4.2986929541281235E-2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ca="1" si="24"/>
        <v>82.623141048318388</v>
      </c>
      <c r="F158" s="2">
        <f t="shared" ca="1" si="25"/>
        <v>81.942397006054648</v>
      </c>
      <c r="G158" s="2">
        <f t="shared" ca="1" si="26"/>
        <v>0.68074404226373986</v>
      </c>
      <c r="H158" s="2">
        <f t="shared" ca="1" si="21"/>
        <v>3.5435991241126183E-4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si="24"/>
        <v>0</v>
      </c>
      <c r="F159" s="2">
        <f t="shared" si="25"/>
        <v>0</v>
      </c>
      <c r="G159" s="2">
        <f t="shared" ca="1" si="26"/>
        <v>0.68074404226373986</v>
      </c>
      <c r="H159" s="2">
        <f t="shared" si="21"/>
        <v>0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si="24"/>
        <v>0</v>
      </c>
      <c r="F160" s="2">
        <f t="shared" si="25"/>
        <v>0</v>
      </c>
      <c r="G160" s="2">
        <f t="shared" ca="1" si="26"/>
        <v>0.68074404226373986</v>
      </c>
      <c r="H160" s="2">
        <f t="shared" si="21"/>
        <v>0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si="24"/>
        <v>0</v>
      </c>
      <c r="F161" s="2">
        <f t="shared" si="25"/>
        <v>0</v>
      </c>
      <c r="G161" s="2">
        <f t="shared" ca="1" si="26"/>
        <v>0.68074404226373986</v>
      </c>
      <c r="H161" s="2">
        <f t="shared" si="21"/>
        <v>0</v>
      </c>
      <c r="I161" s="2">
        <f t="shared" ca="1" si="22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si="24"/>
        <v>0</v>
      </c>
      <c r="F162" s="2">
        <f t="shared" si="25"/>
        <v>0</v>
      </c>
      <c r="G162" s="2">
        <f t="shared" ca="1" si="26"/>
        <v>0.68074404226373986</v>
      </c>
      <c r="H162" s="2">
        <f t="shared" si="21"/>
        <v>0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si="24"/>
        <v>0</v>
      </c>
      <c r="F163" s="2">
        <f t="shared" si="25"/>
        <v>0</v>
      </c>
      <c r="G163" s="2">
        <f t="shared" ca="1" si="26"/>
        <v>0.68074404226373986</v>
      </c>
      <c r="H163" s="2">
        <f t="shared" si="21"/>
        <v>0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si="24"/>
        <v>0</v>
      </c>
      <c r="F164" s="2">
        <f t="shared" si="25"/>
        <v>0</v>
      </c>
      <c r="G164" s="2">
        <f t="shared" ca="1" si="26"/>
        <v>0.68074404226373986</v>
      </c>
      <c r="H164" s="2">
        <f t="shared" si="21"/>
        <v>0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si="24"/>
        <v>0</v>
      </c>
      <c r="F165" s="2">
        <f t="shared" si="25"/>
        <v>0</v>
      </c>
      <c r="G165" s="2">
        <f t="shared" ca="1" si="26"/>
        <v>0.68074404226373986</v>
      </c>
      <c r="H165" s="2">
        <f t="shared" si="21"/>
        <v>0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0.68074404226373986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0.68074404226373986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0.68074404226373986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0.68074404226373986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0.68074404226373986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0.68074404226373986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0.68074404226373986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0.68074404226373986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0.68074404226373986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0.68074404226373986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0.68074404226373986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0.68074404226373986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0.68074404226373986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0.68074404226373986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0.68074404226373986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0.68074404226373986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0.68074404226373986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0.68074404226373986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0.68074404226373986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0.68074404226373986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0.68074404226373986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0.68074404226373986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0.68074404226373986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0.68074404226373986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0.68074404226373986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0.68074404226373986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0.68074404226373986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0.68074404226373986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0.68074404226373986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0.68074404226373986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0.68074404226373986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0.68074404226373986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0.68074404226373986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0.68074404226373986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0.68074404226373986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0.68074404226373986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0.68074404226373986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0.68074404226373986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0.68074404226373986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0.68074404226373986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0.68074404226373986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0.68074404226373986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0.68074404226373986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0.68074404226373986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0.68074404226373986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0.68074404226373986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B11:I211">
    <cfRule type="expression" dxfId="53" priority="3">
      <formula>$C11=$C$7</formula>
    </cfRule>
    <cfRule type="expression" dxfId="52" priority="4">
      <formula>$C11&gt;$C$7</formula>
    </cfRule>
  </conditionalFormatting>
  <conditionalFormatting sqref="E7">
    <cfRule type="cellIs" dxfId="51" priority="1" operator="equal">
      <formula>"No RESET Required"</formula>
    </cfRule>
    <cfRule type="cellIs" dxfId="50" priority="2" operator="equal">
      <formula>"RESET"</formula>
    </cfRule>
  </conditionalFormatting>
  <hyperlinks>
    <hyperlink ref="H2:I4" location="Summary!A1" display="Return to Home" xr:uid="{F76261F4-64F4-4808-AA3E-812FE6C055A0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292100</xdr:colOff>
                    <xdr:row>5</xdr:row>
                    <xdr:rowOff>38100</xdr:rowOff>
                  </from>
                  <to>
                    <xdr:col>8</xdr:col>
                    <xdr:colOff>1638300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C2E62-7FA2-4C7E-BEA4-4FBF5CDADC5C}">
  <sheetPr codeName="Sheet12">
    <tabColor rgb="FF7030A0"/>
  </sheetPr>
  <dimension ref="B1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8.5" bestFit="1" customWidth="1"/>
    <col min="8" max="8" width="13" customWidth="1"/>
    <col min="9" max="9" width="25" bestFit="1" customWidth="1"/>
  </cols>
  <sheetData>
    <row r="1" spans="2:9" ht="16" thickBot="1" x14ac:dyDescent="0.25"/>
    <row r="2" spans="2:9" x14ac:dyDescent="0.2">
      <c r="B2" s="1" t="s">
        <v>0</v>
      </c>
      <c r="C2" s="13">
        <v>500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9" x14ac:dyDescent="0.2">
      <c r="B3" s="1" t="s">
        <v>2</v>
      </c>
      <c r="C3" s="11">
        <v>14</v>
      </c>
      <c r="E3" s="1" t="s">
        <v>3</v>
      </c>
      <c r="F3" s="15">
        <f ca="1">SUM(H11:H211)</f>
        <v>17.690799409621338</v>
      </c>
      <c r="H3" s="25"/>
      <c r="I3" s="26"/>
    </row>
    <row r="4" spans="2:9" ht="16" thickBot="1" x14ac:dyDescent="0.25">
      <c r="B4" s="1" t="s">
        <v>4</v>
      </c>
      <c r="C4" s="9">
        <f>C7/C3</f>
        <v>8</v>
      </c>
      <c r="E4" s="1" t="s">
        <v>5</v>
      </c>
      <c r="F4" s="15">
        <f ca="1">SUM(I11:I211)</f>
        <v>320</v>
      </c>
      <c r="H4" s="27"/>
      <c r="I4" s="28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837.1766244626059</v>
      </c>
    </row>
    <row r="6" spans="2:9" ht="16" thickBot="1" x14ac:dyDescent="0.25">
      <c r="B6" s="1" t="s">
        <v>8</v>
      </c>
      <c r="C6" s="13">
        <v>20</v>
      </c>
    </row>
    <row r="7" spans="2:9" ht="15" customHeight="1" x14ac:dyDescent="0.2">
      <c r="B7" s="1" t="s">
        <v>9</v>
      </c>
      <c r="C7" s="11">
        <v>112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104.64707805782572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500</v>
      </c>
      <c r="H11" s="2">
        <f ca="1">IF(C11&gt;$C$7,0,(G11)*$C$5/365)</f>
        <v>0.26027397260273971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500.26027397260276</v>
      </c>
      <c r="F12" s="2">
        <f ca="1">IF(C12&gt;$C$7,0,IF(ROUND(E12,0)&gt;0,IF(C12=0,0,IF(MOD(C12,$C$3)&gt;0,0,$C$8)),0))</f>
        <v>0</v>
      </c>
      <c r="G12" s="2">
        <f ca="1">IF(C12&gt;$C$7,G11,E12-F12)</f>
        <v>500.26027397260276</v>
      </c>
      <c r="H12" s="2">
        <f t="shared" ref="H12:H75" ca="1" si="1">IF(C12&gt;$C$7,0,(G12)*$C$5/365)</f>
        <v>0.26040945768436857</v>
      </c>
      <c r="I12" s="2">
        <f t="shared" ref="I12:I75" ca="1" si="2">IF(AND(C12=0,D12=7),$C$6,IF(C12=$C$7,0,IF(C12&lt;$C$7,IF(D12=7,$C$6,0),0)))</f>
        <v>0</v>
      </c>
    </row>
    <row r="13" spans="2:9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500.52068343028714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500.52068343028714</v>
      </c>
      <c r="H13" s="2">
        <f t="shared" ca="1" si="1"/>
        <v>0.26054501329247826</v>
      </c>
      <c r="I13" s="2">
        <f t="shared" ca="1" si="2"/>
        <v>0</v>
      </c>
    </row>
    <row r="14" spans="2:9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500.78122844357961</v>
      </c>
      <c r="F14" s="2">
        <f t="shared" ca="1" si="5"/>
        <v>0</v>
      </c>
      <c r="G14" s="2">
        <f t="shared" ca="1" si="6"/>
        <v>500.78122844357961</v>
      </c>
      <c r="H14" s="2">
        <f t="shared" ca="1" si="1"/>
        <v>0.26068063946378117</v>
      </c>
      <c r="I14" s="2">
        <f t="shared" ca="1" si="2"/>
        <v>20</v>
      </c>
    </row>
    <row r="15" spans="2:9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521.04190908304338</v>
      </c>
      <c r="F15" s="2">
        <f t="shared" ca="1" si="5"/>
        <v>0</v>
      </c>
      <c r="G15" s="2">
        <f t="shared" ca="1" si="6"/>
        <v>521.04190908304338</v>
      </c>
      <c r="H15" s="2">
        <f t="shared" ca="1" si="1"/>
        <v>0.27122729513911847</v>
      </c>
      <c r="I15" s="2">
        <f t="shared" ca="1" si="2"/>
        <v>0</v>
      </c>
    </row>
    <row r="16" spans="2:9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521.31313637818255</v>
      </c>
      <c r="F16" s="2">
        <f t="shared" ca="1" si="5"/>
        <v>0</v>
      </c>
      <c r="G16" s="2">
        <f t="shared" ca="1" si="6"/>
        <v>521.31313637818255</v>
      </c>
      <c r="H16" s="2">
        <f t="shared" ca="1" si="1"/>
        <v>0.27136848195028684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521.58450486013282</v>
      </c>
      <c r="F17" s="2">
        <f t="shared" ca="1" si="5"/>
        <v>0</v>
      </c>
      <c r="G17" s="2">
        <f t="shared" ca="1" si="6"/>
        <v>521.58450486013282</v>
      </c>
      <c r="H17" s="2">
        <f t="shared" ca="1" si="1"/>
        <v>0.27150974225595953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521.85601460238877</v>
      </c>
      <c r="F18" s="2">
        <f t="shared" ca="1" si="5"/>
        <v>0</v>
      </c>
      <c r="G18" s="2">
        <f t="shared" ca="1" si="6"/>
        <v>521.85601460238877</v>
      </c>
      <c r="H18" s="2">
        <f t="shared" ca="1" si="1"/>
        <v>0.27165107609439415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522.12766567848314</v>
      </c>
      <c r="F19" s="2">
        <f t="shared" ca="1" si="5"/>
        <v>0</v>
      </c>
      <c r="G19" s="2">
        <f t="shared" ca="1" si="6"/>
        <v>522.12766567848314</v>
      </c>
      <c r="H19" s="2">
        <f t="shared" ca="1" si="1"/>
        <v>0.27179248350386798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522.39945816198701</v>
      </c>
      <c r="F20" s="2">
        <f t="shared" ca="1" si="5"/>
        <v>0</v>
      </c>
      <c r="G20" s="2">
        <f t="shared" ca="1" si="6"/>
        <v>522.39945816198701</v>
      </c>
      <c r="H20" s="2">
        <f t="shared" ca="1" si="1"/>
        <v>0.27193396452267815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522.67139212650966</v>
      </c>
      <c r="F21" s="2">
        <f t="shared" ca="1" si="5"/>
        <v>0</v>
      </c>
      <c r="G21" s="2">
        <f t="shared" ca="1" si="6"/>
        <v>522.67139212650966</v>
      </c>
      <c r="H21" s="2">
        <f t="shared" ca="1" si="1"/>
        <v>0.27207551918914202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542.94346764569877</v>
      </c>
      <c r="F22" s="2">
        <f t="shared" ca="1" si="5"/>
        <v>0</v>
      </c>
      <c r="G22" s="2">
        <f t="shared" ca="1" si="6"/>
        <v>542.94346764569877</v>
      </c>
      <c r="H22" s="2">
        <f t="shared" ca="1" si="1"/>
        <v>0.28262810644570624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543.22609575214449</v>
      </c>
      <c r="F23" s="2">
        <f t="shared" ca="1" si="5"/>
        <v>0</v>
      </c>
      <c r="G23" s="2">
        <f t="shared" ca="1" si="6"/>
        <v>543.22609575214449</v>
      </c>
      <c r="H23" s="2">
        <f t="shared" ca="1" si="1"/>
        <v>0.28277522792577386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543.50887098007024</v>
      </c>
      <c r="F24" s="2">
        <f t="shared" ca="1" si="5"/>
        <v>0</v>
      </c>
      <c r="G24" s="2">
        <f t="shared" ca="1" si="6"/>
        <v>543.50887098007024</v>
      </c>
      <c r="H24" s="2">
        <f t="shared" ca="1" si="1"/>
        <v>0.28292242598962564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543.79179340605992</v>
      </c>
      <c r="F25" s="2">
        <f t="shared" ca="1" si="5"/>
        <v>104.64707805782572</v>
      </c>
      <c r="G25" s="2">
        <f t="shared" ca="1" si="6"/>
        <v>439.14471534823417</v>
      </c>
      <c r="H25" s="2">
        <f t="shared" ca="1" si="1"/>
        <v>0.22859587922236849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439.37331122745655</v>
      </c>
      <c r="F26" s="2">
        <f t="shared" ca="1" si="5"/>
        <v>0</v>
      </c>
      <c r="G26" s="2">
        <f t="shared" ca="1" si="6"/>
        <v>439.37331122745655</v>
      </c>
      <c r="H26" s="2">
        <f t="shared" ca="1" si="1"/>
        <v>0.22871487433758014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439.60202610179414</v>
      </c>
      <c r="F27" s="2">
        <f t="shared" ca="1" si="5"/>
        <v>0</v>
      </c>
      <c r="G27" s="2">
        <f t="shared" ca="1" si="6"/>
        <v>439.60202610179414</v>
      </c>
      <c r="H27" s="2">
        <f t="shared" ca="1" si="1"/>
        <v>0.22883393139545449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439.83086003318959</v>
      </c>
      <c r="F28" s="2">
        <f t="shared" ca="1" si="5"/>
        <v>0</v>
      </c>
      <c r="G28" s="2">
        <f t="shared" ca="1" si="6"/>
        <v>439.83086003318959</v>
      </c>
      <c r="H28" s="2">
        <f t="shared" ca="1" si="1"/>
        <v>0.22895305042823566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460.05981308361783</v>
      </c>
      <c r="F29" s="2">
        <f t="shared" ca="1" si="5"/>
        <v>0</v>
      </c>
      <c r="G29" s="2">
        <f t="shared" ca="1" si="6"/>
        <v>460.05981308361783</v>
      </c>
      <c r="H29" s="2">
        <f t="shared" ca="1" si="1"/>
        <v>0.23948319037229421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460.29929627399014</v>
      </c>
      <c r="F30" s="2">
        <f t="shared" ca="1" si="5"/>
        <v>0</v>
      </c>
      <c r="G30" s="2">
        <f t="shared" ca="1" si="6"/>
        <v>460.29929627399014</v>
      </c>
      <c r="H30" s="2">
        <f t="shared" ca="1" si="1"/>
        <v>0.23960785285495376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460.53890412684507</v>
      </c>
      <c r="F31" s="2">
        <f t="shared" ca="1" si="5"/>
        <v>0</v>
      </c>
      <c r="G31" s="2">
        <f t="shared" ca="1" si="6"/>
        <v>460.53890412684507</v>
      </c>
      <c r="H31" s="2">
        <f t="shared" ca="1" si="1"/>
        <v>0.23973258023041252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460.77863670707546</v>
      </c>
      <c r="F32" s="2">
        <f t="shared" ca="1" si="5"/>
        <v>0</v>
      </c>
      <c r="G32" s="2">
        <f t="shared" ca="1" si="6"/>
        <v>460.77863670707546</v>
      </c>
      <c r="H32" s="2">
        <f t="shared" ca="1" si="1"/>
        <v>0.23985737253245026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461.01849407960793</v>
      </c>
      <c r="F33" s="2">
        <f t="shared" ca="1" si="5"/>
        <v>0</v>
      </c>
      <c r="G33" s="2">
        <f t="shared" ca="1" si="6"/>
        <v>461.01849407960793</v>
      </c>
      <c r="H33" s="2">
        <f t="shared" ca="1" si="1"/>
        <v>0.23998222979486442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461.25847630940279</v>
      </c>
      <c r="F34" s="2">
        <f t="shared" ca="1" si="5"/>
        <v>0</v>
      </c>
      <c r="G34" s="2">
        <f t="shared" ca="1" si="6"/>
        <v>461.25847630940279</v>
      </c>
      <c r="H34" s="2">
        <f t="shared" ca="1" si="1"/>
        <v>0.24010715205146996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461.49858346145425</v>
      </c>
      <c r="F35" s="2">
        <f t="shared" ca="1" si="5"/>
        <v>0</v>
      </c>
      <c r="G35" s="2">
        <f t="shared" ca="1" si="6"/>
        <v>461.49858346145425</v>
      </c>
      <c r="H35" s="2">
        <f t="shared" ca="1" si="1"/>
        <v>0.24023213933609949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481.73881560079036</v>
      </c>
      <c r="F36" s="2">
        <f t="shared" ca="1" si="5"/>
        <v>0</v>
      </c>
      <c r="G36" s="2">
        <f t="shared" ca="1" si="6"/>
        <v>481.73881560079036</v>
      </c>
      <c r="H36" s="2">
        <f t="shared" ca="1" si="1"/>
        <v>0.25076815058671281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481.9895837513771</v>
      </c>
      <c r="F37" s="2">
        <f t="shared" ca="1" si="5"/>
        <v>0</v>
      </c>
      <c r="G37" s="2">
        <f t="shared" ca="1" si="6"/>
        <v>481.9895837513771</v>
      </c>
      <c r="H37" s="2">
        <f t="shared" ca="1" si="1"/>
        <v>0.25089868743222371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482.24048243880929</v>
      </c>
      <c r="F38" s="2">
        <f t="shared" ca="1" si="5"/>
        <v>0</v>
      </c>
      <c r="G38" s="2">
        <f t="shared" ca="1" si="6"/>
        <v>482.24048243880929</v>
      </c>
      <c r="H38" s="2">
        <f t="shared" ca="1" si="1"/>
        <v>0.2510292922284213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482.49151173103769</v>
      </c>
      <c r="F39" s="2">
        <f t="shared" ca="1" si="5"/>
        <v>104.64707805782572</v>
      </c>
      <c r="G39" s="2">
        <f t="shared" ca="1" si="6"/>
        <v>377.84443367321194</v>
      </c>
      <c r="H39" s="2">
        <f t="shared" ca="1" si="1"/>
        <v>0.19668614355591854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378.04111981676783</v>
      </c>
      <c r="F40" s="2">
        <f t="shared" ca="1" si="5"/>
        <v>0</v>
      </c>
      <c r="G40" s="2">
        <f t="shared" ca="1" si="6"/>
        <v>378.04111981676783</v>
      </c>
      <c r="H40" s="2">
        <f t="shared" ca="1" si="1"/>
        <v>0.19678852812379694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378.23790834489165</v>
      </c>
      <c r="F41" s="2">
        <f t="shared" ca="1" si="5"/>
        <v>0</v>
      </c>
      <c r="G41" s="2">
        <f t="shared" ca="1" si="6"/>
        <v>378.23790834489165</v>
      </c>
      <c r="H41" s="2">
        <f t="shared" ca="1" si="1"/>
        <v>0.19689096598775183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378.43479931087938</v>
      </c>
      <c r="F42" s="2">
        <f t="shared" ca="1" si="5"/>
        <v>0</v>
      </c>
      <c r="G42" s="2">
        <f t="shared" ca="1" si="6"/>
        <v>378.43479931087938</v>
      </c>
      <c r="H42" s="2">
        <f t="shared" ca="1" si="1"/>
        <v>0.19699345717552627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398.63179276805494</v>
      </c>
      <c r="F43" s="2">
        <f t="shared" ca="1" si="5"/>
        <v>0</v>
      </c>
      <c r="G43" s="2">
        <f t="shared" ca="1" si="6"/>
        <v>398.63179276805494</v>
      </c>
      <c r="H43" s="2">
        <f t="shared" ca="1" si="1"/>
        <v>0.20750696061898749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398.83929972867395</v>
      </c>
      <c r="F44" s="2">
        <f t="shared" ca="1" si="5"/>
        <v>0</v>
      </c>
      <c r="G44" s="2">
        <f t="shared" ca="1" si="6"/>
        <v>398.83929972867395</v>
      </c>
      <c r="H44" s="2">
        <f t="shared" ca="1" si="1"/>
        <v>0.20761497794095354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399.04691470661493</v>
      </c>
      <c r="F45" s="2">
        <f t="shared" ca="1" si="5"/>
        <v>0</v>
      </c>
      <c r="G45" s="2">
        <f t="shared" ca="1" si="6"/>
        <v>399.04691470661493</v>
      </c>
      <c r="H45" s="2">
        <f t="shared" ca="1" si="1"/>
        <v>0.20772305149111464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399.25463775810601</v>
      </c>
      <c r="F46" s="2">
        <f t="shared" ca="1" si="5"/>
        <v>0</v>
      </c>
      <c r="G46" s="2">
        <f t="shared" ca="1" si="6"/>
        <v>399.25463775810601</v>
      </c>
      <c r="H46" s="2">
        <f t="shared" ca="1" si="1"/>
        <v>0.20783118129874012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399.46246893940474</v>
      </c>
      <c r="F47" s="2">
        <f t="shared" ca="1" si="5"/>
        <v>0</v>
      </c>
      <c r="G47" s="2">
        <f t="shared" ca="1" si="6"/>
        <v>399.46246893940474</v>
      </c>
      <c r="H47" s="2">
        <f t="shared" ca="1" si="1"/>
        <v>0.2079393673931148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399.67040830679787</v>
      </c>
      <c r="F48" s="2">
        <f t="shared" ca="1" si="5"/>
        <v>0</v>
      </c>
      <c r="G48" s="2">
        <f t="shared" ca="1" si="6"/>
        <v>399.67040830679787</v>
      </c>
      <c r="H48" s="2">
        <f t="shared" ca="1" si="1"/>
        <v>0.20804760980353865</v>
      </c>
      <c r="I48" s="2">
        <f t="shared" ca="1" si="2"/>
        <v>0</v>
      </c>
    </row>
    <row r="49" spans="2:9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399.87845591660141</v>
      </c>
      <c r="F49" s="2">
        <f t="shared" ca="1" si="5"/>
        <v>0</v>
      </c>
      <c r="G49" s="2">
        <f t="shared" ca="1" si="6"/>
        <v>399.87845591660141</v>
      </c>
      <c r="H49" s="2">
        <f t="shared" ca="1" si="1"/>
        <v>0.20815590855932675</v>
      </c>
      <c r="I49" s="2">
        <f t="shared" ca="1" si="2"/>
        <v>20</v>
      </c>
    </row>
    <row r="50" spans="2:9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420.08661182516073</v>
      </c>
      <c r="F50" s="2">
        <f t="shared" ca="1" si="5"/>
        <v>0</v>
      </c>
      <c r="G50" s="2">
        <f t="shared" ca="1" si="6"/>
        <v>420.08661182516073</v>
      </c>
      <c r="H50" s="2">
        <f t="shared" ca="1" si="1"/>
        <v>0.21867522259391931</v>
      </c>
      <c r="I50" s="2">
        <f t="shared" ca="1" si="2"/>
        <v>0</v>
      </c>
    </row>
    <row r="51" spans="2:9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420.30528704775463</v>
      </c>
      <c r="F51" s="2">
        <f t="shared" ca="1" si="5"/>
        <v>0</v>
      </c>
      <c r="G51" s="2">
        <f t="shared" ca="1" si="6"/>
        <v>420.30528704775463</v>
      </c>
      <c r="H51" s="2">
        <f t="shared" ca="1" si="1"/>
        <v>0.21878905353170788</v>
      </c>
      <c r="I51" s="2">
        <f t="shared" ca="1" si="2"/>
        <v>0</v>
      </c>
    </row>
    <row r="52" spans="2:9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420.52407610128631</v>
      </c>
      <c r="F52" s="2">
        <f t="shared" ca="1" si="5"/>
        <v>0</v>
      </c>
      <c r="G52" s="2">
        <f t="shared" ca="1" si="6"/>
        <v>420.52407610128631</v>
      </c>
      <c r="H52" s="2">
        <f t="shared" ca="1" si="1"/>
        <v>0.21890294372395727</v>
      </c>
      <c r="I52" s="2">
        <f t="shared" ca="1" si="2"/>
        <v>0</v>
      </c>
    </row>
    <row r="53" spans="2:9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420.74297904501026</v>
      </c>
      <c r="F53" s="2">
        <f t="shared" ca="1" si="5"/>
        <v>104.64707805782572</v>
      </c>
      <c r="G53" s="2">
        <f t="shared" ca="1" si="6"/>
        <v>316.09590098718456</v>
      </c>
      <c r="H53" s="2">
        <f t="shared" ca="1" si="1"/>
        <v>0.16454307174675362</v>
      </c>
      <c r="I53" s="2">
        <f t="shared" ca="1" si="2"/>
        <v>0</v>
      </c>
    </row>
    <row r="54" spans="2:9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316.26044405893134</v>
      </c>
      <c r="F54" s="2">
        <f t="shared" ca="1" si="5"/>
        <v>0</v>
      </c>
      <c r="G54" s="2">
        <f t="shared" ca="1" si="6"/>
        <v>316.26044405893134</v>
      </c>
      <c r="H54" s="2">
        <f t="shared" ca="1" si="1"/>
        <v>0.1646287243046492</v>
      </c>
      <c r="I54" s="2">
        <f t="shared" ca="1" si="2"/>
        <v>0</v>
      </c>
    </row>
    <row r="55" spans="2:9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316.42507278323598</v>
      </c>
      <c r="F55" s="2">
        <f t="shared" ca="1" si="5"/>
        <v>0</v>
      </c>
      <c r="G55" s="2">
        <f t="shared" ca="1" si="6"/>
        <v>316.42507278323598</v>
      </c>
      <c r="H55" s="2">
        <f t="shared" ca="1" si="1"/>
        <v>0.16471442144880777</v>
      </c>
      <c r="I55" s="2">
        <f t="shared" ca="1" si="2"/>
        <v>0</v>
      </c>
    </row>
    <row r="56" spans="2:9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316.5897872046848</v>
      </c>
      <c r="F56" s="2">
        <f t="shared" ca="1" si="5"/>
        <v>0</v>
      </c>
      <c r="G56" s="2">
        <f t="shared" ca="1" si="6"/>
        <v>316.5897872046848</v>
      </c>
      <c r="H56" s="2">
        <f t="shared" ca="1" si="1"/>
        <v>0.16480016320243865</v>
      </c>
      <c r="I56" s="2">
        <f t="shared" ca="1" si="2"/>
        <v>20</v>
      </c>
    </row>
    <row r="57" spans="2:9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336.75458736788721</v>
      </c>
      <c r="F57" s="2">
        <f t="shared" ca="1" si="5"/>
        <v>0</v>
      </c>
      <c r="G57" s="2">
        <f t="shared" ca="1" si="6"/>
        <v>336.75458736788721</v>
      </c>
      <c r="H57" s="2">
        <f t="shared" ca="1" si="1"/>
        <v>0.1752969084928728</v>
      </c>
      <c r="I57" s="2">
        <f t="shared" ca="1" si="2"/>
        <v>0</v>
      </c>
    </row>
    <row r="58" spans="2:9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336.92988427638011</v>
      </c>
      <c r="F58" s="2">
        <f t="shared" ca="1" si="5"/>
        <v>0</v>
      </c>
      <c r="G58" s="2">
        <f t="shared" ca="1" si="6"/>
        <v>336.92988427638011</v>
      </c>
      <c r="H58" s="2">
        <f t="shared" ca="1" si="1"/>
        <v>0.17538815893838963</v>
      </c>
      <c r="I58" s="2">
        <f t="shared" ca="1" si="2"/>
        <v>0</v>
      </c>
    </row>
    <row r="59" spans="2:9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337.10527243531851</v>
      </c>
      <c r="F59" s="2">
        <f t="shared" ca="1" si="5"/>
        <v>0</v>
      </c>
      <c r="G59" s="2">
        <f t="shared" ca="1" si="6"/>
        <v>337.10527243531851</v>
      </c>
      <c r="H59" s="2">
        <f t="shared" ca="1" si="1"/>
        <v>0.17547945688413841</v>
      </c>
      <c r="I59" s="2">
        <f t="shared" ca="1" si="2"/>
        <v>0</v>
      </c>
    </row>
    <row r="60" spans="2:9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337.28075189220266</v>
      </c>
      <c r="F60" s="2">
        <f t="shared" ca="1" si="5"/>
        <v>0</v>
      </c>
      <c r="G60" s="2">
        <f t="shared" ca="1" si="6"/>
        <v>337.28075189220266</v>
      </c>
      <c r="H60" s="2">
        <f t="shared" ca="1" si="1"/>
        <v>0.17557080235484523</v>
      </c>
      <c r="I60" s="2">
        <f t="shared" ca="1" si="2"/>
        <v>0</v>
      </c>
    </row>
    <row r="61" spans="2:9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337.45632269455751</v>
      </c>
      <c r="F61" s="2">
        <f t="shared" ca="1" si="5"/>
        <v>0</v>
      </c>
      <c r="G61" s="2">
        <f t="shared" ca="1" si="6"/>
        <v>337.45632269455751</v>
      </c>
      <c r="H61" s="2">
        <f t="shared" ca="1" si="1"/>
        <v>0.1756621953752491</v>
      </c>
      <c r="I61" s="2">
        <f t="shared" ca="1" si="2"/>
        <v>0</v>
      </c>
    </row>
    <row r="62" spans="2:9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337.63198488993277</v>
      </c>
      <c r="F62" s="2">
        <f t="shared" ca="1" si="5"/>
        <v>0</v>
      </c>
      <c r="G62" s="2">
        <f t="shared" ca="1" si="6"/>
        <v>337.63198488993277</v>
      </c>
      <c r="H62" s="2">
        <f t="shared" ca="1" si="1"/>
        <v>0.17575363597010199</v>
      </c>
      <c r="I62" s="2">
        <f t="shared" ca="1" si="2"/>
        <v>0</v>
      </c>
    </row>
    <row r="63" spans="2:9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337.80773852590289</v>
      </c>
      <c r="F63" s="2">
        <f t="shared" ca="1" si="5"/>
        <v>0</v>
      </c>
      <c r="G63" s="2">
        <f t="shared" ca="1" si="6"/>
        <v>337.80773852590289</v>
      </c>
      <c r="H63" s="2">
        <f t="shared" ca="1" si="1"/>
        <v>0.17584512416416864</v>
      </c>
      <c r="I63" s="2">
        <f t="shared" ca="1" si="2"/>
        <v>20</v>
      </c>
    </row>
    <row r="64" spans="2:9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357.98358365006703</v>
      </c>
      <c r="F64" s="2">
        <f t="shared" ca="1" si="5"/>
        <v>0</v>
      </c>
      <c r="G64" s="2">
        <f t="shared" ca="1" si="6"/>
        <v>357.98358365006703</v>
      </c>
      <c r="H64" s="2">
        <f t="shared" ca="1" si="1"/>
        <v>0.18634761888633625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358.16993126895335</v>
      </c>
      <c r="F65" s="2">
        <f t="shared" ca="1" si="5"/>
        <v>0</v>
      </c>
      <c r="G65" s="2">
        <f t="shared" ca="1" si="6"/>
        <v>358.16993126895335</v>
      </c>
      <c r="H65" s="2">
        <f t="shared" ca="1" si="1"/>
        <v>0.18644462175644144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358.35637589070978</v>
      </c>
      <c r="F66" s="2">
        <f t="shared" ca="1" si="5"/>
        <v>0</v>
      </c>
      <c r="G66" s="2">
        <f t="shared" ca="1" si="6"/>
        <v>358.35637589070978</v>
      </c>
      <c r="H66" s="2">
        <f t="shared" ca="1" si="1"/>
        <v>0.18654167512119141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358.54291756583098</v>
      </c>
      <c r="F67" s="2">
        <f t="shared" ca="1" si="5"/>
        <v>104.64707805782572</v>
      </c>
      <c r="G67" s="2">
        <f t="shared" ca="1" si="6"/>
        <v>253.89583950800525</v>
      </c>
      <c r="H67" s="2">
        <f t="shared" ca="1" si="1"/>
        <v>0.13216495755211233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254.02800446555736</v>
      </c>
      <c r="F68" s="2">
        <f t="shared" ca="1" si="5"/>
        <v>0</v>
      </c>
      <c r="G68" s="2">
        <f t="shared" ca="1" si="6"/>
        <v>254.02800446555736</v>
      </c>
      <c r="H68" s="2">
        <f t="shared" ca="1" si="1"/>
        <v>0.13223375574919424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254.16023822130654</v>
      </c>
      <c r="F69" s="2">
        <f t="shared" ca="1" si="5"/>
        <v>0</v>
      </c>
      <c r="G69" s="2">
        <f t="shared" ca="1" si="6"/>
        <v>254.16023822130654</v>
      </c>
      <c r="H69" s="2">
        <f t="shared" ca="1" si="1"/>
        <v>0.13230258975903628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254.29254081106558</v>
      </c>
      <c r="F70" s="2">
        <f t="shared" ca="1" si="5"/>
        <v>0</v>
      </c>
      <c r="G70" s="2">
        <f t="shared" ca="1" si="6"/>
        <v>254.29254081106558</v>
      </c>
      <c r="H70" s="2">
        <f t="shared" ca="1" si="1"/>
        <v>0.13237145960028071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274.42491227066586</v>
      </c>
      <c r="F71" s="2">
        <f t="shared" ca="1" si="5"/>
        <v>0</v>
      </c>
      <c r="G71" s="2">
        <f t="shared" ca="1" si="6"/>
        <v>274.42491227066586</v>
      </c>
      <c r="H71" s="2">
        <f t="shared" ca="1" si="1"/>
        <v>0.14285132419568908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274.56776359486156</v>
      </c>
      <c r="F72" s="2">
        <f t="shared" ca="1" si="5"/>
        <v>0</v>
      </c>
      <c r="G72" s="2">
        <f t="shared" ca="1" si="6"/>
        <v>274.56776359486156</v>
      </c>
      <c r="H72" s="2">
        <f t="shared" ca="1" si="1"/>
        <v>0.14292568515896903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274.71068928002052</v>
      </c>
      <c r="F73" s="2">
        <f t="shared" ca="1" si="5"/>
        <v>0</v>
      </c>
      <c r="G73" s="2">
        <f t="shared" ca="1" si="6"/>
        <v>274.71068928002052</v>
      </c>
      <c r="H73" s="2">
        <f t="shared" ca="1" si="1"/>
        <v>0.14300008483069562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274.85368936485122</v>
      </c>
      <c r="F74" s="2">
        <f t="shared" ca="1" si="5"/>
        <v>0</v>
      </c>
      <c r="G74" s="2">
        <f t="shared" ca="1" si="6"/>
        <v>274.85368936485122</v>
      </c>
      <c r="H74" s="2">
        <f t="shared" ca="1" si="1"/>
        <v>0.14307452323101844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274.99676388808223</v>
      </c>
      <c r="F75" s="2">
        <f t="shared" ca="1" si="5"/>
        <v>0</v>
      </c>
      <c r="G75" s="2">
        <f t="shared" ca="1" si="6"/>
        <v>274.99676388808223</v>
      </c>
      <c r="H75" s="2">
        <f t="shared" ca="1" si="1"/>
        <v>0.14314900038009762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275.13991288846233</v>
      </c>
      <c r="F76" s="2">
        <f t="shared" ca="1" si="5"/>
        <v>0</v>
      </c>
      <c r="G76" s="2">
        <f t="shared" ca="1" si="6"/>
        <v>275.13991288846233</v>
      </c>
      <c r="H76" s="2">
        <f t="shared" ref="H76:H139" ca="1" si="11">IF(C76&gt;$C$7,0,(G76)*$C$5/365)</f>
        <v>0.14322351629810368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275.28313640476046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275.28313640476046</v>
      </c>
      <c r="H77" s="2">
        <f t="shared" ca="1" si="11"/>
        <v>0.14329807100521777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295.42643447576569</v>
      </c>
      <c r="F78" s="2">
        <f t="shared" ca="1" si="15"/>
        <v>0</v>
      </c>
      <c r="G78" s="2">
        <f t="shared" ca="1" si="16"/>
        <v>295.42643447576569</v>
      </c>
      <c r="H78" s="2">
        <f t="shared" ca="1" si="11"/>
        <v>0.15378362342574103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295.58021809919143</v>
      </c>
      <c r="F79" s="2">
        <f t="shared" ca="1" si="15"/>
        <v>0</v>
      </c>
      <c r="G79" s="2">
        <f t="shared" ca="1" si="16"/>
        <v>295.58021809919143</v>
      </c>
      <c r="H79" s="2">
        <f t="shared" ca="1" si="11"/>
        <v>0.15386367517492155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295.73408177436636</v>
      </c>
      <c r="F80" s="2">
        <f t="shared" ca="1" si="15"/>
        <v>0</v>
      </c>
      <c r="G80" s="2">
        <f t="shared" ca="1" si="16"/>
        <v>295.73408177436636</v>
      </c>
      <c r="H80" s="2">
        <f t="shared" ca="1" si="11"/>
        <v>0.15394376859487566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295.88802554296126</v>
      </c>
      <c r="F81" s="2">
        <f t="shared" ca="1" si="15"/>
        <v>104.64707805782572</v>
      </c>
      <c r="G81" s="2">
        <f t="shared" ca="1" si="16"/>
        <v>191.24094748513554</v>
      </c>
      <c r="H81" s="2">
        <f t="shared" ca="1" si="11"/>
        <v>9.9550082252536309E-2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191.34049756738807</v>
      </c>
      <c r="F82" s="2">
        <f t="shared" ca="1" si="15"/>
        <v>0</v>
      </c>
      <c r="G82" s="2">
        <f t="shared" ca="1" si="16"/>
        <v>191.34049756738807</v>
      </c>
      <c r="H82" s="2">
        <f t="shared" ca="1" si="11"/>
        <v>9.9601902843297896E-2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191.44009947023136</v>
      </c>
      <c r="F83" s="2">
        <f t="shared" ca="1" si="15"/>
        <v>0</v>
      </c>
      <c r="G83" s="2">
        <f t="shared" ca="1" si="16"/>
        <v>191.44009947023136</v>
      </c>
      <c r="H83" s="2">
        <f t="shared" ca="1" si="11"/>
        <v>9.9653750409161537E-2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191.53975322064053</v>
      </c>
      <c r="F84" s="2">
        <f t="shared" ca="1" si="15"/>
        <v>0</v>
      </c>
      <c r="G84" s="2">
        <f t="shared" ca="1" si="16"/>
        <v>191.53975322064053</v>
      </c>
      <c r="H84" s="2">
        <f t="shared" ca="1" si="11"/>
        <v>9.9705624964169043E-2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211.63945884560471</v>
      </c>
      <c r="F85" s="2">
        <f t="shared" ca="1" si="15"/>
        <v>0</v>
      </c>
      <c r="G85" s="2">
        <f t="shared" ca="1" si="16"/>
        <v>211.63945884560471</v>
      </c>
      <c r="H85" s="2">
        <f t="shared" ca="1" si="11"/>
        <v>0.11016848542647915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211.74962733103118</v>
      </c>
      <c r="F86" s="2">
        <f t="shared" ca="1" si="15"/>
        <v>0</v>
      </c>
      <c r="G86" s="2">
        <f t="shared" ca="1" si="16"/>
        <v>211.74962733103118</v>
      </c>
      <c r="H86" s="2">
        <f t="shared" ca="1" si="11"/>
        <v>0.1102258334051943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211.85985316443637</v>
      </c>
      <c r="F87" s="2">
        <f t="shared" ca="1" si="15"/>
        <v>0</v>
      </c>
      <c r="G87" s="2">
        <f t="shared" ca="1" si="16"/>
        <v>211.85985316443637</v>
      </c>
      <c r="H87" s="2">
        <f t="shared" ca="1" si="11"/>
        <v>0.11028321123628194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211.97013637567267</v>
      </c>
      <c r="F88" s="2">
        <f t="shared" ca="1" si="15"/>
        <v>0</v>
      </c>
      <c r="G88" s="2">
        <f t="shared" ca="1" si="16"/>
        <v>211.97013637567267</v>
      </c>
      <c r="H88" s="2">
        <f t="shared" ca="1" si="11"/>
        <v>0.11034061893528166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212.08047699460795</v>
      </c>
      <c r="F89" s="2">
        <f t="shared" ca="1" si="15"/>
        <v>0</v>
      </c>
      <c r="G89" s="2">
        <f t="shared" ca="1" si="16"/>
        <v>212.08047699460795</v>
      </c>
      <c r="H89" s="2">
        <f t="shared" ca="1" si="11"/>
        <v>0.11039805651774112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212.19087505112569</v>
      </c>
      <c r="F90" s="2">
        <f t="shared" ca="1" si="15"/>
        <v>0</v>
      </c>
      <c r="G90" s="2">
        <f t="shared" ca="1" si="16"/>
        <v>212.19087505112569</v>
      </c>
      <c r="H90" s="2">
        <f t="shared" ca="1" si="11"/>
        <v>0.1104555239992161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212.30133057512489</v>
      </c>
      <c r="F91" s="2">
        <f t="shared" ca="1" si="15"/>
        <v>0</v>
      </c>
      <c r="G91" s="2">
        <f t="shared" ca="1" si="16"/>
        <v>212.30133057512489</v>
      </c>
      <c r="H91" s="2">
        <f t="shared" ca="1" si="11"/>
        <v>0.11051302139527049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232.41184359652016</v>
      </c>
      <c r="F92" s="2">
        <f t="shared" ca="1" si="15"/>
        <v>0</v>
      </c>
      <c r="G92" s="2">
        <f t="shared" ca="1" si="16"/>
        <v>232.41184359652016</v>
      </c>
      <c r="H92" s="2">
        <f t="shared" ca="1" si="11"/>
        <v>0.12098150762558584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232.53282510414573</v>
      </c>
      <c r="F93" s="2">
        <f t="shared" ca="1" si="15"/>
        <v>0</v>
      </c>
      <c r="G93" s="2">
        <f t="shared" ca="1" si="16"/>
        <v>232.53282510414573</v>
      </c>
      <c r="H93" s="2">
        <f t="shared" ca="1" si="11"/>
        <v>0.12104448430078818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232.65386958844653</v>
      </c>
      <c r="F94" s="2">
        <f t="shared" ca="1" si="15"/>
        <v>0</v>
      </c>
      <c r="G94" s="2">
        <f t="shared" ca="1" si="16"/>
        <v>232.65386958844653</v>
      </c>
      <c r="H94" s="2">
        <f t="shared" ca="1" si="11"/>
        <v>0.12110749375836943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232.77497708220488</v>
      </c>
      <c r="F95" s="2">
        <f t="shared" ca="1" si="15"/>
        <v>104.64707805782572</v>
      </c>
      <c r="G95" s="2">
        <f t="shared" ca="1" si="16"/>
        <v>128.12789902437916</v>
      </c>
      <c r="H95" s="2">
        <f t="shared" ca="1" si="11"/>
        <v>6.6696714560635736E-2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128.1945957389398</v>
      </c>
      <c r="F96" s="2">
        <f t="shared" ca="1" si="15"/>
        <v>0</v>
      </c>
      <c r="G96" s="2">
        <f t="shared" ca="1" si="16"/>
        <v>128.1945957389398</v>
      </c>
      <c r="H96" s="2">
        <f t="shared" ca="1" si="11"/>
        <v>6.6731433398352233E-2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128.26132717233816</v>
      </c>
      <c r="F97" s="2">
        <f t="shared" ca="1" si="15"/>
        <v>0</v>
      </c>
      <c r="G97" s="2">
        <f t="shared" ca="1" si="16"/>
        <v>128.26132717233816</v>
      </c>
      <c r="H97" s="2">
        <f t="shared" ca="1" si="11"/>
        <v>6.6766170308888359E-2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128.32809334264704</v>
      </c>
      <c r="F98" s="2">
        <f t="shared" ca="1" si="15"/>
        <v>0</v>
      </c>
      <c r="G98" s="2">
        <f t="shared" ca="1" si="16"/>
        <v>128.32809334264704</v>
      </c>
      <c r="H98" s="2">
        <f t="shared" ca="1" si="11"/>
        <v>6.6800925301651881E-2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148.3948942679487</v>
      </c>
      <c r="F99" s="2">
        <f t="shared" ca="1" si="15"/>
        <v>0</v>
      </c>
      <c r="G99" s="2">
        <f t="shared" ca="1" si="16"/>
        <v>148.3948942679487</v>
      </c>
      <c r="H99" s="2">
        <f t="shared" ca="1" si="11"/>
        <v>7.7246657290165083E-2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148.47214092523888</v>
      </c>
      <c r="F100" s="2">
        <f t="shared" ca="1" si="15"/>
        <v>0</v>
      </c>
      <c r="G100" s="2">
        <f t="shared" ca="1" si="16"/>
        <v>148.47214092523888</v>
      </c>
      <c r="H100" s="2">
        <f t="shared" ca="1" si="11"/>
        <v>7.7286867878891469E-2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148.54942779311776</v>
      </c>
      <c r="F101" s="2">
        <f t="shared" ca="1" si="15"/>
        <v>0</v>
      </c>
      <c r="G101" s="2">
        <f t="shared" ca="1" si="16"/>
        <v>148.54942779311776</v>
      </c>
      <c r="H101" s="2">
        <f t="shared" ca="1" si="11"/>
        <v>7.732709939915719E-2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148.62675489251691</v>
      </c>
      <c r="F102" s="2">
        <f t="shared" ca="1" si="15"/>
        <v>0</v>
      </c>
      <c r="G102" s="2">
        <f t="shared" ca="1" si="16"/>
        <v>148.62675489251691</v>
      </c>
      <c r="H102" s="2">
        <f t="shared" ca="1" si="11"/>
        <v>7.7367351861858127E-2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ca="1" si="14"/>
        <v>148.70412224437877</v>
      </c>
      <c r="F103" s="2">
        <f t="shared" ca="1" si="15"/>
        <v>0</v>
      </c>
      <c r="G103" s="2">
        <f t="shared" ca="1" si="16"/>
        <v>148.70412224437877</v>
      </c>
      <c r="H103" s="2">
        <f t="shared" ca="1" si="11"/>
        <v>7.7407625277895797E-2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ca="1" si="14"/>
        <v>148.78152986965665</v>
      </c>
      <c r="F104" s="2">
        <f t="shared" ca="1" si="15"/>
        <v>0</v>
      </c>
      <c r="G104" s="2">
        <f t="shared" ca="1" si="16"/>
        <v>148.78152986965665</v>
      </c>
      <c r="H104" s="2">
        <f t="shared" ca="1" si="11"/>
        <v>7.7447919658177447E-2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ca="1" si="14"/>
        <v>148.85897778931482</v>
      </c>
      <c r="F105" s="2">
        <f t="shared" ca="1" si="15"/>
        <v>0</v>
      </c>
      <c r="G105" s="2">
        <f t="shared" ca="1" si="16"/>
        <v>148.85897778931482</v>
      </c>
      <c r="H105" s="2">
        <f t="shared" ca="1" si="11"/>
        <v>7.748823501361593E-2</v>
      </c>
      <c r="I105" s="2">
        <f t="shared" ca="1" si="12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ca="1" si="14"/>
        <v>168.93646602432844</v>
      </c>
      <c r="F106" s="2">
        <f t="shared" ca="1" si="15"/>
        <v>0</v>
      </c>
      <c r="G106" s="2">
        <f t="shared" ca="1" si="16"/>
        <v>168.93646602432844</v>
      </c>
      <c r="H106" s="2">
        <f t="shared" ca="1" si="11"/>
        <v>8.7939530259239465E-2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ca="1" si="14"/>
        <v>169.02440555458767</v>
      </c>
      <c r="F107" s="2">
        <f t="shared" ca="1" si="15"/>
        <v>0</v>
      </c>
      <c r="G107" s="2">
        <f t="shared" ca="1" si="16"/>
        <v>169.02440555458767</v>
      </c>
      <c r="H107" s="2">
        <f t="shared" ca="1" si="11"/>
        <v>8.798530700101824E-2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ca="1" si="14"/>
        <v>169.11239086158869</v>
      </c>
      <c r="F108" s="2">
        <f t="shared" ca="1" si="15"/>
        <v>0</v>
      </c>
      <c r="G108" s="2">
        <f t="shared" ca="1" si="16"/>
        <v>169.11239086158869</v>
      </c>
      <c r="H108" s="2">
        <f t="shared" ca="1" si="11"/>
        <v>8.8031107571785894E-2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ca="1" si="14"/>
        <v>169.20042196916049</v>
      </c>
      <c r="F109" s="2">
        <f t="shared" ca="1" si="15"/>
        <v>104.64707805782572</v>
      </c>
      <c r="G109" s="2">
        <f t="shared" ca="1" si="16"/>
        <v>64.553343911334764</v>
      </c>
      <c r="H109" s="2">
        <f t="shared" ca="1" si="11"/>
        <v>3.3603110529187963E-2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ca="1" si="14"/>
        <v>64.586947021863949</v>
      </c>
      <c r="F110" s="2">
        <f t="shared" ca="1" si="15"/>
        <v>0</v>
      </c>
      <c r="G110" s="2">
        <f t="shared" ca="1" si="16"/>
        <v>64.586947021863949</v>
      </c>
      <c r="H110" s="2">
        <f t="shared" ca="1" si="11"/>
        <v>3.3620602559326439E-2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ca="1" si="14"/>
        <v>64.620567624423273</v>
      </c>
      <c r="F111" s="2">
        <f t="shared" ca="1" si="15"/>
        <v>0</v>
      </c>
      <c r="G111" s="2">
        <f t="shared" ca="1" si="16"/>
        <v>64.620567624423273</v>
      </c>
      <c r="H111" s="2">
        <f t="shared" ca="1" si="11"/>
        <v>3.3638103694905268E-2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ca="1" si="14"/>
        <v>64.654205728118185</v>
      </c>
      <c r="F112" s="2">
        <f t="shared" ca="1" si="15"/>
        <v>0</v>
      </c>
      <c r="G112" s="2">
        <f t="shared" ca="1" si="16"/>
        <v>64.654205728118185</v>
      </c>
      <c r="H112" s="2">
        <f t="shared" ca="1" si="11"/>
        <v>3.3655613940664263E-2</v>
      </c>
      <c r="I112" s="2">
        <f t="shared" ca="1" si="12"/>
        <v>20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ca="1" si="14"/>
        <v>84.687861342058852</v>
      </c>
      <c r="F113" s="2">
        <f t="shared" ca="1" si="15"/>
        <v>0</v>
      </c>
      <c r="G113" s="2">
        <f t="shared" ca="1" si="16"/>
        <v>84.687861342058852</v>
      </c>
      <c r="H113" s="2">
        <f t="shared" ca="1" si="11"/>
        <v>4.408409220545529E-2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ca="1" si="14"/>
        <v>84.731945434264304</v>
      </c>
      <c r="F114" s="2">
        <f t="shared" ca="1" si="15"/>
        <v>0</v>
      </c>
      <c r="G114" s="2">
        <f t="shared" ca="1" si="16"/>
        <v>84.731945434264304</v>
      </c>
      <c r="H114" s="2">
        <f t="shared" ca="1" si="11"/>
        <v>4.4107040089069093E-2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ca="1" si="14"/>
        <v>84.776052474353378</v>
      </c>
      <c r="F115" s="2">
        <f t="shared" ca="1" si="15"/>
        <v>0</v>
      </c>
      <c r="G115" s="2">
        <f t="shared" ca="1" si="16"/>
        <v>84.776052474353378</v>
      </c>
      <c r="H115" s="2">
        <f t="shared" ca="1" si="11"/>
        <v>4.4129999918156554E-2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ca="1" si="14"/>
        <v>84.820182474271533</v>
      </c>
      <c r="F116" s="2">
        <f t="shared" ca="1" si="15"/>
        <v>0</v>
      </c>
      <c r="G116" s="2">
        <f t="shared" ca="1" si="16"/>
        <v>84.820182474271533</v>
      </c>
      <c r="H116" s="2">
        <f t="shared" ca="1" si="11"/>
        <v>4.4152971698935867E-2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ca="1" si="14"/>
        <v>84.864335445970468</v>
      </c>
      <c r="F117" s="2">
        <f t="shared" ca="1" si="15"/>
        <v>0</v>
      </c>
      <c r="G117" s="2">
        <f t="shared" ca="1" si="16"/>
        <v>84.864335445970468</v>
      </c>
      <c r="H117" s="2">
        <f t="shared" ca="1" si="11"/>
        <v>4.4175955437628464E-2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ca="1" si="14"/>
        <v>84.908511401408092</v>
      </c>
      <c r="F118" s="2">
        <f t="shared" ca="1" si="15"/>
        <v>0</v>
      </c>
      <c r="G118" s="2">
        <f t="shared" ca="1" si="16"/>
        <v>84.908511401408092</v>
      </c>
      <c r="H118" s="2">
        <f t="shared" ca="1" si="11"/>
        <v>4.4198951140459006E-2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ca="1" si="14"/>
        <v>84.95271035254855</v>
      </c>
      <c r="F119" s="2">
        <f t="shared" ca="1" si="15"/>
        <v>0</v>
      </c>
      <c r="G119" s="2">
        <f t="shared" ca="1" si="16"/>
        <v>84.95271035254855</v>
      </c>
      <c r="H119" s="2">
        <f t="shared" ca="1" si="11"/>
        <v>4.4221958813655413E-2</v>
      </c>
      <c r="I119" s="2">
        <f t="shared" ca="1" si="12"/>
        <v>20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ca="1" si="14"/>
        <v>104.9969323113622</v>
      </c>
      <c r="F120" s="2">
        <f t="shared" ca="1" si="15"/>
        <v>0</v>
      </c>
      <c r="G120" s="2">
        <f t="shared" ca="1" si="16"/>
        <v>104.9969323113622</v>
      </c>
      <c r="H120" s="2">
        <f t="shared" ca="1" si="11"/>
        <v>5.4655937367558409E-2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ca="1" si="14"/>
        <v>105.05158824872976</v>
      </c>
      <c r="F121" s="2">
        <f t="shared" ca="1" si="15"/>
        <v>0</v>
      </c>
      <c r="G121" s="2">
        <f t="shared" ca="1" si="16"/>
        <v>105.05158824872976</v>
      </c>
      <c r="H121" s="2">
        <f t="shared" ca="1" si="11"/>
        <v>5.4684388403448365E-2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ca="1" si="14"/>
        <v>105.1062726371332</v>
      </c>
      <c r="F122" s="2">
        <f t="shared" ca="1" si="15"/>
        <v>0</v>
      </c>
      <c r="G122" s="2">
        <f t="shared" ca="1" si="16"/>
        <v>105.1062726371332</v>
      </c>
      <c r="H122" s="2">
        <f t="shared" ca="1" si="11"/>
        <v>5.4712854249466598E-2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ca="1" si="14"/>
        <v>105.16098549138268</v>
      </c>
      <c r="F123" s="2">
        <f t="shared" ca="1" si="15"/>
        <v>104.64707805782572</v>
      </c>
      <c r="G123" s="2">
        <f t="shared" ca="1" si="16"/>
        <v>0.51390743355695179</v>
      </c>
      <c r="H123" s="2">
        <f t="shared" ca="1" si="11"/>
        <v>2.6751345856389273E-4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si="14"/>
        <v>0</v>
      </c>
      <c r="F124" s="2">
        <f t="shared" si="15"/>
        <v>0</v>
      </c>
      <c r="G124" s="2">
        <f t="shared" ca="1" si="16"/>
        <v>0.51390743355695179</v>
      </c>
      <c r="H124" s="2">
        <f t="shared" si="11"/>
        <v>0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si="14"/>
        <v>0</v>
      </c>
      <c r="F125" s="2">
        <f t="shared" si="15"/>
        <v>0</v>
      </c>
      <c r="G125" s="2">
        <f t="shared" ca="1" si="16"/>
        <v>0.51390743355695179</v>
      </c>
      <c r="H125" s="2">
        <f t="shared" si="11"/>
        <v>0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si="14"/>
        <v>0</v>
      </c>
      <c r="F126" s="2">
        <f t="shared" si="15"/>
        <v>0</v>
      </c>
      <c r="G126" s="2">
        <f t="shared" ca="1" si="16"/>
        <v>0.51390743355695179</v>
      </c>
      <c r="H126" s="2">
        <f t="shared" si="11"/>
        <v>0</v>
      </c>
      <c r="I126" s="2">
        <f t="shared" ca="1" si="12"/>
        <v>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si="14"/>
        <v>0</v>
      </c>
      <c r="F127" s="2">
        <f t="shared" si="15"/>
        <v>0</v>
      </c>
      <c r="G127" s="2">
        <f t="shared" ca="1" si="16"/>
        <v>0.51390743355695179</v>
      </c>
      <c r="H127" s="2">
        <f t="shared" si="11"/>
        <v>0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si="14"/>
        <v>0</v>
      </c>
      <c r="F128" s="2">
        <f t="shared" si="15"/>
        <v>0</v>
      </c>
      <c r="G128" s="2">
        <f t="shared" ca="1" si="16"/>
        <v>0.51390743355695179</v>
      </c>
      <c r="H128" s="2">
        <f t="shared" si="11"/>
        <v>0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si="14"/>
        <v>0</v>
      </c>
      <c r="F129" s="2">
        <f t="shared" si="15"/>
        <v>0</v>
      </c>
      <c r="G129" s="2">
        <f t="shared" ca="1" si="16"/>
        <v>0.51390743355695179</v>
      </c>
      <c r="H129" s="2">
        <f t="shared" si="11"/>
        <v>0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si="14"/>
        <v>0</v>
      </c>
      <c r="F130" s="2">
        <f t="shared" si="15"/>
        <v>0</v>
      </c>
      <c r="G130" s="2">
        <f t="shared" ca="1" si="16"/>
        <v>0.51390743355695179</v>
      </c>
      <c r="H130" s="2">
        <f t="shared" si="11"/>
        <v>0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si="14"/>
        <v>0</v>
      </c>
      <c r="F131" s="2">
        <f t="shared" si="15"/>
        <v>0</v>
      </c>
      <c r="G131" s="2">
        <f t="shared" ca="1" si="16"/>
        <v>0.51390743355695179</v>
      </c>
      <c r="H131" s="2">
        <f t="shared" si="11"/>
        <v>0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si="14"/>
        <v>0</v>
      </c>
      <c r="F132" s="2">
        <f t="shared" si="15"/>
        <v>0</v>
      </c>
      <c r="G132" s="2">
        <f t="shared" ca="1" si="16"/>
        <v>0.51390743355695179</v>
      </c>
      <c r="H132" s="2">
        <f t="shared" si="11"/>
        <v>0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si="14"/>
        <v>0</v>
      </c>
      <c r="F133" s="2">
        <f t="shared" si="15"/>
        <v>0</v>
      </c>
      <c r="G133" s="2">
        <f t="shared" ca="1" si="16"/>
        <v>0.51390743355695179</v>
      </c>
      <c r="H133" s="2">
        <f t="shared" si="11"/>
        <v>0</v>
      </c>
      <c r="I133" s="2">
        <f t="shared" ca="1" si="12"/>
        <v>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si="14"/>
        <v>0</v>
      </c>
      <c r="F134" s="2">
        <f t="shared" si="15"/>
        <v>0</v>
      </c>
      <c r="G134" s="2">
        <f t="shared" ca="1" si="16"/>
        <v>0.51390743355695179</v>
      </c>
      <c r="H134" s="2">
        <f t="shared" si="11"/>
        <v>0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si="14"/>
        <v>0</v>
      </c>
      <c r="F135" s="2">
        <f t="shared" si="15"/>
        <v>0</v>
      </c>
      <c r="G135" s="2">
        <f t="shared" ca="1" si="16"/>
        <v>0.51390743355695179</v>
      </c>
      <c r="H135" s="2">
        <f t="shared" si="11"/>
        <v>0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si="14"/>
        <v>0</v>
      </c>
      <c r="F136" s="2">
        <f t="shared" si="15"/>
        <v>0</v>
      </c>
      <c r="G136" s="2">
        <f t="shared" ca="1" si="16"/>
        <v>0.51390743355695179</v>
      </c>
      <c r="H136" s="2">
        <f t="shared" si="11"/>
        <v>0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si="14"/>
        <v>0</v>
      </c>
      <c r="F137" s="2">
        <f t="shared" si="15"/>
        <v>0</v>
      </c>
      <c r="G137" s="2">
        <f t="shared" ca="1" si="16"/>
        <v>0.51390743355695179</v>
      </c>
      <c r="H137" s="2">
        <f t="shared" si="11"/>
        <v>0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si="14"/>
        <v>0</v>
      </c>
      <c r="F138" s="2">
        <f t="shared" si="15"/>
        <v>0</v>
      </c>
      <c r="G138" s="2">
        <f t="shared" ca="1" si="16"/>
        <v>0.51390743355695179</v>
      </c>
      <c r="H138" s="2">
        <f t="shared" si="11"/>
        <v>0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si="14"/>
        <v>0</v>
      </c>
      <c r="F139" s="2">
        <f t="shared" si="15"/>
        <v>0</v>
      </c>
      <c r="G139" s="2">
        <f t="shared" ca="1" si="16"/>
        <v>0.51390743355695179</v>
      </c>
      <c r="H139" s="2">
        <f t="shared" si="11"/>
        <v>0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si="14"/>
        <v>0</v>
      </c>
      <c r="F140" s="2">
        <f t="shared" si="15"/>
        <v>0</v>
      </c>
      <c r="G140" s="2">
        <f t="shared" ca="1" si="16"/>
        <v>0.51390743355695179</v>
      </c>
      <c r="H140" s="2">
        <f t="shared" ref="H140:H203" si="21">IF(C140&gt;$C$7,0,(G140)*$C$5/365)</f>
        <v>0</v>
      </c>
      <c r="I140" s="2">
        <f t="shared" ref="I140:I203" ca="1" si="22">IF(AND(C140=0,D140=7),$C$6,IF(C140=$C$7,0,IF(C140&lt;$C$7,IF(D140=7,$C$6,0),0)))</f>
        <v>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si="24">IF(C141&gt;$C$7,0,G140+H140+I140)</f>
        <v>0</v>
      </c>
      <c r="F141" s="2">
        <f t="shared" ref="F141:F204" si="25">IF(C141&gt;$C$7,0,IF(ROUND(E141,0)&gt;0,IF(C141=0,0,IF(MOD(C141,$C$3)&gt;0,0,$C$8)),0))</f>
        <v>0</v>
      </c>
      <c r="G141" s="2">
        <f t="shared" ref="G141:G204" ca="1" si="26">IF(C141&gt;$C$7,G140,E141-F141)</f>
        <v>0.51390743355695179</v>
      </c>
      <c r="H141" s="2">
        <f t="shared" si="21"/>
        <v>0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si="24"/>
        <v>0</v>
      </c>
      <c r="F142" s="2">
        <f t="shared" si="25"/>
        <v>0</v>
      </c>
      <c r="G142" s="2">
        <f t="shared" ca="1" si="26"/>
        <v>0.51390743355695179</v>
      </c>
      <c r="H142" s="2">
        <f t="shared" si="21"/>
        <v>0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si="24"/>
        <v>0</v>
      </c>
      <c r="F143" s="2">
        <f t="shared" si="25"/>
        <v>0</v>
      </c>
      <c r="G143" s="2">
        <f t="shared" ca="1" si="26"/>
        <v>0.51390743355695179</v>
      </c>
      <c r="H143" s="2">
        <f t="shared" si="21"/>
        <v>0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si="24"/>
        <v>0</v>
      </c>
      <c r="F144" s="2">
        <f t="shared" si="25"/>
        <v>0</v>
      </c>
      <c r="G144" s="2">
        <f t="shared" ca="1" si="26"/>
        <v>0.51390743355695179</v>
      </c>
      <c r="H144" s="2">
        <f t="shared" si="21"/>
        <v>0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si="24"/>
        <v>0</v>
      </c>
      <c r="F145" s="2">
        <f t="shared" si="25"/>
        <v>0</v>
      </c>
      <c r="G145" s="2">
        <f t="shared" ca="1" si="26"/>
        <v>0.51390743355695179</v>
      </c>
      <c r="H145" s="2">
        <f t="shared" si="21"/>
        <v>0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si="24"/>
        <v>0</v>
      </c>
      <c r="F146" s="2">
        <f t="shared" si="25"/>
        <v>0</v>
      </c>
      <c r="G146" s="2">
        <f t="shared" ca="1" si="26"/>
        <v>0.51390743355695179</v>
      </c>
      <c r="H146" s="2">
        <f t="shared" si="21"/>
        <v>0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si="24"/>
        <v>0</v>
      </c>
      <c r="F147" s="2">
        <f t="shared" si="25"/>
        <v>0</v>
      </c>
      <c r="G147" s="2">
        <f t="shared" ca="1" si="26"/>
        <v>0.51390743355695179</v>
      </c>
      <c r="H147" s="2">
        <f t="shared" si="21"/>
        <v>0</v>
      </c>
      <c r="I147" s="2">
        <f t="shared" ca="1" si="22"/>
        <v>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si="24"/>
        <v>0</v>
      </c>
      <c r="F148" s="2">
        <f t="shared" si="25"/>
        <v>0</v>
      </c>
      <c r="G148" s="2">
        <f t="shared" ca="1" si="26"/>
        <v>0.51390743355695179</v>
      </c>
      <c r="H148" s="2">
        <f t="shared" si="21"/>
        <v>0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si="24"/>
        <v>0</v>
      </c>
      <c r="F149" s="2">
        <f t="shared" si="25"/>
        <v>0</v>
      </c>
      <c r="G149" s="2">
        <f t="shared" ca="1" si="26"/>
        <v>0.51390743355695179</v>
      </c>
      <c r="H149" s="2">
        <f t="shared" si="21"/>
        <v>0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si="24"/>
        <v>0</v>
      </c>
      <c r="F150" s="2">
        <f t="shared" si="25"/>
        <v>0</v>
      </c>
      <c r="G150" s="2">
        <f t="shared" ca="1" si="26"/>
        <v>0.51390743355695179</v>
      </c>
      <c r="H150" s="2">
        <f t="shared" si="21"/>
        <v>0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si="24"/>
        <v>0</v>
      </c>
      <c r="F151" s="2">
        <f t="shared" si="25"/>
        <v>0</v>
      </c>
      <c r="G151" s="2">
        <f t="shared" ca="1" si="26"/>
        <v>0.51390743355695179</v>
      </c>
      <c r="H151" s="2">
        <f t="shared" si="21"/>
        <v>0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si="24"/>
        <v>0</v>
      </c>
      <c r="F152" s="2">
        <f t="shared" si="25"/>
        <v>0</v>
      </c>
      <c r="G152" s="2">
        <f t="shared" ca="1" si="26"/>
        <v>0.51390743355695179</v>
      </c>
      <c r="H152" s="2">
        <f t="shared" si="21"/>
        <v>0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si="24"/>
        <v>0</v>
      </c>
      <c r="F153" s="2">
        <f t="shared" si="25"/>
        <v>0</v>
      </c>
      <c r="G153" s="2">
        <f t="shared" ca="1" si="26"/>
        <v>0.51390743355695179</v>
      </c>
      <c r="H153" s="2">
        <f t="shared" si="21"/>
        <v>0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si="24"/>
        <v>0</v>
      </c>
      <c r="F154" s="2">
        <f t="shared" si="25"/>
        <v>0</v>
      </c>
      <c r="G154" s="2">
        <f t="shared" ca="1" si="26"/>
        <v>0.51390743355695179</v>
      </c>
      <c r="H154" s="2">
        <f t="shared" si="21"/>
        <v>0</v>
      </c>
      <c r="I154" s="2">
        <f t="shared" ca="1" si="22"/>
        <v>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si="24"/>
        <v>0</v>
      </c>
      <c r="F155" s="2">
        <f t="shared" si="25"/>
        <v>0</v>
      </c>
      <c r="G155" s="2">
        <f t="shared" ca="1" si="26"/>
        <v>0.51390743355695179</v>
      </c>
      <c r="H155" s="2">
        <f t="shared" si="21"/>
        <v>0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si="24"/>
        <v>0</v>
      </c>
      <c r="F156" s="2">
        <f t="shared" si="25"/>
        <v>0</v>
      </c>
      <c r="G156" s="2">
        <f t="shared" ca="1" si="26"/>
        <v>0.51390743355695179</v>
      </c>
      <c r="H156" s="2">
        <f t="shared" si="21"/>
        <v>0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si="24"/>
        <v>0</v>
      </c>
      <c r="F157" s="2">
        <f t="shared" si="25"/>
        <v>0</v>
      </c>
      <c r="G157" s="2">
        <f t="shared" ca="1" si="26"/>
        <v>0.51390743355695179</v>
      </c>
      <c r="H157" s="2">
        <f t="shared" si="21"/>
        <v>0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si="24"/>
        <v>0</v>
      </c>
      <c r="F158" s="2">
        <f t="shared" si="25"/>
        <v>0</v>
      </c>
      <c r="G158" s="2">
        <f t="shared" ca="1" si="26"/>
        <v>0.51390743355695179</v>
      </c>
      <c r="H158" s="2">
        <f t="shared" si="21"/>
        <v>0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si="24"/>
        <v>0</v>
      </c>
      <c r="F159" s="2">
        <f t="shared" si="25"/>
        <v>0</v>
      </c>
      <c r="G159" s="2">
        <f t="shared" ca="1" si="26"/>
        <v>0.51390743355695179</v>
      </c>
      <c r="H159" s="2">
        <f t="shared" si="21"/>
        <v>0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si="24"/>
        <v>0</v>
      </c>
      <c r="F160" s="2">
        <f t="shared" si="25"/>
        <v>0</v>
      </c>
      <c r="G160" s="2">
        <f t="shared" ca="1" si="26"/>
        <v>0.51390743355695179</v>
      </c>
      <c r="H160" s="2">
        <f t="shared" si="21"/>
        <v>0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si="24"/>
        <v>0</v>
      </c>
      <c r="F161" s="2">
        <f t="shared" si="25"/>
        <v>0</v>
      </c>
      <c r="G161" s="2">
        <f t="shared" ca="1" si="26"/>
        <v>0.51390743355695179</v>
      </c>
      <c r="H161" s="2">
        <f t="shared" si="21"/>
        <v>0</v>
      </c>
      <c r="I161" s="2">
        <f t="shared" ca="1" si="22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si="24"/>
        <v>0</v>
      </c>
      <c r="F162" s="2">
        <f t="shared" si="25"/>
        <v>0</v>
      </c>
      <c r="G162" s="2">
        <f t="shared" ca="1" si="26"/>
        <v>0.51390743355695179</v>
      </c>
      <c r="H162" s="2">
        <f t="shared" si="21"/>
        <v>0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si="24"/>
        <v>0</v>
      </c>
      <c r="F163" s="2">
        <f t="shared" si="25"/>
        <v>0</v>
      </c>
      <c r="G163" s="2">
        <f t="shared" ca="1" si="26"/>
        <v>0.51390743355695179</v>
      </c>
      <c r="H163" s="2">
        <f t="shared" si="21"/>
        <v>0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si="24"/>
        <v>0</v>
      </c>
      <c r="F164" s="2">
        <f t="shared" si="25"/>
        <v>0</v>
      </c>
      <c r="G164" s="2">
        <f t="shared" ca="1" si="26"/>
        <v>0.51390743355695179</v>
      </c>
      <c r="H164" s="2">
        <f t="shared" si="21"/>
        <v>0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si="24"/>
        <v>0</v>
      </c>
      <c r="F165" s="2">
        <f t="shared" si="25"/>
        <v>0</v>
      </c>
      <c r="G165" s="2">
        <f t="shared" ca="1" si="26"/>
        <v>0.51390743355695179</v>
      </c>
      <c r="H165" s="2">
        <f t="shared" si="21"/>
        <v>0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0.51390743355695179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0.51390743355695179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0.51390743355695179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0.51390743355695179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0.51390743355695179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0.51390743355695179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0.51390743355695179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0.51390743355695179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0.51390743355695179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0.51390743355695179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0.51390743355695179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0.51390743355695179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0.51390743355695179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0.51390743355695179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0.51390743355695179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0.51390743355695179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0.51390743355695179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0.51390743355695179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0.51390743355695179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0.51390743355695179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0.51390743355695179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0.51390743355695179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0.51390743355695179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0.51390743355695179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0.51390743355695179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0.51390743355695179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0.51390743355695179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0.51390743355695179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0.51390743355695179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0.51390743355695179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0.51390743355695179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0.51390743355695179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0.51390743355695179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0.51390743355695179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0.51390743355695179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0.51390743355695179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0.51390743355695179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0.51390743355695179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0.51390743355695179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0.51390743355695179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0.51390743355695179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0.51390743355695179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0.51390743355695179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0.51390743355695179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0.51390743355695179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0.51390743355695179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B11:I211">
    <cfRule type="expression" dxfId="45" priority="3">
      <formula>$C11=$C$7</formula>
    </cfRule>
    <cfRule type="expression" dxfId="44" priority="4">
      <formula>$C11&gt;$C$7</formula>
    </cfRule>
  </conditionalFormatting>
  <conditionalFormatting sqref="E7">
    <cfRule type="cellIs" dxfId="43" priority="1" operator="equal">
      <formula>"No RESET Required"</formula>
    </cfRule>
    <cfRule type="cellIs" dxfId="42" priority="2" operator="equal">
      <formula>"RESET"</formula>
    </cfRule>
  </conditionalFormatting>
  <hyperlinks>
    <hyperlink ref="H2:I4" location="Summary!A1" display="Return to Home" xr:uid="{6A8D3276-4842-4010-9EA2-6E4D3C257922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355600</xdr:colOff>
                    <xdr:row>5</xdr:row>
                    <xdr:rowOff>76200</xdr:rowOff>
                  </from>
                  <to>
                    <xdr:col>8</xdr:col>
                    <xdr:colOff>1384300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5E30-E3B7-48E0-927D-10C7E8D1EC57}">
  <sheetPr codeName="Sheet13">
    <tabColor rgb="FF7030A0"/>
  </sheetPr>
  <dimension ref="B1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8.5" bestFit="1" customWidth="1"/>
    <col min="8" max="8" width="13" customWidth="1"/>
    <col min="9" max="9" width="25" bestFit="1" customWidth="1"/>
  </cols>
  <sheetData>
    <row r="1" spans="2:9" ht="16" thickBot="1" x14ac:dyDescent="0.25"/>
    <row r="2" spans="2:9" x14ac:dyDescent="0.2">
      <c r="B2" s="1" t="s">
        <v>0</v>
      </c>
      <c r="C2" s="13">
        <v>750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9" x14ac:dyDescent="0.2">
      <c r="B3" s="1" t="s">
        <v>2</v>
      </c>
      <c r="C3" s="11">
        <v>14</v>
      </c>
      <c r="E3" s="1" t="s">
        <v>3</v>
      </c>
      <c r="F3" s="15">
        <f ca="1">SUM(H11:H211)</f>
        <v>31.870565620392341</v>
      </c>
      <c r="H3" s="25"/>
      <c r="I3" s="26"/>
    </row>
    <row r="4" spans="2:9" ht="16" thickBot="1" x14ac:dyDescent="0.25">
      <c r="B4" s="1" t="s">
        <v>4</v>
      </c>
      <c r="C4" s="9">
        <f>C7/C3</f>
        <v>10</v>
      </c>
      <c r="E4" s="1" t="s">
        <v>5</v>
      </c>
      <c r="F4" s="15">
        <f ca="1">SUM(I11:I211)</f>
        <v>400</v>
      </c>
      <c r="H4" s="27"/>
      <c r="I4" s="28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1181.2230955845555</v>
      </c>
    </row>
    <row r="6" spans="2:9" ht="16" thickBot="1" x14ac:dyDescent="0.25">
      <c r="B6" s="1" t="s">
        <v>8</v>
      </c>
      <c r="C6" s="13">
        <v>20</v>
      </c>
    </row>
    <row r="7" spans="2:9" ht="15" customHeight="1" x14ac:dyDescent="0.2">
      <c r="B7" s="1" t="s">
        <v>9</v>
      </c>
      <c r="C7" s="11">
        <v>140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118.12230955845556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750</v>
      </c>
      <c r="H11" s="2">
        <f ca="1">IF(C11&gt;$C$7,0,(G11)*$C$5/365)</f>
        <v>0.3904109589041096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750.39041095890411</v>
      </c>
      <c r="F12" s="2">
        <f ca="1">IF(C12&gt;$C$7,0,IF(ROUND(E12,0)&gt;0,IF(C12=0,0,IF(MOD(C12,$C$3)&gt;0,0,$C$8)),0))</f>
        <v>0</v>
      </c>
      <c r="G12" s="2">
        <f ca="1">IF(C12&gt;$C$7,G11,E12-F12)</f>
        <v>750.39041095890411</v>
      </c>
      <c r="H12" s="2">
        <f t="shared" ref="H12:H75" ca="1" si="1">IF(C12&gt;$C$7,0,(G12)*$C$5/365)</f>
        <v>0.39061418652655283</v>
      </c>
      <c r="I12" s="2">
        <f t="shared" ref="I12:I75" ca="1" si="2">IF(AND(C12=0,D12=7),$C$6,IF(C12=$C$7,0,IF(C12&lt;$C$7,IF(D12=7,$C$6,0),0)))</f>
        <v>0</v>
      </c>
    </row>
    <row r="13" spans="2:9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750.7810251454307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750.7810251454307</v>
      </c>
      <c r="H13" s="2">
        <f t="shared" ca="1" si="1"/>
        <v>0.39081751993871738</v>
      </c>
      <c r="I13" s="2">
        <f t="shared" ca="1" si="2"/>
        <v>0</v>
      </c>
    </row>
    <row r="14" spans="2:9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751.17184266536947</v>
      </c>
      <c r="F14" s="2">
        <f t="shared" ca="1" si="5"/>
        <v>0</v>
      </c>
      <c r="G14" s="2">
        <f t="shared" ca="1" si="6"/>
        <v>751.17184266536947</v>
      </c>
      <c r="H14" s="2">
        <f t="shared" ca="1" si="1"/>
        <v>0.39102095919567176</v>
      </c>
      <c r="I14" s="2">
        <f t="shared" ca="1" si="2"/>
        <v>20</v>
      </c>
    </row>
    <row r="15" spans="2:9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771.56286362456513</v>
      </c>
      <c r="F15" s="2">
        <f t="shared" ca="1" si="5"/>
        <v>0</v>
      </c>
      <c r="G15" s="2">
        <f t="shared" ca="1" si="6"/>
        <v>771.56286362456513</v>
      </c>
      <c r="H15" s="2">
        <f t="shared" ca="1" si="1"/>
        <v>0.40163546325662297</v>
      </c>
      <c r="I15" s="2">
        <f t="shared" ca="1" si="2"/>
        <v>0</v>
      </c>
    </row>
    <row r="16" spans="2:9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771.96449908782176</v>
      </c>
      <c r="F16" s="2">
        <f t="shared" ca="1" si="5"/>
        <v>0</v>
      </c>
      <c r="G16" s="2">
        <f t="shared" ca="1" si="6"/>
        <v>771.96449908782176</v>
      </c>
      <c r="H16" s="2">
        <f t="shared" ca="1" si="1"/>
        <v>0.40184453377174284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772.3663436215935</v>
      </c>
      <c r="F17" s="2">
        <f t="shared" ca="1" si="5"/>
        <v>0</v>
      </c>
      <c r="G17" s="2">
        <f t="shared" ca="1" si="6"/>
        <v>772.3663436215935</v>
      </c>
      <c r="H17" s="2">
        <f t="shared" ca="1" si="1"/>
        <v>0.40205371311808979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772.76839733471161</v>
      </c>
      <c r="F18" s="2">
        <f t="shared" ca="1" si="5"/>
        <v>0</v>
      </c>
      <c r="G18" s="2">
        <f t="shared" ca="1" si="6"/>
        <v>772.76839733471161</v>
      </c>
      <c r="H18" s="2">
        <f t="shared" ca="1" si="1"/>
        <v>0.40226300135231563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773.17066033606397</v>
      </c>
      <c r="F19" s="2">
        <f t="shared" ca="1" si="5"/>
        <v>0</v>
      </c>
      <c r="G19" s="2">
        <f t="shared" ca="1" si="6"/>
        <v>773.17066033606397</v>
      </c>
      <c r="H19" s="2">
        <f t="shared" ca="1" si="1"/>
        <v>0.40247239853110178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773.57313273459511</v>
      </c>
      <c r="F20" s="2">
        <f t="shared" ca="1" si="5"/>
        <v>0</v>
      </c>
      <c r="G20" s="2">
        <f t="shared" ca="1" si="6"/>
        <v>773.57313273459511</v>
      </c>
      <c r="H20" s="2">
        <f t="shared" ca="1" si="1"/>
        <v>0.40268190471115911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773.97581463930624</v>
      </c>
      <c r="F21" s="2">
        <f t="shared" ca="1" si="5"/>
        <v>0</v>
      </c>
      <c r="G21" s="2">
        <f t="shared" ca="1" si="6"/>
        <v>773.97581463930624</v>
      </c>
      <c r="H21" s="2">
        <f t="shared" ca="1" si="1"/>
        <v>0.40289151994922789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794.37870615925544</v>
      </c>
      <c r="F22" s="2">
        <f t="shared" ca="1" si="5"/>
        <v>0</v>
      </c>
      <c r="G22" s="2">
        <f t="shared" ca="1" si="6"/>
        <v>794.37870615925544</v>
      </c>
      <c r="H22" s="2">
        <f t="shared" ca="1" si="1"/>
        <v>0.41351220320618776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794.79221836246165</v>
      </c>
      <c r="F23" s="2">
        <f t="shared" ca="1" si="5"/>
        <v>0</v>
      </c>
      <c r="G23" s="2">
        <f t="shared" ca="1" si="6"/>
        <v>794.79221836246165</v>
      </c>
      <c r="H23" s="2">
        <f t="shared" ca="1" si="1"/>
        <v>0.41372745613388412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795.20594581859552</v>
      </c>
      <c r="F24" s="2">
        <f t="shared" ca="1" si="5"/>
        <v>0</v>
      </c>
      <c r="G24" s="2">
        <f t="shared" ca="1" si="6"/>
        <v>795.20594581859552</v>
      </c>
      <c r="H24" s="2">
        <f t="shared" ca="1" si="1"/>
        <v>0.41394282111104969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795.61988863970657</v>
      </c>
      <c r="F25" s="2">
        <f t="shared" ca="1" si="5"/>
        <v>118.12230955845556</v>
      </c>
      <c r="G25" s="2">
        <f t="shared" ca="1" si="6"/>
        <v>677.49757908125105</v>
      </c>
      <c r="H25" s="2">
        <f t="shared" ca="1" si="1"/>
        <v>0.35266997267243205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677.85024905392345</v>
      </c>
      <c r="F26" s="2">
        <f t="shared" ca="1" si="5"/>
        <v>0</v>
      </c>
      <c r="G26" s="2">
        <f t="shared" ca="1" si="6"/>
        <v>677.85024905392345</v>
      </c>
      <c r="H26" s="2">
        <f t="shared" ca="1" si="1"/>
        <v>0.35285355430204235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678.20310260822544</v>
      </c>
      <c r="F27" s="2">
        <f t="shared" ca="1" si="5"/>
        <v>0</v>
      </c>
      <c r="G27" s="2">
        <f t="shared" ca="1" si="6"/>
        <v>678.20310260822544</v>
      </c>
      <c r="H27" s="2">
        <f t="shared" ca="1" si="1"/>
        <v>0.35303723149469268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678.55613983972012</v>
      </c>
      <c r="F28" s="2">
        <f t="shared" ca="1" si="5"/>
        <v>0</v>
      </c>
      <c r="G28" s="2">
        <f t="shared" ca="1" si="6"/>
        <v>678.55613983972012</v>
      </c>
      <c r="H28" s="2">
        <f t="shared" ca="1" si="1"/>
        <v>0.35322100430012826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698.90936084402028</v>
      </c>
      <c r="F29" s="2">
        <f t="shared" ca="1" si="5"/>
        <v>0</v>
      </c>
      <c r="G29" s="2">
        <f t="shared" ca="1" si="6"/>
        <v>698.90936084402028</v>
      </c>
      <c r="H29" s="2">
        <f t="shared" ca="1" si="1"/>
        <v>0.36381583167222969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699.27317667569253</v>
      </c>
      <c r="F30" s="2">
        <f t="shared" ca="1" si="5"/>
        <v>0</v>
      </c>
      <c r="G30" s="2">
        <f t="shared" ca="1" si="6"/>
        <v>699.27317667569253</v>
      </c>
      <c r="H30" s="2">
        <f t="shared" ca="1" si="1"/>
        <v>0.36400521525583995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699.63718189094834</v>
      </c>
      <c r="F31" s="2">
        <f t="shared" ca="1" si="5"/>
        <v>0</v>
      </c>
      <c r="G31" s="2">
        <f t="shared" ca="1" si="6"/>
        <v>699.63718189094834</v>
      </c>
      <c r="H31" s="2">
        <f t="shared" ca="1" si="1"/>
        <v>0.3641946974226854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700.00137658837104</v>
      </c>
      <c r="F32" s="2">
        <f t="shared" ca="1" si="5"/>
        <v>0</v>
      </c>
      <c r="G32" s="2">
        <f t="shared" ca="1" si="6"/>
        <v>700.00137658837104</v>
      </c>
      <c r="H32" s="2">
        <f t="shared" ca="1" si="1"/>
        <v>0.36438427822408354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700.36576086659511</v>
      </c>
      <c r="F33" s="2">
        <f t="shared" ca="1" si="5"/>
        <v>0</v>
      </c>
      <c r="G33" s="2">
        <f t="shared" ca="1" si="6"/>
        <v>700.36576086659511</v>
      </c>
      <c r="H33" s="2">
        <f t="shared" ca="1" si="1"/>
        <v>0.36457395771137829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700.73033482430651</v>
      </c>
      <c r="F34" s="2">
        <f t="shared" ca="1" si="5"/>
        <v>0</v>
      </c>
      <c r="G34" s="2">
        <f t="shared" ca="1" si="6"/>
        <v>700.73033482430651</v>
      </c>
      <c r="H34" s="2">
        <f t="shared" ca="1" si="1"/>
        <v>0.36476373593594036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701.09509856024249</v>
      </c>
      <c r="F35" s="2">
        <f t="shared" ca="1" si="5"/>
        <v>0</v>
      </c>
      <c r="G35" s="2">
        <f t="shared" ca="1" si="6"/>
        <v>701.09509856024249</v>
      </c>
      <c r="H35" s="2">
        <f t="shared" ca="1" si="1"/>
        <v>0.36495361294916734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721.46005217319168</v>
      </c>
      <c r="F36" s="2">
        <f t="shared" ca="1" si="5"/>
        <v>0</v>
      </c>
      <c r="G36" s="2">
        <f t="shared" ca="1" si="6"/>
        <v>721.46005217319168</v>
      </c>
      <c r="H36" s="2">
        <f t="shared" ca="1" si="1"/>
        <v>0.37555454770659297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721.83560672089823</v>
      </c>
      <c r="F37" s="2">
        <f t="shared" ca="1" si="5"/>
        <v>0</v>
      </c>
      <c r="G37" s="2">
        <f t="shared" ca="1" si="6"/>
        <v>721.83560672089823</v>
      </c>
      <c r="H37" s="2">
        <f t="shared" ca="1" si="1"/>
        <v>0.37575004185471417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722.21135676275298</v>
      </c>
      <c r="F38" s="2">
        <f t="shared" ca="1" si="5"/>
        <v>0</v>
      </c>
      <c r="G38" s="2">
        <f t="shared" ca="1" si="6"/>
        <v>722.21135676275298</v>
      </c>
      <c r="H38" s="2">
        <f t="shared" ca="1" si="1"/>
        <v>0.37594563776691248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722.58730240051989</v>
      </c>
      <c r="F39" s="2">
        <f t="shared" ca="1" si="5"/>
        <v>118.12230955845556</v>
      </c>
      <c r="G39" s="2">
        <f t="shared" ca="1" si="6"/>
        <v>604.46499284206436</v>
      </c>
      <c r="H39" s="2">
        <f t="shared" ca="1" si="1"/>
        <v>0.31465300997258144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604.77964585203699</v>
      </c>
      <c r="F40" s="2">
        <f t="shared" ca="1" si="5"/>
        <v>0</v>
      </c>
      <c r="G40" s="2">
        <f t="shared" ca="1" si="6"/>
        <v>604.77964585203699</v>
      </c>
      <c r="H40" s="2">
        <f t="shared" ca="1" si="1"/>
        <v>0.31481680195037542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605.09446265398742</v>
      </c>
      <c r="F41" s="2">
        <f t="shared" ca="1" si="5"/>
        <v>0</v>
      </c>
      <c r="G41" s="2">
        <f t="shared" ca="1" si="6"/>
        <v>605.09446265398742</v>
      </c>
      <c r="H41" s="2">
        <f t="shared" ca="1" si="1"/>
        <v>0.31498067918974687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605.40944333317714</v>
      </c>
      <c r="F42" s="2">
        <f t="shared" ca="1" si="5"/>
        <v>0</v>
      </c>
      <c r="G42" s="2">
        <f t="shared" ca="1" si="6"/>
        <v>605.40944333317714</v>
      </c>
      <c r="H42" s="2">
        <f t="shared" ca="1" si="1"/>
        <v>0.3151446417350785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625.7245879749122</v>
      </c>
      <c r="F43" s="2">
        <f t="shared" ca="1" si="5"/>
        <v>0</v>
      </c>
      <c r="G43" s="2">
        <f t="shared" ca="1" si="6"/>
        <v>625.7245879749122</v>
      </c>
      <c r="H43" s="2">
        <f t="shared" ca="1" si="1"/>
        <v>0.32571964853488583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626.05030762344711</v>
      </c>
      <c r="F44" s="2">
        <f t="shared" ca="1" si="5"/>
        <v>0</v>
      </c>
      <c r="G44" s="2">
        <f t="shared" ca="1" si="6"/>
        <v>626.05030762344711</v>
      </c>
      <c r="H44" s="2">
        <f t="shared" ca="1" si="1"/>
        <v>0.32588920122864368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626.37619682467573</v>
      </c>
      <c r="F45" s="2">
        <f t="shared" ca="1" si="5"/>
        <v>0</v>
      </c>
      <c r="G45" s="2">
        <f t="shared" ca="1" si="6"/>
        <v>626.37619682467573</v>
      </c>
      <c r="H45" s="2">
        <f t="shared" ca="1" si="1"/>
        <v>0.32605884218270792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626.70225566685849</v>
      </c>
      <c r="F46" s="2">
        <f t="shared" ca="1" si="5"/>
        <v>0</v>
      </c>
      <c r="G46" s="2">
        <f t="shared" ca="1" si="6"/>
        <v>626.70225566685849</v>
      </c>
      <c r="H46" s="2">
        <f t="shared" ca="1" si="1"/>
        <v>0.3262285714430222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627.02848423830153</v>
      </c>
      <c r="F47" s="2">
        <f t="shared" ca="1" si="5"/>
        <v>0</v>
      </c>
      <c r="G47" s="2">
        <f t="shared" ca="1" si="6"/>
        <v>627.02848423830153</v>
      </c>
      <c r="H47" s="2">
        <f t="shared" ca="1" si="1"/>
        <v>0.32639838905555424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627.35488262735703</v>
      </c>
      <c r="F48" s="2">
        <f t="shared" ca="1" si="5"/>
        <v>0</v>
      </c>
      <c r="G48" s="2">
        <f t="shared" ca="1" si="6"/>
        <v>627.35488262735703</v>
      </c>
      <c r="H48" s="2">
        <f t="shared" ca="1" si="1"/>
        <v>0.32656829506629542</v>
      </c>
      <c r="I48" s="2">
        <f t="shared" ca="1" si="2"/>
        <v>0</v>
      </c>
    </row>
    <row r="49" spans="2:9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627.68145092242332</v>
      </c>
      <c r="F49" s="2">
        <f t="shared" ca="1" si="5"/>
        <v>0</v>
      </c>
      <c r="G49" s="2">
        <f t="shared" ca="1" si="6"/>
        <v>627.68145092242332</v>
      </c>
      <c r="H49" s="2">
        <f t="shared" ca="1" si="1"/>
        <v>0.32673828952126144</v>
      </c>
      <c r="I49" s="2">
        <f t="shared" ca="1" si="2"/>
        <v>20</v>
      </c>
    </row>
    <row r="50" spans="2:9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648.00818921194457</v>
      </c>
      <c r="F50" s="2">
        <f t="shared" ca="1" si="5"/>
        <v>0</v>
      </c>
      <c r="G50" s="2">
        <f t="shared" ca="1" si="6"/>
        <v>648.00818921194457</v>
      </c>
      <c r="H50" s="2">
        <f t="shared" ca="1" si="1"/>
        <v>0.33731933137060127</v>
      </c>
      <c r="I50" s="2">
        <f t="shared" ca="1" si="2"/>
        <v>0</v>
      </c>
    </row>
    <row r="51" spans="2:9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648.34550854331519</v>
      </c>
      <c r="F51" s="2">
        <f t="shared" ca="1" si="5"/>
        <v>0</v>
      </c>
      <c r="G51" s="2">
        <f t="shared" ca="1" si="6"/>
        <v>648.34550854331519</v>
      </c>
      <c r="H51" s="2">
        <f t="shared" ca="1" si="1"/>
        <v>0.33749492225542432</v>
      </c>
      <c r="I51" s="2">
        <f t="shared" ca="1" si="2"/>
        <v>0</v>
      </c>
    </row>
    <row r="52" spans="2:9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648.68300346557066</v>
      </c>
      <c r="F52" s="2">
        <f t="shared" ca="1" si="5"/>
        <v>0</v>
      </c>
      <c r="G52" s="2">
        <f t="shared" ca="1" si="6"/>
        <v>648.68300346557066</v>
      </c>
      <c r="H52" s="2">
        <f t="shared" ca="1" si="1"/>
        <v>0.33767060454372172</v>
      </c>
      <c r="I52" s="2">
        <f t="shared" ca="1" si="2"/>
        <v>0</v>
      </c>
    </row>
    <row r="53" spans="2:9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649.02067407011441</v>
      </c>
      <c r="F53" s="2">
        <f t="shared" ca="1" si="5"/>
        <v>118.12230955845556</v>
      </c>
      <c r="G53" s="2">
        <f t="shared" ca="1" si="6"/>
        <v>530.89836451165888</v>
      </c>
      <c r="H53" s="2">
        <f t="shared" ca="1" si="1"/>
        <v>0.27635805275949366</v>
      </c>
      <c r="I53" s="2">
        <f t="shared" ca="1" si="2"/>
        <v>0</v>
      </c>
    </row>
    <row r="54" spans="2:9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531.1747225644184</v>
      </c>
      <c r="F54" s="2">
        <f t="shared" ca="1" si="5"/>
        <v>0</v>
      </c>
      <c r="G54" s="2">
        <f t="shared" ca="1" si="6"/>
        <v>531.1747225644184</v>
      </c>
      <c r="H54" s="2">
        <f t="shared" ca="1" si="1"/>
        <v>0.27650191037599864</v>
      </c>
      <c r="I54" s="2">
        <f t="shared" ca="1" si="2"/>
        <v>0</v>
      </c>
    </row>
    <row r="55" spans="2:9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531.45122447479446</v>
      </c>
      <c r="F55" s="2">
        <f t="shared" ca="1" si="5"/>
        <v>0</v>
      </c>
      <c r="G55" s="2">
        <f t="shared" ca="1" si="6"/>
        <v>531.45122447479446</v>
      </c>
      <c r="H55" s="2">
        <f t="shared" ca="1" si="1"/>
        <v>0.27664584287729027</v>
      </c>
      <c r="I55" s="2">
        <f t="shared" ca="1" si="2"/>
        <v>0</v>
      </c>
    </row>
    <row r="56" spans="2:9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531.72787031767177</v>
      </c>
      <c r="F56" s="2">
        <f t="shared" ca="1" si="5"/>
        <v>0</v>
      </c>
      <c r="G56" s="2">
        <f t="shared" ca="1" si="6"/>
        <v>531.72787031767177</v>
      </c>
      <c r="H56" s="2">
        <f t="shared" ca="1" si="1"/>
        <v>0.27678985030234965</v>
      </c>
      <c r="I56" s="2">
        <f t="shared" ca="1" si="2"/>
        <v>20</v>
      </c>
    </row>
    <row r="57" spans="2:9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552.00466016797407</v>
      </c>
      <c r="F57" s="2">
        <f t="shared" ca="1" si="5"/>
        <v>0</v>
      </c>
      <c r="G57" s="2">
        <f t="shared" ca="1" si="6"/>
        <v>552.00466016797407</v>
      </c>
      <c r="H57" s="2">
        <f t="shared" ca="1" si="1"/>
        <v>0.28734489159428789</v>
      </c>
      <c r="I57" s="2">
        <f t="shared" ca="1" si="2"/>
        <v>0</v>
      </c>
    </row>
    <row r="58" spans="2:9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552.2920050595684</v>
      </c>
      <c r="F58" s="2">
        <f t="shared" ca="1" si="5"/>
        <v>0</v>
      </c>
      <c r="G58" s="2">
        <f t="shared" ca="1" si="6"/>
        <v>552.2920050595684</v>
      </c>
      <c r="H58" s="2">
        <f t="shared" ca="1" si="1"/>
        <v>0.28749446838717257</v>
      </c>
      <c r="I58" s="2">
        <f t="shared" ca="1" si="2"/>
        <v>0</v>
      </c>
    </row>
    <row r="59" spans="2:9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552.57949952795559</v>
      </c>
      <c r="F59" s="2">
        <f t="shared" ca="1" si="5"/>
        <v>0</v>
      </c>
      <c r="G59" s="2">
        <f t="shared" ca="1" si="6"/>
        <v>552.57949952795559</v>
      </c>
      <c r="H59" s="2">
        <f t="shared" ca="1" si="1"/>
        <v>0.28764412304194947</v>
      </c>
      <c r="I59" s="2">
        <f t="shared" ca="1" si="2"/>
        <v>0</v>
      </c>
    </row>
    <row r="60" spans="2:9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552.86714365099749</v>
      </c>
      <c r="F60" s="2">
        <f t="shared" ca="1" si="5"/>
        <v>0</v>
      </c>
      <c r="G60" s="2">
        <f t="shared" ca="1" si="6"/>
        <v>552.86714365099749</v>
      </c>
      <c r="H60" s="2">
        <f t="shared" ca="1" si="1"/>
        <v>0.28779385559914938</v>
      </c>
      <c r="I60" s="2">
        <f t="shared" ca="1" si="2"/>
        <v>0</v>
      </c>
    </row>
    <row r="61" spans="2:9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553.15493750659664</v>
      </c>
      <c r="F61" s="2">
        <f t="shared" ca="1" si="5"/>
        <v>0</v>
      </c>
      <c r="G61" s="2">
        <f t="shared" ca="1" si="6"/>
        <v>553.15493750659664</v>
      </c>
      <c r="H61" s="2">
        <f t="shared" ca="1" si="1"/>
        <v>0.28794366609932426</v>
      </c>
      <c r="I61" s="2">
        <f t="shared" ca="1" si="2"/>
        <v>0</v>
      </c>
    </row>
    <row r="62" spans="2:9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553.44288117269593</v>
      </c>
      <c r="F62" s="2">
        <f t="shared" ca="1" si="5"/>
        <v>0</v>
      </c>
      <c r="G62" s="2">
        <f t="shared" ca="1" si="6"/>
        <v>553.44288117269593</v>
      </c>
      <c r="H62" s="2">
        <f t="shared" ca="1" si="1"/>
        <v>0.2880935545830472</v>
      </c>
      <c r="I62" s="2">
        <f t="shared" ca="1" si="2"/>
        <v>0</v>
      </c>
    </row>
    <row r="63" spans="2:9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553.73097472727898</v>
      </c>
      <c r="F63" s="2">
        <f t="shared" ca="1" si="5"/>
        <v>0</v>
      </c>
      <c r="G63" s="2">
        <f t="shared" ca="1" si="6"/>
        <v>553.73097472727898</v>
      </c>
      <c r="H63" s="2">
        <f t="shared" ca="1" si="1"/>
        <v>0.28824352109091234</v>
      </c>
      <c r="I63" s="2">
        <f t="shared" ca="1" si="2"/>
        <v>20</v>
      </c>
    </row>
    <row r="64" spans="2:9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574.01921824836984</v>
      </c>
      <c r="F64" s="2">
        <f t="shared" ca="1" si="5"/>
        <v>0</v>
      </c>
      <c r="G64" s="2">
        <f t="shared" ca="1" si="6"/>
        <v>574.01921824836984</v>
      </c>
      <c r="H64" s="2">
        <f t="shared" ca="1" si="1"/>
        <v>0.29880452456764456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574.31802277293752</v>
      </c>
      <c r="F65" s="2">
        <f t="shared" ca="1" si="5"/>
        <v>0</v>
      </c>
      <c r="G65" s="2">
        <f t="shared" ca="1" si="6"/>
        <v>574.31802277293752</v>
      </c>
      <c r="H65" s="2">
        <f t="shared" ca="1" si="1"/>
        <v>0.29896006664892638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574.6169828395864</v>
      </c>
      <c r="F66" s="2">
        <f t="shared" ca="1" si="5"/>
        <v>0</v>
      </c>
      <c r="G66" s="2">
        <f t="shared" ca="1" si="6"/>
        <v>574.6169828395864</v>
      </c>
      <c r="H66" s="2">
        <f t="shared" ca="1" si="1"/>
        <v>0.29911568969731894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574.91609852928377</v>
      </c>
      <c r="F67" s="2">
        <f t="shared" ca="1" si="5"/>
        <v>118.12230955845556</v>
      </c>
      <c r="G67" s="2">
        <f t="shared" ca="1" si="6"/>
        <v>456.79378897082825</v>
      </c>
      <c r="H67" s="2">
        <f t="shared" ca="1" si="1"/>
        <v>0.23778306823139003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457.03157203905965</v>
      </c>
      <c r="F68" s="2">
        <f t="shared" ca="1" si="5"/>
        <v>0</v>
      </c>
      <c r="G68" s="2">
        <f t="shared" ca="1" si="6"/>
        <v>457.03157203905965</v>
      </c>
      <c r="H68" s="2">
        <f t="shared" ca="1" si="1"/>
        <v>0.23790684571896256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457.26947888477861</v>
      </c>
      <c r="F69" s="2">
        <f t="shared" ca="1" si="5"/>
        <v>0</v>
      </c>
      <c r="G69" s="2">
        <f t="shared" ca="1" si="6"/>
        <v>457.26947888477861</v>
      </c>
      <c r="H69" s="2">
        <f t="shared" ca="1" si="1"/>
        <v>0.23803068763865187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457.50750957241723</v>
      </c>
      <c r="F70" s="2">
        <f t="shared" ca="1" si="5"/>
        <v>0</v>
      </c>
      <c r="G70" s="2">
        <f t="shared" ca="1" si="6"/>
        <v>457.50750957241723</v>
      </c>
      <c r="H70" s="2">
        <f t="shared" ca="1" si="1"/>
        <v>0.23815459402399802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477.74566416644126</v>
      </c>
      <c r="F71" s="2">
        <f t="shared" ca="1" si="5"/>
        <v>0</v>
      </c>
      <c r="G71" s="2">
        <f t="shared" ca="1" si="6"/>
        <v>477.74566416644126</v>
      </c>
      <c r="H71" s="2">
        <f t="shared" ca="1" si="1"/>
        <v>0.24868952381266807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477.99435369025394</v>
      </c>
      <c r="F72" s="2">
        <f t="shared" ca="1" si="5"/>
        <v>0</v>
      </c>
      <c r="G72" s="2">
        <f t="shared" ca="1" si="6"/>
        <v>477.99435369025394</v>
      </c>
      <c r="H72" s="2">
        <f t="shared" ca="1" si="1"/>
        <v>0.24881897863328289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478.24317266888721</v>
      </c>
      <c r="F73" s="2">
        <f t="shared" ca="1" si="5"/>
        <v>0</v>
      </c>
      <c r="G73" s="2">
        <f t="shared" ca="1" si="6"/>
        <v>478.24317266888721</v>
      </c>
      <c r="H73" s="2">
        <f t="shared" ca="1" si="1"/>
        <v>0.24894850084133854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478.49212116972853</v>
      </c>
      <c r="F74" s="2">
        <f t="shared" ca="1" si="5"/>
        <v>0</v>
      </c>
      <c r="G74" s="2">
        <f t="shared" ca="1" si="6"/>
        <v>478.49212116972853</v>
      </c>
      <c r="H74" s="2">
        <f t="shared" ca="1" si="1"/>
        <v>0.24907809047191348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478.74119926020046</v>
      </c>
      <c r="F75" s="2">
        <f t="shared" ca="1" si="5"/>
        <v>0</v>
      </c>
      <c r="G75" s="2">
        <f t="shared" ca="1" si="6"/>
        <v>478.74119926020046</v>
      </c>
      <c r="H75" s="2">
        <f t="shared" ca="1" si="1"/>
        <v>0.24920774756010433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478.99040700776055</v>
      </c>
      <c r="F76" s="2">
        <f t="shared" ca="1" si="5"/>
        <v>0</v>
      </c>
      <c r="G76" s="2">
        <f t="shared" ca="1" si="6"/>
        <v>478.99040700776055</v>
      </c>
      <c r="H76" s="2">
        <f t="shared" ref="H76:H139" ca="1" si="11">IF(C76&gt;$C$7,0,(G76)*$C$5/365)</f>
        <v>0.24933747214102603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479.23974447990156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479.23974447990156</v>
      </c>
      <c r="H77" s="2">
        <f t="shared" ca="1" si="11"/>
        <v>0.24946726424981178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499.48921174415136</v>
      </c>
      <c r="F78" s="2">
        <f t="shared" ca="1" si="15"/>
        <v>0</v>
      </c>
      <c r="G78" s="2">
        <f t="shared" ca="1" si="16"/>
        <v>499.48921174415136</v>
      </c>
      <c r="H78" s="2">
        <f t="shared" ca="1" si="11"/>
        <v>0.26000808282572263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499.74921982697708</v>
      </c>
      <c r="F79" s="2">
        <f t="shared" ca="1" si="15"/>
        <v>0</v>
      </c>
      <c r="G79" s="2">
        <f t="shared" ca="1" si="16"/>
        <v>499.74921982697708</v>
      </c>
      <c r="H79" s="2">
        <f t="shared" ca="1" si="11"/>
        <v>0.2601434294989744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500.00936325647604</v>
      </c>
      <c r="F80" s="2">
        <f t="shared" ca="1" si="15"/>
        <v>0</v>
      </c>
      <c r="G80" s="2">
        <f t="shared" ca="1" si="16"/>
        <v>500.00936325647604</v>
      </c>
      <c r="H80" s="2">
        <f t="shared" ca="1" si="11"/>
        <v>0.26027884662665873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500.26964210310268</v>
      </c>
      <c r="F81" s="2">
        <f t="shared" ca="1" si="15"/>
        <v>118.12230955845556</v>
      </c>
      <c r="G81" s="2">
        <f t="shared" ca="1" si="16"/>
        <v>382.14733254464716</v>
      </c>
      <c r="H81" s="2">
        <f t="shared" ca="1" si="11"/>
        <v>0.19892600872187113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382.34625855336901</v>
      </c>
      <c r="F82" s="2">
        <f t="shared" ca="1" si="15"/>
        <v>0</v>
      </c>
      <c r="G82" s="2">
        <f t="shared" ca="1" si="16"/>
        <v>382.34625855336901</v>
      </c>
      <c r="H82" s="2">
        <f t="shared" ca="1" si="11"/>
        <v>0.1990295592469592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382.54528811261599</v>
      </c>
      <c r="F83" s="2">
        <f t="shared" ca="1" si="15"/>
        <v>0</v>
      </c>
      <c r="G83" s="2">
        <f t="shared" ca="1" si="16"/>
        <v>382.54528811261599</v>
      </c>
      <c r="H83" s="2">
        <f t="shared" ca="1" si="11"/>
        <v>0.19913316367506037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382.74442127629106</v>
      </c>
      <c r="F84" s="2">
        <f t="shared" ca="1" si="15"/>
        <v>0</v>
      </c>
      <c r="G84" s="2">
        <f t="shared" ca="1" si="16"/>
        <v>382.74442127629106</v>
      </c>
      <c r="H84" s="2">
        <f t="shared" ca="1" si="11"/>
        <v>0.19923682203423371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402.94365809832527</v>
      </c>
      <c r="F85" s="2">
        <f t="shared" ca="1" si="15"/>
        <v>0</v>
      </c>
      <c r="G85" s="2">
        <f t="shared" ca="1" si="16"/>
        <v>402.94365809832527</v>
      </c>
      <c r="H85" s="2">
        <f t="shared" ca="1" si="11"/>
        <v>0.20975149325666245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403.15340959158192</v>
      </c>
      <c r="F86" s="2">
        <f t="shared" ca="1" si="15"/>
        <v>0</v>
      </c>
      <c r="G86" s="2">
        <f t="shared" ca="1" si="16"/>
        <v>403.15340959158192</v>
      </c>
      <c r="H86" s="2">
        <f t="shared" ca="1" si="11"/>
        <v>0.209860678965481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403.36327027054739</v>
      </c>
      <c r="F87" s="2">
        <f t="shared" ca="1" si="15"/>
        <v>0</v>
      </c>
      <c r="G87" s="2">
        <f t="shared" ca="1" si="16"/>
        <v>403.36327027054739</v>
      </c>
      <c r="H87" s="2">
        <f t="shared" ca="1" si="11"/>
        <v>0.20996992151069593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403.57324019205811</v>
      </c>
      <c r="F88" s="2">
        <f t="shared" ca="1" si="15"/>
        <v>0</v>
      </c>
      <c r="G88" s="2">
        <f t="shared" ca="1" si="16"/>
        <v>403.57324019205811</v>
      </c>
      <c r="H88" s="2">
        <f t="shared" ca="1" si="11"/>
        <v>0.21007922092189327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403.78331941298001</v>
      </c>
      <c r="F89" s="2">
        <f t="shared" ca="1" si="15"/>
        <v>0</v>
      </c>
      <c r="G89" s="2">
        <f t="shared" ca="1" si="16"/>
        <v>403.78331941298001</v>
      </c>
      <c r="H89" s="2">
        <f t="shared" ca="1" si="11"/>
        <v>0.21018857722867451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403.99350799020868</v>
      </c>
      <c r="F90" s="2">
        <f t="shared" ca="1" si="15"/>
        <v>0</v>
      </c>
      <c r="G90" s="2">
        <f t="shared" ca="1" si="16"/>
        <v>403.99350799020868</v>
      </c>
      <c r="H90" s="2">
        <f t="shared" ca="1" si="11"/>
        <v>0.21029799046065659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404.20380598066936</v>
      </c>
      <c r="F91" s="2">
        <f t="shared" ca="1" si="15"/>
        <v>0</v>
      </c>
      <c r="G91" s="2">
        <f t="shared" ca="1" si="16"/>
        <v>404.20380598066936</v>
      </c>
      <c r="H91" s="2">
        <f t="shared" ca="1" si="11"/>
        <v>0.21040746064747173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424.4142134413168</v>
      </c>
      <c r="F92" s="2">
        <f t="shared" ca="1" si="15"/>
        <v>0</v>
      </c>
      <c r="G92" s="2">
        <f t="shared" ca="1" si="16"/>
        <v>424.4142134413168</v>
      </c>
      <c r="H92" s="2">
        <f t="shared" ca="1" si="11"/>
        <v>0.22092794672287727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424.6351413880397</v>
      </c>
      <c r="F93" s="2">
        <f t="shared" ca="1" si="15"/>
        <v>0</v>
      </c>
      <c r="G93" s="2">
        <f t="shared" ca="1" si="16"/>
        <v>424.6351413880397</v>
      </c>
      <c r="H93" s="2">
        <f t="shared" ca="1" si="11"/>
        <v>0.2210429503115823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424.85618433835128</v>
      </c>
      <c r="F94" s="2">
        <f t="shared" ca="1" si="15"/>
        <v>0</v>
      </c>
      <c r="G94" s="2">
        <f t="shared" ca="1" si="16"/>
        <v>424.85618433835128</v>
      </c>
      <c r="H94" s="2">
        <f t="shared" ca="1" si="11"/>
        <v>0.22115801376516916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425.07734235211643</v>
      </c>
      <c r="F95" s="2">
        <f t="shared" ca="1" si="15"/>
        <v>118.12230955845556</v>
      </c>
      <c r="G95" s="2">
        <f t="shared" ca="1" si="16"/>
        <v>306.95503279366085</v>
      </c>
      <c r="H95" s="2">
        <f t="shared" ca="1" si="11"/>
        <v>0.15978481159122071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307.11481760525209</v>
      </c>
      <c r="F96" s="2">
        <f t="shared" ca="1" si="15"/>
        <v>0</v>
      </c>
      <c r="G96" s="2">
        <f t="shared" ca="1" si="16"/>
        <v>307.11481760525209</v>
      </c>
      <c r="H96" s="2">
        <f t="shared" ca="1" si="11"/>
        <v>0.15986798724656959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307.27468559249866</v>
      </c>
      <c r="F97" s="2">
        <f t="shared" ca="1" si="15"/>
        <v>0</v>
      </c>
      <c r="G97" s="2">
        <f t="shared" ca="1" si="16"/>
        <v>307.27468559249866</v>
      </c>
      <c r="H97" s="2">
        <f t="shared" ca="1" si="11"/>
        <v>0.15995120619883491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307.43463679869751</v>
      </c>
      <c r="F98" s="2">
        <f t="shared" ca="1" si="15"/>
        <v>0</v>
      </c>
      <c r="G98" s="2">
        <f t="shared" ca="1" si="16"/>
        <v>307.43463679869751</v>
      </c>
      <c r="H98" s="2">
        <f t="shared" ca="1" si="11"/>
        <v>0.16003446847055486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327.59467126716805</v>
      </c>
      <c r="F99" s="2">
        <f t="shared" ca="1" si="15"/>
        <v>0</v>
      </c>
      <c r="G99" s="2">
        <f t="shared" ca="1" si="16"/>
        <v>327.59467126716805</v>
      </c>
      <c r="H99" s="2">
        <f t="shared" ca="1" si="11"/>
        <v>0.17052873298838886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327.76520000015643</v>
      </c>
      <c r="F100" s="2">
        <f t="shared" ca="1" si="15"/>
        <v>0</v>
      </c>
      <c r="G100" s="2">
        <f t="shared" ca="1" si="16"/>
        <v>327.76520000015643</v>
      </c>
      <c r="H100" s="2">
        <f t="shared" ca="1" si="11"/>
        <v>0.17061750136994444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327.93581750152634</v>
      </c>
      <c r="F101" s="2">
        <f t="shared" ca="1" si="15"/>
        <v>0</v>
      </c>
      <c r="G101" s="2">
        <f t="shared" ca="1" si="16"/>
        <v>327.93581750152634</v>
      </c>
      <c r="H101" s="2">
        <f t="shared" ca="1" si="11"/>
        <v>0.17070631595969865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328.10652381748605</v>
      </c>
      <c r="F102" s="2">
        <f t="shared" ca="1" si="15"/>
        <v>0</v>
      </c>
      <c r="G102" s="2">
        <f t="shared" ca="1" si="16"/>
        <v>328.10652381748605</v>
      </c>
      <c r="H102" s="2">
        <f t="shared" ca="1" si="11"/>
        <v>0.17079517678170508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ca="1" si="14"/>
        <v>328.27731899426777</v>
      </c>
      <c r="F103" s="2">
        <f t="shared" ca="1" si="15"/>
        <v>0</v>
      </c>
      <c r="G103" s="2">
        <f t="shared" ca="1" si="16"/>
        <v>328.27731899426777</v>
      </c>
      <c r="H103" s="2">
        <f t="shared" ca="1" si="11"/>
        <v>0.17088408386002982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ca="1" si="14"/>
        <v>328.44820307812779</v>
      </c>
      <c r="F104" s="2">
        <f t="shared" ca="1" si="15"/>
        <v>0</v>
      </c>
      <c r="G104" s="2">
        <f t="shared" ca="1" si="16"/>
        <v>328.44820307812779</v>
      </c>
      <c r="H104" s="2">
        <f t="shared" ca="1" si="11"/>
        <v>0.17097303721875146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ca="1" si="14"/>
        <v>328.61917611534653</v>
      </c>
      <c r="F105" s="2">
        <f t="shared" ca="1" si="15"/>
        <v>0</v>
      </c>
      <c r="G105" s="2">
        <f t="shared" ca="1" si="16"/>
        <v>328.61917611534653</v>
      </c>
      <c r="H105" s="2">
        <f t="shared" ca="1" si="11"/>
        <v>0.1710620368819612</v>
      </c>
      <c r="I105" s="2">
        <f t="shared" ca="1" si="12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ca="1" si="14"/>
        <v>348.79023815222848</v>
      </c>
      <c r="F106" s="2">
        <f t="shared" ca="1" si="15"/>
        <v>0</v>
      </c>
      <c r="G106" s="2">
        <f t="shared" ca="1" si="16"/>
        <v>348.79023815222848</v>
      </c>
      <c r="H106" s="2">
        <f t="shared" ca="1" si="11"/>
        <v>0.18156204177787236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ca="1" si="14"/>
        <v>348.97180019400633</v>
      </c>
      <c r="F107" s="2">
        <f t="shared" ca="1" si="15"/>
        <v>0</v>
      </c>
      <c r="G107" s="2">
        <f t="shared" ca="1" si="16"/>
        <v>348.97180019400633</v>
      </c>
      <c r="H107" s="2">
        <f t="shared" ca="1" si="11"/>
        <v>0.18165655352564716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ca="1" si="14"/>
        <v>349.153456747532</v>
      </c>
      <c r="F108" s="2">
        <f t="shared" ca="1" si="15"/>
        <v>0</v>
      </c>
      <c r="G108" s="2">
        <f t="shared" ca="1" si="16"/>
        <v>349.153456747532</v>
      </c>
      <c r="H108" s="2">
        <f t="shared" ca="1" si="11"/>
        <v>0.18175111447131803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ca="1" si="14"/>
        <v>349.3352078620033</v>
      </c>
      <c r="F109" s="2">
        <f t="shared" ca="1" si="15"/>
        <v>118.12230955845556</v>
      </c>
      <c r="G109" s="2">
        <f t="shared" ca="1" si="16"/>
        <v>231.21289830354775</v>
      </c>
      <c r="H109" s="2">
        <f t="shared" ca="1" si="11"/>
        <v>0.12035739911691527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ca="1" si="14"/>
        <v>231.33325570266467</v>
      </c>
      <c r="F110" s="2">
        <f t="shared" ca="1" si="15"/>
        <v>0</v>
      </c>
      <c r="G110" s="2">
        <f t="shared" ca="1" si="16"/>
        <v>231.33325570266467</v>
      </c>
      <c r="H110" s="2">
        <f t="shared" ca="1" si="11"/>
        <v>0.12042005091371585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ca="1" si="14"/>
        <v>231.45367575357838</v>
      </c>
      <c r="F111" s="2">
        <f t="shared" ca="1" si="15"/>
        <v>0</v>
      </c>
      <c r="G111" s="2">
        <f t="shared" ca="1" si="16"/>
        <v>231.45367575357838</v>
      </c>
      <c r="H111" s="2">
        <f t="shared" ca="1" si="11"/>
        <v>0.12048273532378052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ca="1" si="14"/>
        <v>231.57415848890216</v>
      </c>
      <c r="F112" s="2">
        <f t="shared" ca="1" si="15"/>
        <v>0</v>
      </c>
      <c r="G112" s="2">
        <f t="shared" ca="1" si="16"/>
        <v>231.57415848890216</v>
      </c>
      <c r="H112" s="2">
        <f t="shared" ca="1" si="11"/>
        <v>0.12054545236408605</v>
      </c>
      <c r="I112" s="2">
        <f t="shared" ca="1" si="12"/>
        <v>20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ca="1" si="14"/>
        <v>251.69470394126625</v>
      </c>
      <c r="F113" s="2">
        <f t="shared" ca="1" si="15"/>
        <v>0</v>
      </c>
      <c r="G113" s="2">
        <f t="shared" ca="1" si="16"/>
        <v>251.69470394126625</v>
      </c>
      <c r="H113" s="2">
        <f t="shared" ca="1" si="11"/>
        <v>0.13101916095572763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ca="1" si="14"/>
        <v>251.82572310222199</v>
      </c>
      <c r="F114" s="2">
        <f t="shared" ca="1" si="15"/>
        <v>0</v>
      </c>
      <c r="G114" s="2">
        <f t="shared" ca="1" si="16"/>
        <v>251.82572310222199</v>
      </c>
      <c r="H114" s="2">
        <f t="shared" ca="1" si="11"/>
        <v>0.1310873627107457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ca="1" si="14"/>
        <v>251.95681046493274</v>
      </c>
      <c r="F115" s="2">
        <f t="shared" ca="1" si="15"/>
        <v>0</v>
      </c>
      <c r="G115" s="2">
        <f t="shared" ca="1" si="16"/>
        <v>251.95681046493274</v>
      </c>
      <c r="H115" s="2">
        <f t="shared" ca="1" si="11"/>
        <v>0.13115559996804718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ca="1" si="14"/>
        <v>252.0879660649008</v>
      </c>
      <c r="F116" s="2">
        <f t="shared" ca="1" si="15"/>
        <v>0</v>
      </c>
      <c r="G116" s="2">
        <f t="shared" ca="1" si="16"/>
        <v>252.0879660649008</v>
      </c>
      <c r="H116" s="2">
        <f t="shared" ca="1" si="11"/>
        <v>0.13122387274611275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ca="1" si="14"/>
        <v>252.21918993764692</v>
      </c>
      <c r="F117" s="2">
        <f t="shared" ca="1" si="15"/>
        <v>0</v>
      </c>
      <c r="G117" s="2">
        <f t="shared" ca="1" si="16"/>
        <v>252.21918993764692</v>
      </c>
      <c r="H117" s="2">
        <f t="shared" ca="1" si="11"/>
        <v>0.13129218106343263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ca="1" si="14"/>
        <v>252.35048211871035</v>
      </c>
      <c r="F118" s="2">
        <f t="shared" ca="1" si="15"/>
        <v>0</v>
      </c>
      <c r="G118" s="2">
        <f t="shared" ca="1" si="16"/>
        <v>252.35048211871035</v>
      </c>
      <c r="H118" s="2">
        <f t="shared" ca="1" si="11"/>
        <v>0.13136052493850675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ca="1" si="14"/>
        <v>252.48184264364886</v>
      </c>
      <c r="F119" s="2">
        <f t="shared" ca="1" si="15"/>
        <v>0</v>
      </c>
      <c r="G119" s="2">
        <f t="shared" ca="1" si="16"/>
        <v>252.48184264364886</v>
      </c>
      <c r="H119" s="2">
        <f t="shared" ca="1" si="11"/>
        <v>0.13142890438984461</v>
      </c>
      <c r="I119" s="2">
        <f t="shared" ca="1" si="12"/>
        <v>20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ca="1" si="14"/>
        <v>272.61327154803871</v>
      </c>
      <c r="F120" s="2">
        <f t="shared" ca="1" si="15"/>
        <v>0</v>
      </c>
      <c r="G120" s="2">
        <f t="shared" ca="1" si="16"/>
        <v>272.61327154803871</v>
      </c>
      <c r="H120" s="2">
        <f t="shared" ca="1" si="11"/>
        <v>0.14190827834007494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ca="1" si="14"/>
        <v>272.75517982637876</v>
      </c>
      <c r="F121" s="2">
        <f t="shared" ca="1" si="15"/>
        <v>0</v>
      </c>
      <c r="G121" s="2">
        <f t="shared" ca="1" si="16"/>
        <v>272.75517982637876</v>
      </c>
      <c r="H121" s="2">
        <f t="shared" ca="1" si="11"/>
        <v>0.14198214840277251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ca="1" si="14"/>
        <v>272.89716197478151</v>
      </c>
      <c r="F122" s="2">
        <f t="shared" ca="1" si="15"/>
        <v>0</v>
      </c>
      <c r="G122" s="2">
        <f t="shared" ca="1" si="16"/>
        <v>272.89716197478151</v>
      </c>
      <c r="H122" s="2">
        <f t="shared" ca="1" si="11"/>
        <v>0.14205605691837941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ca="1" si="14"/>
        <v>273.03921803169987</v>
      </c>
      <c r="F123" s="2">
        <f t="shared" ca="1" si="15"/>
        <v>118.12230955845556</v>
      </c>
      <c r="G123" s="2">
        <f t="shared" ca="1" si="16"/>
        <v>154.91690847324432</v>
      </c>
      <c r="H123" s="2">
        <f t="shared" ca="1" si="11"/>
        <v>8.0641678383332666E-2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ca="1" si="14"/>
        <v>154.99755015162765</v>
      </c>
      <c r="F124" s="2">
        <f t="shared" ca="1" si="15"/>
        <v>0</v>
      </c>
      <c r="G124" s="2">
        <f t="shared" ca="1" si="16"/>
        <v>154.99755015162765</v>
      </c>
      <c r="H124" s="2">
        <f t="shared" ca="1" si="11"/>
        <v>8.0683656243313015E-2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ca="1" si="14"/>
        <v>155.07823380787096</v>
      </c>
      <c r="F125" s="2">
        <f t="shared" ca="1" si="15"/>
        <v>0</v>
      </c>
      <c r="G125" s="2">
        <f t="shared" ca="1" si="16"/>
        <v>155.07823380787096</v>
      </c>
      <c r="H125" s="2">
        <f t="shared" ca="1" si="11"/>
        <v>8.0725655954782136E-2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ca="1" si="14"/>
        <v>155.15895946382574</v>
      </c>
      <c r="F126" s="2">
        <f t="shared" ca="1" si="15"/>
        <v>0</v>
      </c>
      <c r="G126" s="2">
        <f t="shared" ca="1" si="16"/>
        <v>155.15895946382574</v>
      </c>
      <c r="H126" s="2">
        <f t="shared" ca="1" si="11"/>
        <v>8.0767677529114762E-2</v>
      </c>
      <c r="I126" s="2">
        <f t="shared" ca="1" si="12"/>
        <v>20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ca="1" si="14"/>
        <v>175.23972714135485</v>
      </c>
      <c r="F127" s="2">
        <f t="shared" ca="1" si="15"/>
        <v>0</v>
      </c>
      <c r="G127" s="2">
        <f t="shared" ca="1" si="16"/>
        <v>175.23972714135485</v>
      </c>
      <c r="H127" s="2">
        <f t="shared" ca="1" si="11"/>
        <v>9.1220679881801159E-2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ca="1" si="14"/>
        <v>175.33094782123666</v>
      </c>
      <c r="F128" s="2">
        <f t="shared" ca="1" si="15"/>
        <v>0</v>
      </c>
      <c r="G128" s="2">
        <f t="shared" ca="1" si="16"/>
        <v>175.33094782123666</v>
      </c>
      <c r="H128" s="2">
        <f t="shared" ca="1" si="11"/>
        <v>9.1268164619273881E-2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ca="1" si="14"/>
        <v>175.42221598585593</v>
      </c>
      <c r="F129" s="2">
        <f t="shared" ca="1" si="15"/>
        <v>0</v>
      </c>
      <c r="G129" s="2">
        <f t="shared" ca="1" si="16"/>
        <v>175.42221598585593</v>
      </c>
      <c r="H129" s="2">
        <f t="shared" ca="1" si="11"/>
        <v>9.1315674074829115E-2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ca="1" si="14"/>
        <v>175.51353165993075</v>
      </c>
      <c r="F130" s="2">
        <f t="shared" ca="1" si="15"/>
        <v>0</v>
      </c>
      <c r="G130" s="2">
        <f t="shared" ca="1" si="16"/>
        <v>175.51353165993075</v>
      </c>
      <c r="H130" s="2">
        <f t="shared" ca="1" si="11"/>
        <v>9.1363208261333803E-2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ca="1" si="14"/>
        <v>175.60489486819208</v>
      </c>
      <c r="F131" s="2">
        <f t="shared" ca="1" si="15"/>
        <v>0</v>
      </c>
      <c r="G131" s="2">
        <f t="shared" ca="1" si="16"/>
        <v>175.60489486819208</v>
      </c>
      <c r="H131" s="2">
        <f t="shared" ca="1" si="11"/>
        <v>9.1410767191661621E-2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ca="1" si="14"/>
        <v>175.69630563538374</v>
      </c>
      <c r="F132" s="2">
        <f t="shared" ca="1" si="15"/>
        <v>0</v>
      </c>
      <c r="G132" s="2">
        <f t="shared" ca="1" si="16"/>
        <v>175.69630563538374</v>
      </c>
      <c r="H132" s="2">
        <f t="shared" ca="1" si="11"/>
        <v>9.1458350878692904E-2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ca="1" si="14"/>
        <v>175.78776398626243</v>
      </c>
      <c r="F133" s="2">
        <f t="shared" ca="1" si="15"/>
        <v>0</v>
      </c>
      <c r="G133" s="2">
        <f t="shared" ca="1" si="16"/>
        <v>175.78776398626243</v>
      </c>
      <c r="H133" s="2">
        <f t="shared" ca="1" si="11"/>
        <v>9.1505959335314704E-2</v>
      </c>
      <c r="I133" s="2">
        <f t="shared" ca="1" si="12"/>
        <v>20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ca="1" si="14"/>
        <v>195.87926994559774</v>
      </c>
      <c r="F134" s="2">
        <f t="shared" ca="1" si="15"/>
        <v>0</v>
      </c>
      <c r="G134" s="2">
        <f t="shared" ca="1" si="16"/>
        <v>195.87926994559774</v>
      </c>
      <c r="H134" s="2">
        <f t="shared" ca="1" si="11"/>
        <v>0.10196455147853033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ca="1" si="14"/>
        <v>195.98123449707626</v>
      </c>
      <c r="F135" s="2">
        <f t="shared" ca="1" si="15"/>
        <v>0</v>
      </c>
      <c r="G135" s="2">
        <f t="shared" ca="1" si="16"/>
        <v>195.98123449707626</v>
      </c>
      <c r="H135" s="2">
        <f t="shared" ca="1" si="11"/>
        <v>0.10201762891628628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ca="1" si="14"/>
        <v>196.08325212599254</v>
      </c>
      <c r="F136" s="2">
        <f t="shared" ca="1" si="15"/>
        <v>0</v>
      </c>
      <c r="G136" s="2">
        <f t="shared" ca="1" si="16"/>
        <v>196.08325212599254</v>
      </c>
      <c r="H136" s="2">
        <f t="shared" ca="1" si="11"/>
        <v>0.10207073398339338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ca="1" si="14"/>
        <v>196.18532285997594</v>
      </c>
      <c r="F137" s="2">
        <f t="shared" ca="1" si="15"/>
        <v>118.12230955845556</v>
      </c>
      <c r="G137" s="2">
        <f t="shared" ca="1" si="16"/>
        <v>78.063013301520385</v>
      </c>
      <c r="H137" s="2">
        <f t="shared" ca="1" si="11"/>
        <v>4.0635541170654446E-2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ca="1" si="14"/>
        <v>78.103648842691044</v>
      </c>
      <c r="F138" s="2">
        <f t="shared" ca="1" si="15"/>
        <v>0</v>
      </c>
      <c r="G138" s="2">
        <f t="shared" ca="1" si="16"/>
        <v>78.103648842691044</v>
      </c>
      <c r="H138" s="2">
        <f t="shared" ca="1" si="11"/>
        <v>4.0656693918113149E-2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ca="1" si="14"/>
        <v>78.144305536609153</v>
      </c>
      <c r="F139" s="2">
        <f t="shared" ca="1" si="15"/>
        <v>0</v>
      </c>
      <c r="G139" s="2">
        <f t="shared" ca="1" si="16"/>
        <v>78.144305536609153</v>
      </c>
      <c r="H139" s="2">
        <f t="shared" ca="1" si="11"/>
        <v>4.0677857676591066E-2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ca="1" si="14"/>
        <v>78.184983394285737</v>
      </c>
      <c r="F140" s="2">
        <f t="shared" ca="1" si="15"/>
        <v>0</v>
      </c>
      <c r="G140" s="2">
        <f t="shared" ca="1" si="16"/>
        <v>78.184983394285737</v>
      </c>
      <c r="H140" s="2">
        <f t="shared" ref="H140:H203" ca="1" si="21">IF(C140&gt;$C$7,0,(G140)*$C$5/365)</f>
        <v>4.0699032451819973E-2</v>
      </c>
      <c r="I140" s="2">
        <f t="shared" ref="I140:I203" ca="1" si="22">IF(AND(C140=0,D140=7),$C$6,IF(C140=$C$7,0,IF(C140&lt;$C$7,IF(D140=7,$C$6,0),0)))</f>
        <v>20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ca="1" si="24">IF(C141&gt;$C$7,0,G140+H140+I140)</f>
        <v>98.225682426737563</v>
      </c>
      <c r="F141" s="2">
        <f t="shared" ref="F141:F204" ca="1" si="25">IF(C141&gt;$C$7,0,IF(ROUND(E141,0)&gt;0,IF(C141=0,0,IF(MOD(C141,$C$3)&gt;0,0,$C$8)),0))</f>
        <v>0</v>
      </c>
      <c r="G141" s="2">
        <f t="shared" ref="G141:G204" ca="1" si="26">IF(C141&gt;$C$7,G140,E141-F141)</f>
        <v>98.225682426737563</v>
      </c>
      <c r="H141" s="2">
        <f t="shared" ca="1" si="21"/>
        <v>5.1131177153644208E-2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ca="1" si="24"/>
        <v>98.276813603891213</v>
      </c>
      <c r="F142" s="2">
        <f t="shared" ca="1" si="25"/>
        <v>0</v>
      </c>
      <c r="G142" s="2">
        <f t="shared" ca="1" si="26"/>
        <v>98.276813603891213</v>
      </c>
      <c r="H142" s="2">
        <f t="shared" ca="1" si="21"/>
        <v>5.1157793382847476E-2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ca="1" si="24"/>
        <v>98.327971397274055</v>
      </c>
      <c r="F143" s="2">
        <f t="shared" ca="1" si="25"/>
        <v>0</v>
      </c>
      <c r="G143" s="2">
        <f t="shared" ca="1" si="26"/>
        <v>98.327971397274055</v>
      </c>
      <c r="H143" s="2">
        <f t="shared" ca="1" si="21"/>
        <v>5.1184423467074164E-2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ca="1" si="24"/>
        <v>98.379155820741133</v>
      </c>
      <c r="F144" s="2">
        <f t="shared" ca="1" si="25"/>
        <v>0</v>
      </c>
      <c r="G144" s="2">
        <f t="shared" ca="1" si="26"/>
        <v>98.379155820741133</v>
      </c>
      <c r="H144" s="2">
        <f t="shared" ca="1" si="21"/>
        <v>5.1211067413536482E-2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ca="1" si="24"/>
        <v>98.430366888154666</v>
      </c>
      <c r="F145" s="2">
        <f t="shared" ca="1" si="25"/>
        <v>0</v>
      </c>
      <c r="G145" s="2">
        <f t="shared" ca="1" si="26"/>
        <v>98.430366888154666</v>
      </c>
      <c r="H145" s="2">
        <f t="shared" ca="1" si="21"/>
        <v>5.1237725229450373E-2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ca="1" si="24"/>
        <v>98.481604613384121</v>
      </c>
      <c r="F146" s="2">
        <f t="shared" ca="1" si="25"/>
        <v>0</v>
      </c>
      <c r="G146" s="2">
        <f t="shared" ca="1" si="26"/>
        <v>98.481604613384121</v>
      </c>
      <c r="H146" s="2">
        <f t="shared" ca="1" si="21"/>
        <v>5.126439692203557E-2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ca="1" si="24"/>
        <v>98.532869010306158</v>
      </c>
      <c r="F147" s="2">
        <f t="shared" ca="1" si="25"/>
        <v>0</v>
      </c>
      <c r="G147" s="2">
        <f t="shared" ca="1" si="26"/>
        <v>98.532869010306158</v>
      </c>
      <c r="H147" s="2">
        <f t="shared" ca="1" si="21"/>
        <v>5.1291082498515529E-2</v>
      </c>
      <c r="I147" s="2">
        <f t="shared" ca="1" si="22"/>
        <v>20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ca="1" si="24"/>
        <v>118.58416009280467</v>
      </c>
      <c r="F148" s="2">
        <f t="shared" ca="1" si="25"/>
        <v>0</v>
      </c>
      <c r="G148" s="2">
        <f t="shared" ca="1" si="26"/>
        <v>118.58416009280467</v>
      </c>
      <c r="H148" s="2">
        <f t="shared" ca="1" si="21"/>
        <v>6.1728740870227082E-2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ca="1" si="24"/>
        <v>118.64588883367489</v>
      </c>
      <c r="F149" s="2">
        <f t="shared" ca="1" si="25"/>
        <v>0</v>
      </c>
      <c r="G149" s="2">
        <f t="shared" ca="1" si="26"/>
        <v>118.64588883367489</v>
      </c>
      <c r="H149" s="2">
        <f t="shared" ca="1" si="21"/>
        <v>6.1760873639447204E-2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ca="1" si="24"/>
        <v>118.70764970731433</v>
      </c>
      <c r="F150" s="2">
        <f t="shared" ca="1" si="25"/>
        <v>0</v>
      </c>
      <c r="G150" s="2">
        <f t="shared" ca="1" si="26"/>
        <v>118.70764970731433</v>
      </c>
      <c r="H150" s="2">
        <f t="shared" ca="1" si="21"/>
        <v>6.1793023135314304E-2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ca="1" si="24"/>
        <v>118.76944273044964</v>
      </c>
      <c r="F151" s="2">
        <f t="shared" ca="1" si="25"/>
        <v>118.12230955845556</v>
      </c>
      <c r="G151" s="2">
        <f t="shared" ca="1" si="26"/>
        <v>0.64713317199408493</v>
      </c>
      <c r="H151" s="2">
        <f t="shared" ca="1" si="21"/>
        <v>3.3686384295582506E-4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si="24"/>
        <v>0</v>
      </c>
      <c r="F152" s="2">
        <f t="shared" si="25"/>
        <v>0</v>
      </c>
      <c r="G152" s="2">
        <f t="shared" ca="1" si="26"/>
        <v>0.64713317199408493</v>
      </c>
      <c r="H152" s="2">
        <f t="shared" si="21"/>
        <v>0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si="24"/>
        <v>0</v>
      </c>
      <c r="F153" s="2">
        <f t="shared" si="25"/>
        <v>0</v>
      </c>
      <c r="G153" s="2">
        <f t="shared" ca="1" si="26"/>
        <v>0.64713317199408493</v>
      </c>
      <c r="H153" s="2">
        <f t="shared" si="21"/>
        <v>0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si="24"/>
        <v>0</v>
      </c>
      <c r="F154" s="2">
        <f t="shared" si="25"/>
        <v>0</v>
      </c>
      <c r="G154" s="2">
        <f t="shared" ca="1" si="26"/>
        <v>0.64713317199408493</v>
      </c>
      <c r="H154" s="2">
        <f t="shared" si="21"/>
        <v>0</v>
      </c>
      <c r="I154" s="2">
        <f t="shared" ca="1" si="22"/>
        <v>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si="24"/>
        <v>0</v>
      </c>
      <c r="F155" s="2">
        <f t="shared" si="25"/>
        <v>0</v>
      </c>
      <c r="G155" s="2">
        <f t="shared" ca="1" si="26"/>
        <v>0.64713317199408493</v>
      </c>
      <c r="H155" s="2">
        <f t="shared" si="21"/>
        <v>0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si="24"/>
        <v>0</v>
      </c>
      <c r="F156" s="2">
        <f t="shared" si="25"/>
        <v>0</v>
      </c>
      <c r="G156" s="2">
        <f t="shared" ca="1" si="26"/>
        <v>0.64713317199408493</v>
      </c>
      <c r="H156" s="2">
        <f t="shared" si="21"/>
        <v>0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si="24"/>
        <v>0</v>
      </c>
      <c r="F157" s="2">
        <f t="shared" si="25"/>
        <v>0</v>
      </c>
      <c r="G157" s="2">
        <f t="shared" ca="1" si="26"/>
        <v>0.64713317199408493</v>
      </c>
      <c r="H157" s="2">
        <f t="shared" si="21"/>
        <v>0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si="24"/>
        <v>0</v>
      </c>
      <c r="F158" s="2">
        <f t="shared" si="25"/>
        <v>0</v>
      </c>
      <c r="G158" s="2">
        <f t="shared" ca="1" si="26"/>
        <v>0.64713317199408493</v>
      </c>
      <c r="H158" s="2">
        <f t="shared" si="21"/>
        <v>0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si="24"/>
        <v>0</v>
      </c>
      <c r="F159" s="2">
        <f t="shared" si="25"/>
        <v>0</v>
      </c>
      <c r="G159" s="2">
        <f t="shared" ca="1" si="26"/>
        <v>0.64713317199408493</v>
      </c>
      <c r="H159" s="2">
        <f t="shared" si="21"/>
        <v>0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si="24"/>
        <v>0</v>
      </c>
      <c r="F160" s="2">
        <f t="shared" si="25"/>
        <v>0</v>
      </c>
      <c r="G160" s="2">
        <f t="shared" ca="1" si="26"/>
        <v>0.64713317199408493</v>
      </c>
      <c r="H160" s="2">
        <f t="shared" si="21"/>
        <v>0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si="24"/>
        <v>0</v>
      </c>
      <c r="F161" s="2">
        <f t="shared" si="25"/>
        <v>0</v>
      </c>
      <c r="G161" s="2">
        <f t="shared" ca="1" si="26"/>
        <v>0.64713317199408493</v>
      </c>
      <c r="H161" s="2">
        <f t="shared" si="21"/>
        <v>0</v>
      </c>
      <c r="I161" s="2">
        <f t="shared" ca="1" si="22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si="24"/>
        <v>0</v>
      </c>
      <c r="F162" s="2">
        <f t="shared" si="25"/>
        <v>0</v>
      </c>
      <c r="G162" s="2">
        <f t="shared" ca="1" si="26"/>
        <v>0.64713317199408493</v>
      </c>
      <c r="H162" s="2">
        <f t="shared" si="21"/>
        <v>0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si="24"/>
        <v>0</v>
      </c>
      <c r="F163" s="2">
        <f t="shared" si="25"/>
        <v>0</v>
      </c>
      <c r="G163" s="2">
        <f t="shared" ca="1" si="26"/>
        <v>0.64713317199408493</v>
      </c>
      <c r="H163" s="2">
        <f t="shared" si="21"/>
        <v>0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si="24"/>
        <v>0</v>
      </c>
      <c r="F164" s="2">
        <f t="shared" si="25"/>
        <v>0</v>
      </c>
      <c r="G164" s="2">
        <f t="shared" ca="1" si="26"/>
        <v>0.64713317199408493</v>
      </c>
      <c r="H164" s="2">
        <f t="shared" si="21"/>
        <v>0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si="24"/>
        <v>0</v>
      </c>
      <c r="F165" s="2">
        <f t="shared" si="25"/>
        <v>0</v>
      </c>
      <c r="G165" s="2">
        <f t="shared" ca="1" si="26"/>
        <v>0.64713317199408493</v>
      </c>
      <c r="H165" s="2">
        <f t="shared" si="21"/>
        <v>0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0.64713317199408493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0.64713317199408493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0.64713317199408493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0.64713317199408493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0.64713317199408493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0.64713317199408493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0.64713317199408493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0.64713317199408493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0.64713317199408493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0.64713317199408493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0.64713317199408493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0.64713317199408493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0.64713317199408493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0.64713317199408493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0.64713317199408493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0.64713317199408493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0.64713317199408493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0.64713317199408493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0.64713317199408493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0.64713317199408493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0.64713317199408493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0.64713317199408493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0.64713317199408493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0.64713317199408493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0.64713317199408493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0.64713317199408493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0.64713317199408493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0.64713317199408493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0.64713317199408493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0.64713317199408493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0.64713317199408493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0.64713317199408493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0.64713317199408493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0.64713317199408493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0.64713317199408493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0.64713317199408493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0.64713317199408493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0.64713317199408493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0.64713317199408493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0.64713317199408493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0.64713317199408493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0.64713317199408493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0.64713317199408493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0.64713317199408493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0.64713317199408493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0.64713317199408493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B11:I211">
    <cfRule type="expression" dxfId="41" priority="3">
      <formula>$C11=$C$7</formula>
    </cfRule>
    <cfRule type="expression" dxfId="40" priority="4">
      <formula>$C11&gt;$C$7</formula>
    </cfRule>
  </conditionalFormatting>
  <conditionalFormatting sqref="E7">
    <cfRule type="cellIs" dxfId="39" priority="1" operator="equal">
      <formula>"No RESET Required"</formula>
    </cfRule>
    <cfRule type="cellIs" dxfId="38" priority="2" operator="equal">
      <formula>"RESET"</formula>
    </cfRule>
  </conditionalFormatting>
  <hyperlinks>
    <hyperlink ref="H2:I4" location="Summary!A1" display="Return to Home" xr:uid="{388179BA-DBC1-497F-97C9-F5E7E1D6AC10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8</xdr:col>
                    <xdr:colOff>1422400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74A85-85EB-40AD-AE6C-098C6C4E9132}">
  <sheetPr codeName="Sheet14">
    <tabColor rgb="FF7030A0"/>
  </sheetPr>
  <dimension ref="B1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8.5" bestFit="1" customWidth="1"/>
    <col min="8" max="8" width="13" customWidth="1"/>
    <col min="9" max="9" width="25" bestFit="1" customWidth="1"/>
  </cols>
  <sheetData>
    <row r="1" spans="2:9" ht="16" thickBot="1" x14ac:dyDescent="0.25"/>
    <row r="2" spans="2:9" x14ac:dyDescent="0.2">
      <c r="B2" s="1" t="s">
        <v>0</v>
      </c>
      <c r="C2" s="13">
        <v>1000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9" x14ac:dyDescent="0.2">
      <c r="B3" s="1" t="s">
        <v>2</v>
      </c>
      <c r="C3" s="11">
        <v>14</v>
      </c>
      <c r="E3" s="1" t="s">
        <v>3</v>
      </c>
      <c r="F3" s="15">
        <f ca="1">SUM(H11:H211)</f>
        <v>45.924738042809594</v>
      </c>
      <c r="H3" s="25"/>
      <c r="I3" s="26"/>
    </row>
    <row r="4" spans="2:9" ht="16" thickBot="1" x14ac:dyDescent="0.25">
      <c r="B4" s="1" t="s">
        <v>4</v>
      </c>
      <c r="C4" s="9">
        <f>C7/C3</f>
        <v>11</v>
      </c>
      <c r="E4" s="1" t="s">
        <v>5</v>
      </c>
      <c r="F4" s="15">
        <f ca="1">SUM(I11:I211)</f>
        <v>440</v>
      </c>
      <c r="H4" s="27"/>
      <c r="I4" s="28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1485.2098885465307</v>
      </c>
    </row>
    <row r="6" spans="2:9" ht="16" thickBot="1" x14ac:dyDescent="0.25">
      <c r="B6" s="1" t="s">
        <v>8</v>
      </c>
      <c r="C6" s="13">
        <v>20</v>
      </c>
    </row>
    <row r="7" spans="2:9" ht="15" customHeight="1" x14ac:dyDescent="0.2">
      <c r="B7" s="1" t="s">
        <v>9</v>
      </c>
      <c r="C7" s="11">
        <v>154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135.01908077695737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1000</v>
      </c>
      <c r="H11" s="2">
        <f ca="1">IF(C11&gt;$C$7,0,(G11)*$C$5/365)</f>
        <v>0.52054794520547942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1000.5205479452055</v>
      </c>
      <c r="F12" s="2">
        <f ca="1">IF(C12&gt;$C$7,0,IF(ROUND(E12,0)&gt;0,IF(C12=0,0,IF(MOD(C12,$C$3)&gt;0,0,$C$8)),0))</f>
        <v>0</v>
      </c>
      <c r="G12" s="2">
        <f ca="1">IF(C12&gt;$C$7,G11,E12-F12)</f>
        <v>1000.5205479452055</v>
      </c>
      <c r="H12" s="2">
        <f t="shared" ref="H12:H75" ca="1" si="1">IF(C12&gt;$C$7,0,(G12)*$C$5/365)</f>
        <v>0.52081891536873715</v>
      </c>
      <c r="I12" s="2">
        <f t="shared" ref="I12:I75" ca="1" si="2">IF(AND(C12=0,D12=7),$C$6,IF(C12=$C$7,0,IF(C12&lt;$C$7,IF(D12=7,$C$6,0),0)))</f>
        <v>0</v>
      </c>
    </row>
    <row r="13" spans="2:9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1001.0413668605743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1001.0413668605743</v>
      </c>
      <c r="H13" s="2">
        <f t="shared" ca="1" si="1"/>
        <v>0.52109002658495651</v>
      </c>
      <c r="I13" s="2">
        <f t="shared" ca="1" si="2"/>
        <v>0</v>
      </c>
    </row>
    <row r="14" spans="2:9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1001.5624568871592</v>
      </c>
      <c r="F14" s="2">
        <f t="shared" ca="1" si="5"/>
        <v>0</v>
      </c>
      <c r="G14" s="2">
        <f t="shared" ca="1" si="6"/>
        <v>1001.5624568871592</v>
      </c>
      <c r="H14" s="2">
        <f t="shared" ca="1" si="1"/>
        <v>0.52136127892756234</v>
      </c>
      <c r="I14" s="2">
        <f t="shared" ca="1" si="2"/>
        <v>20</v>
      </c>
    </row>
    <row r="15" spans="2:9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1022.0838181660868</v>
      </c>
      <c r="F15" s="2">
        <f t="shared" ca="1" si="5"/>
        <v>0</v>
      </c>
      <c r="G15" s="2">
        <f t="shared" ca="1" si="6"/>
        <v>1022.0838181660868</v>
      </c>
      <c r="H15" s="2">
        <f t="shared" ca="1" si="1"/>
        <v>0.53204363137412736</v>
      </c>
      <c r="I15" s="2">
        <f t="shared" ca="1" si="2"/>
        <v>0</v>
      </c>
    </row>
    <row r="16" spans="2:9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1022.6158617974609</v>
      </c>
      <c r="F16" s="2">
        <f t="shared" ca="1" si="5"/>
        <v>0</v>
      </c>
      <c r="G16" s="2">
        <f t="shared" ca="1" si="6"/>
        <v>1022.6158617974609</v>
      </c>
      <c r="H16" s="2">
        <f t="shared" ca="1" si="1"/>
        <v>0.53232058559319884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1023.1481823830541</v>
      </c>
      <c r="F17" s="2">
        <f t="shared" ca="1" si="5"/>
        <v>0</v>
      </c>
      <c r="G17" s="2">
        <f t="shared" ca="1" si="6"/>
        <v>1023.1481823830541</v>
      </c>
      <c r="H17" s="2">
        <f t="shared" ca="1" si="1"/>
        <v>0.53259768398021989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1023.6807800670343</v>
      </c>
      <c r="F18" s="2">
        <f t="shared" ca="1" si="5"/>
        <v>0</v>
      </c>
      <c r="G18" s="2">
        <f t="shared" ca="1" si="6"/>
        <v>1023.6807800670343</v>
      </c>
      <c r="H18" s="2">
        <f t="shared" ca="1" si="1"/>
        <v>0.53287492661023705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1024.2136549936445</v>
      </c>
      <c r="F19" s="2">
        <f t="shared" ca="1" si="5"/>
        <v>0</v>
      </c>
      <c r="G19" s="2">
        <f t="shared" ca="1" si="6"/>
        <v>1024.2136549936445</v>
      </c>
      <c r="H19" s="2">
        <f t="shared" ca="1" si="1"/>
        <v>0.53315231355833548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1024.7468073072027</v>
      </c>
      <c r="F20" s="2">
        <f t="shared" ca="1" si="5"/>
        <v>0</v>
      </c>
      <c r="G20" s="2">
        <f t="shared" ca="1" si="6"/>
        <v>1024.7468073072027</v>
      </c>
      <c r="H20" s="2">
        <f t="shared" ca="1" si="1"/>
        <v>0.53342984489963974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1025.2802371521025</v>
      </c>
      <c r="F21" s="2">
        <f t="shared" ca="1" si="5"/>
        <v>0</v>
      </c>
      <c r="G21" s="2">
        <f t="shared" ca="1" si="6"/>
        <v>1025.2802371521025</v>
      </c>
      <c r="H21" s="2">
        <f t="shared" ca="1" si="1"/>
        <v>0.5337075207093136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1045.8139446728119</v>
      </c>
      <c r="F22" s="2">
        <f t="shared" ca="1" si="5"/>
        <v>0</v>
      </c>
      <c r="G22" s="2">
        <f t="shared" ca="1" si="6"/>
        <v>1045.8139446728119</v>
      </c>
      <c r="H22" s="2">
        <f t="shared" ca="1" si="1"/>
        <v>0.54439629996666927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1046.3583409727785</v>
      </c>
      <c r="F23" s="2">
        <f t="shared" ca="1" si="5"/>
        <v>0</v>
      </c>
      <c r="G23" s="2">
        <f t="shared" ca="1" si="6"/>
        <v>1046.3583409727785</v>
      </c>
      <c r="H23" s="2">
        <f t="shared" ca="1" si="1"/>
        <v>0.54467968434199432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1046.9030206571206</v>
      </c>
      <c r="F24" s="2">
        <f t="shared" ca="1" si="5"/>
        <v>0</v>
      </c>
      <c r="G24" s="2">
        <f t="shared" ca="1" si="6"/>
        <v>1046.9030206571206</v>
      </c>
      <c r="H24" s="2">
        <f t="shared" ca="1" si="1"/>
        <v>0.54496321623247379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1047.447983873353</v>
      </c>
      <c r="F25" s="2">
        <f t="shared" ca="1" si="5"/>
        <v>135.01908077695737</v>
      </c>
      <c r="G25" s="2">
        <f t="shared" ca="1" si="6"/>
        <v>912.42890309639563</v>
      </c>
      <c r="H25" s="2">
        <f t="shared" ca="1" si="1"/>
        <v>0.4749629906529183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912.90386608704853</v>
      </c>
      <c r="F26" s="2">
        <f t="shared" ca="1" si="5"/>
        <v>0</v>
      </c>
      <c r="G26" s="2">
        <f t="shared" ca="1" si="6"/>
        <v>912.90386608704853</v>
      </c>
      <c r="H26" s="2">
        <f t="shared" ca="1" si="1"/>
        <v>0.47521023166175136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913.3790763187103</v>
      </c>
      <c r="F27" s="2">
        <f t="shared" ca="1" si="5"/>
        <v>0</v>
      </c>
      <c r="G27" s="2">
        <f t="shared" ca="1" si="6"/>
        <v>913.3790763187103</v>
      </c>
      <c r="H27" s="2">
        <f t="shared" ca="1" si="1"/>
        <v>0.47545760137138343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913.85453392008174</v>
      </c>
      <c r="F28" s="2">
        <f t="shared" ca="1" si="5"/>
        <v>0</v>
      </c>
      <c r="G28" s="2">
        <f t="shared" ca="1" si="6"/>
        <v>913.85453392008174</v>
      </c>
      <c r="H28" s="2">
        <f t="shared" ca="1" si="1"/>
        <v>0.47570509984880965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934.33023901993056</v>
      </c>
      <c r="F29" s="2">
        <f t="shared" ca="1" si="5"/>
        <v>0</v>
      </c>
      <c r="G29" s="2">
        <f t="shared" ca="1" si="6"/>
        <v>934.33023901993056</v>
      </c>
      <c r="H29" s="2">
        <f t="shared" ca="1" si="1"/>
        <v>0.48636368606516939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934.81660270599571</v>
      </c>
      <c r="F30" s="2">
        <f t="shared" ca="1" si="5"/>
        <v>0</v>
      </c>
      <c r="G30" s="2">
        <f t="shared" ca="1" si="6"/>
        <v>934.81660270599571</v>
      </c>
      <c r="H30" s="2">
        <f t="shared" ca="1" si="1"/>
        <v>0.48661686168257312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935.3032195676783</v>
      </c>
      <c r="F31" s="2">
        <f t="shared" ca="1" si="5"/>
        <v>0</v>
      </c>
      <c r="G31" s="2">
        <f t="shared" ca="1" si="6"/>
        <v>935.3032195676783</v>
      </c>
      <c r="H31" s="2">
        <f t="shared" ca="1" si="1"/>
        <v>0.48687016909002429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935.79008973676832</v>
      </c>
      <c r="F32" s="2">
        <f t="shared" ca="1" si="5"/>
        <v>0</v>
      </c>
      <c r="G32" s="2">
        <f t="shared" ca="1" si="6"/>
        <v>935.79008973676832</v>
      </c>
      <c r="H32" s="2">
        <f t="shared" ca="1" si="1"/>
        <v>0.48712360835612595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936.27721334512444</v>
      </c>
      <c r="F33" s="2">
        <f t="shared" ca="1" si="5"/>
        <v>0</v>
      </c>
      <c r="G33" s="2">
        <f t="shared" ca="1" si="6"/>
        <v>936.27721334512444</v>
      </c>
      <c r="H33" s="2">
        <f t="shared" ca="1" si="1"/>
        <v>0.48737717954951681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936.76459052467396</v>
      </c>
      <c r="F34" s="2">
        <f t="shared" ca="1" si="5"/>
        <v>0</v>
      </c>
      <c r="G34" s="2">
        <f t="shared" ca="1" si="6"/>
        <v>936.76459052467396</v>
      </c>
      <c r="H34" s="2">
        <f t="shared" ca="1" si="1"/>
        <v>0.4876308827388714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937.25222140741289</v>
      </c>
      <c r="F35" s="2">
        <f t="shared" ca="1" si="5"/>
        <v>0</v>
      </c>
      <c r="G35" s="2">
        <f t="shared" ca="1" si="6"/>
        <v>937.25222140741289</v>
      </c>
      <c r="H35" s="2">
        <f t="shared" ca="1" si="1"/>
        <v>0.48788471799289984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957.74010612540576</v>
      </c>
      <c r="F36" s="2">
        <f t="shared" ca="1" si="5"/>
        <v>0</v>
      </c>
      <c r="G36" s="2">
        <f t="shared" ca="1" si="6"/>
        <v>957.74010612540576</v>
      </c>
      <c r="H36" s="2">
        <f t="shared" ca="1" si="1"/>
        <v>0.4985496442844578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958.23865576969024</v>
      </c>
      <c r="F37" s="2">
        <f t="shared" ca="1" si="5"/>
        <v>0</v>
      </c>
      <c r="G37" s="2">
        <f t="shared" ca="1" si="6"/>
        <v>958.23865576969024</v>
      </c>
      <c r="H37" s="2">
        <f t="shared" ca="1" si="1"/>
        <v>0.49880916327737301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958.73746493296767</v>
      </c>
      <c r="F38" s="2">
        <f t="shared" ca="1" si="5"/>
        <v>0</v>
      </c>
      <c r="G38" s="2">
        <f t="shared" ca="1" si="6"/>
        <v>958.73746493296767</v>
      </c>
      <c r="H38" s="2">
        <f t="shared" ca="1" si="1"/>
        <v>0.49906881736236675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959.23653375033007</v>
      </c>
      <c r="F39" s="2">
        <f t="shared" ca="1" si="5"/>
        <v>135.01908077695737</v>
      </c>
      <c r="G39" s="2">
        <f t="shared" ca="1" si="6"/>
        <v>824.2174529733727</v>
      </c>
      <c r="H39" s="2">
        <f t="shared" ca="1" si="1"/>
        <v>0.42904470154778307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824.64649767492051</v>
      </c>
      <c r="F40" s="2">
        <f t="shared" ca="1" si="5"/>
        <v>0</v>
      </c>
      <c r="G40" s="2">
        <f t="shared" ca="1" si="6"/>
        <v>824.64649767492051</v>
      </c>
      <c r="H40" s="2">
        <f t="shared" ca="1" si="1"/>
        <v>0.42926803988557505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825.07576571480604</v>
      </c>
      <c r="F41" s="2">
        <f t="shared" ca="1" si="5"/>
        <v>0</v>
      </c>
      <c r="G41" s="2">
        <f t="shared" ca="1" si="6"/>
        <v>825.07576571480604</v>
      </c>
      <c r="H41" s="2">
        <f t="shared" ca="1" si="1"/>
        <v>0.42949149448167984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825.50525720928772</v>
      </c>
      <c r="F42" s="2">
        <f t="shared" ca="1" si="5"/>
        <v>0</v>
      </c>
      <c r="G42" s="2">
        <f t="shared" ca="1" si="6"/>
        <v>825.50525720928772</v>
      </c>
      <c r="H42" s="2">
        <f t="shared" ca="1" si="1"/>
        <v>0.42971506539661547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845.93497227468436</v>
      </c>
      <c r="F43" s="2">
        <f t="shared" ca="1" si="5"/>
        <v>0</v>
      </c>
      <c r="G43" s="2">
        <f t="shared" ca="1" si="6"/>
        <v>845.93497227468436</v>
      </c>
      <c r="H43" s="2">
        <f t="shared" ca="1" si="1"/>
        <v>0.44034971159504122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846.37532198627935</v>
      </c>
      <c r="F44" s="2">
        <f t="shared" ca="1" si="5"/>
        <v>0</v>
      </c>
      <c r="G44" s="2">
        <f t="shared" ca="1" si="6"/>
        <v>846.37532198627935</v>
      </c>
      <c r="H44" s="2">
        <f t="shared" ca="1" si="1"/>
        <v>0.44057893473258375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846.81590092101192</v>
      </c>
      <c r="F45" s="2">
        <f t="shared" ca="1" si="5"/>
        <v>0</v>
      </c>
      <c r="G45" s="2">
        <f t="shared" ca="1" si="6"/>
        <v>846.81590092101192</v>
      </c>
      <c r="H45" s="2">
        <f t="shared" ca="1" si="1"/>
        <v>0.44080827719175969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847.25670919820368</v>
      </c>
      <c r="F46" s="2">
        <f t="shared" ca="1" si="5"/>
        <v>0</v>
      </c>
      <c r="G46" s="2">
        <f t="shared" ca="1" si="6"/>
        <v>847.25670919820368</v>
      </c>
      <c r="H46" s="2">
        <f t="shared" ca="1" si="1"/>
        <v>0.44103773903468135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847.69774693723832</v>
      </c>
      <c r="F47" s="2">
        <f t="shared" ca="1" si="5"/>
        <v>0</v>
      </c>
      <c r="G47" s="2">
        <f t="shared" ca="1" si="6"/>
        <v>847.69774693723832</v>
      </c>
      <c r="H47" s="2">
        <f t="shared" ca="1" si="1"/>
        <v>0.44126732032349397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848.13901425756183</v>
      </c>
      <c r="F48" s="2">
        <f t="shared" ca="1" si="5"/>
        <v>0</v>
      </c>
      <c r="G48" s="2">
        <f t="shared" ca="1" si="6"/>
        <v>848.13901425756183</v>
      </c>
      <c r="H48" s="2">
        <f t="shared" ca="1" si="1"/>
        <v>0.44149702112037464</v>
      </c>
      <c r="I48" s="2">
        <f t="shared" ca="1" si="2"/>
        <v>0</v>
      </c>
    </row>
    <row r="49" spans="2:9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848.58051127868225</v>
      </c>
      <c r="F49" s="2">
        <f t="shared" ca="1" si="5"/>
        <v>0</v>
      </c>
      <c r="G49" s="2">
        <f t="shared" ca="1" si="6"/>
        <v>848.58051127868225</v>
      </c>
      <c r="H49" s="2">
        <f t="shared" ca="1" si="1"/>
        <v>0.44172684148753327</v>
      </c>
      <c r="I49" s="2">
        <f t="shared" ca="1" si="2"/>
        <v>20</v>
      </c>
    </row>
    <row r="50" spans="2:9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869.02223812016973</v>
      </c>
      <c r="F50" s="2">
        <f t="shared" ca="1" si="5"/>
        <v>0</v>
      </c>
      <c r="G50" s="2">
        <f t="shared" ca="1" si="6"/>
        <v>869.02223812016973</v>
      </c>
      <c r="H50" s="2">
        <f t="shared" ca="1" si="1"/>
        <v>0.45236774039132122</v>
      </c>
      <c r="I50" s="2">
        <f t="shared" ca="1" si="2"/>
        <v>0</v>
      </c>
    </row>
    <row r="51" spans="2:9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869.47460586056104</v>
      </c>
      <c r="F51" s="2">
        <f t="shared" ca="1" si="5"/>
        <v>0</v>
      </c>
      <c r="G51" s="2">
        <f t="shared" ca="1" si="6"/>
        <v>869.47460586056104</v>
      </c>
      <c r="H51" s="2">
        <f t="shared" ca="1" si="1"/>
        <v>0.45260321948905913</v>
      </c>
      <c r="I51" s="2">
        <f t="shared" ca="1" si="2"/>
        <v>0</v>
      </c>
    </row>
    <row r="52" spans="2:9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869.92720908005015</v>
      </c>
      <c r="F52" s="2">
        <f t="shared" ca="1" si="5"/>
        <v>0</v>
      </c>
      <c r="G52" s="2">
        <f t="shared" ca="1" si="6"/>
        <v>869.92720908005015</v>
      </c>
      <c r="H52" s="2">
        <f t="shared" ca="1" si="1"/>
        <v>0.45283882116495761</v>
      </c>
      <c r="I52" s="2">
        <f t="shared" ca="1" si="2"/>
        <v>0</v>
      </c>
    </row>
    <row r="53" spans="2:9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870.38004790121511</v>
      </c>
      <c r="F53" s="2">
        <f t="shared" ca="1" si="5"/>
        <v>135.01908077695737</v>
      </c>
      <c r="G53" s="2">
        <f t="shared" ca="1" si="6"/>
        <v>735.36096712425774</v>
      </c>
      <c r="H53" s="2">
        <f t="shared" ca="1" si="1"/>
        <v>0.38279064042084654</v>
      </c>
      <c r="I53" s="2">
        <f t="shared" ca="1" si="2"/>
        <v>0</v>
      </c>
    </row>
    <row r="54" spans="2:9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735.74375776467855</v>
      </c>
      <c r="F54" s="2">
        <f t="shared" ca="1" si="5"/>
        <v>0</v>
      </c>
      <c r="G54" s="2">
        <f t="shared" ca="1" si="6"/>
        <v>735.74375776467855</v>
      </c>
      <c r="H54" s="2">
        <f t="shared" ca="1" si="1"/>
        <v>0.38298990130216143</v>
      </c>
      <c r="I54" s="2">
        <f t="shared" ca="1" si="2"/>
        <v>0</v>
      </c>
    </row>
    <row r="55" spans="2:9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736.1267476659807</v>
      </c>
      <c r="F55" s="2">
        <f t="shared" ca="1" si="5"/>
        <v>0</v>
      </c>
      <c r="G55" s="2">
        <f t="shared" ca="1" si="6"/>
        <v>736.1267476659807</v>
      </c>
      <c r="H55" s="2">
        <f t="shared" ca="1" si="1"/>
        <v>0.38318926590831875</v>
      </c>
      <c r="I55" s="2">
        <f t="shared" ca="1" si="2"/>
        <v>0</v>
      </c>
    </row>
    <row r="56" spans="2:9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736.509936931889</v>
      </c>
      <c r="F56" s="2">
        <f t="shared" ca="1" si="5"/>
        <v>0</v>
      </c>
      <c r="G56" s="2">
        <f t="shared" ca="1" si="6"/>
        <v>736.509936931889</v>
      </c>
      <c r="H56" s="2">
        <f t="shared" ca="1" si="1"/>
        <v>0.38338873429331211</v>
      </c>
      <c r="I56" s="2">
        <f t="shared" ca="1" si="2"/>
        <v>20</v>
      </c>
    </row>
    <row r="57" spans="2:9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756.89332566618236</v>
      </c>
      <c r="F57" s="2">
        <f t="shared" ca="1" si="5"/>
        <v>0</v>
      </c>
      <c r="G57" s="2">
        <f t="shared" ca="1" si="6"/>
        <v>756.89332566618236</v>
      </c>
      <c r="H57" s="2">
        <f t="shared" ca="1" si="1"/>
        <v>0.39399926541527303</v>
      </c>
      <c r="I57" s="2">
        <f t="shared" ca="1" si="2"/>
        <v>0</v>
      </c>
    </row>
    <row r="58" spans="2:9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757.2873249315976</v>
      </c>
      <c r="F58" s="2">
        <f t="shared" ca="1" si="5"/>
        <v>0</v>
      </c>
      <c r="G58" s="2">
        <f t="shared" ca="1" si="6"/>
        <v>757.2873249315976</v>
      </c>
      <c r="H58" s="2">
        <f t="shared" ca="1" si="1"/>
        <v>0.39420436092329741</v>
      </c>
      <c r="I58" s="2">
        <f t="shared" ca="1" si="2"/>
        <v>0</v>
      </c>
    </row>
    <row r="59" spans="2:9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757.68152929252085</v>
      </c>
      <c r="F59" s="2">
        <f t="shared" ca="1" si="5"/>
        <v>0</v>
      </c>
      <c r="G59" s="2">
        <f t="shared" ca="1" si="6"/>
        <v>757.68152929252085</v>
      </c>
      <c r="H59" s="2">
        <f t="shared" ca="1" si="1"/>
        <v>0.39440956319336701</v>
      </c>
      <c r="I59" s="2">
        <f t="shared" ca="1" si="2"/>
        <v>0</v>
      </c>
    </row>
    <row r="60" spans="2:9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758.07593885571418</v>
      </c>
      <c r="F60" s="2">
        <f t="shared" ca="1" si="5"/>
        <v>0</v>
      </c>
      <c r="G60" s="2">
        <f t="shared" ca="1" si="6"/>
        <v>758.07593885571418</v>
      </c>
      <c r="H60" s="2">
        <f t="shared" ca="1" si="1"/>
        <v>0.39461487228105674</v>
      </c>
      <c r="I60" s="2">
        <f t="shared" ca="1" si="2"/>
        <v>0</v>
      </c>
    </row>
    <row r="61" spans="2:9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758.47055372799525</v>
      </c>
      <c r="F61" s="2">
        <f t="shared" ca="1" si="5"/>
        <v>0</v>
      </c>
      <c r="G61" s="2">
        <f t="shared" ca="1" si="6"/>
        <v>758.47055372799525</v>
      </c>
      <c r="H61" s="2">
        <f t="shared" ca="1" si="1"/>
        <v>0.39482028824197013</v>
      </c>
      <c r="I61" s="2">
        <f t="shared" ca="1" si="2"/>
        <v>0</v>
      </c>
    </row>
    <row r="62" spans="2:9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758.86537401623718</v>
      </c>
      <c r="F62" s="2">
        <f t="shared" ca="1" si="5"/>
        <v>0</v>
      </c>
      <c r="G62" s="2">
        <f t="shared" ca="1" si="6"/>
        <v>758.86537401623718</v>
      </c>
      <c r="H62" s="2">
        <f t="shared" ca="1" si="1"/>
        <v>0.3950258111317399</v>
      </c>
      <c r="I62" s="2">
        <f t="shared" ca="1" si="2"/>
        <v>0</v>
      </c>
    </row>
    <row r="63" spans="2:9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759.26039982736893</v>
      </c>
      <c r="F63" s="2">
        <f t="shared" ca="1" si="5"/>
        <v>0</v>
      </c>
      <c r="G63" s="2">
        <f t="shared" ca="1" si="6"/>
        <v>759.26039982736893</v>
      </c>
      <c r="H63" s="2">
        <f t="shared" ca="1" si="1"/>
        <v>0.3952314410060277</v>
      </c>
      <c r="I63" s="2">
        <f t="shared" ca="1" si="2"/>
        <v>20</v>
      </c>
    </row>
    <row r="64" spans="2:9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779.65563126837492</v>
      </c>
      <c r="F64" s="2">
        <f t="shared" ca="1" si="5"/>
        <v>0</v>
      </c>
      <c r="G64" s="2">
        <f t="shared" ca="1" si="6"/>
        <v>779.65563126837492</v>
      </c>
      <c r="H64" s="2">
        <f t="shared" ca="1" si="1"/>
        <v>0.40584813682463355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780.06147940519952</v>
      </c>
      <c r="F65" s="2">
        <f t="shared" ca="1" si="5"/>
        <v>0</v>
      </c>
      <c r="G65" s="2">
        <f t="shared" ca="1" si="6"/>
        <v>780.06147940519952</v>
      </c>
      <c r="H65" s="2">
        <f t="shared" ca="1" si="1"/>
        <v>0.40605940023832304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780.46753880543781</v>
      </c>
      <c r="F66" s="2">
        <f t="shared" ca="1" si="5"/>
        <v>0</v>
      </c>
      <c r="G66" s="2">
        <f t="shared" ca="1" si="6"/>
        <v>780.46753880543781</v>
      </c>
      <c r="H66" s="2">
        <f t="shared" ca="1" si="1"/>
        <v>0.40627077362474845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780.87380957906259</v>
      </c>
      <c r="F67" s="2">
        <f t="shared" ca="1" si="5"/>
        <v>135.01908077695737</v>
      </c>
      <c r="G67" s="2">
        <f t="shared" ca="1" si="6"/>
        <v>645.85472880210523</v>
      </c>
      <c r="H67" s="2">
        <f t="shared" ca="1" si="1"/>
        <v>0.33619835197917808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646.19092715408442</v>
      </c>
      <c r="F68" s="2">
        <f t="shared" ca="1" si="5"/>
        <v>0</v>
      </c>
      <c r="G68" s="2">
        <f t="shared" ca="1" si="6"/>
        <v>646.19092715408442</v>
      </c>
      <c r="H68" s="2">
        <f t="shared" ca="1" si="1"/>
        <v>0.33637335934048229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646.52730051342485</v>
      </c>
      <c r="F69" s="2">
        <f t="shared" ca="1" si="5"/>
        <v>0</v>
      </c>
      <c r="G69" s="2">
        <f t="shared" ca="1" si="6"/>
        <v>646.52730051342485</v>
      </c>
      <c r="H69" s="2">
        <f t="shared" ca="1" si="1"/>
        <v>0.33654845780150883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646.86384897122639</v>
      </c>
      <c r="F70" s="2">
        <f t="shared" ca="1" si="5"/>
        <v>0</v>
      </c>
      <c r="G70" s="2">
        <f t="shared" ca="1" si="6"/>
        <v>646.86384897122639</v>
      </c>
      <c r="H70" s="2">
        <f t="shared" ca="1" si="1"/>
        <v>0.33672364740967947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667.2005726186361</v>
      </c>
      <c r="F71" s="2">
        <f t="shared" ca="1" si="5"/>
        <v>0</v>
      </c>
      <c r="G71" s="2">
        <f t="shared" ca="1" si="6"/>
        <v>667.2005726186361</v>
      </c>
      <c r="H71" s="2">
        <f t="shared" ca="1" si="1"/>
        <v>0.34730988711655031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667.54788250575268</v>
      </c>
      <c r="F72" s="2">
        <f t="shared" ca="1" si="5"/>
        <v>0</v>
      </c>
      <c r="G72" s="2">
        <f t="shared" ca="1" si="6"/>
        <v>667.54788250575268</v>
      </c>
      <c r="H72" s="2">
        <f t="shared" ca="1" si="1"/>
        <v>0.34749067856463839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667.89537318431735</v>
      </c>
      <c r="F73" s="2">
        <f t="shared" ca="1" si="5"/>
        <v>0</v>
      </c>
      <c r="G73" s="2">
        <f t="shared" ca="1" si="6"/>
        <v>667.89537318431735</v>
      </c>
      <c r="H73" s="2">
        <f t="shared" ca="1" si="1"/>
        <v>0.34767156412334327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668.24304474844064</v>
      </c>
      <c r="F74" s="2">
        <f t="shared" ca="1" si="5"/>
        <v>0</v>
      </c>
      <c r="G74" s="2">
        <f t="shared" ca="1" si="6"/>
        <v>668.24304474844064</v>
      </c>
      <c r="H74" s="2">
        <f t="shared" ca="1" si="1"/>
        <v>0.34785254384165404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668.59089729228231</v>
      </c>
      <c r="F75" s="2">
        <f t="shared" ca="1" si="5"/>
        <v>0</v>
      </c>
      <c r="G75" s="2">
        <f t="shared" ca="1" si="6"/>
        <v>668.59089729228231</v>
      </c>
      <c r="H75" s="2">
        <f t="shared" ca="1" si="1"/>
        <v>0.34803361776858532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668.93893091005089</v>
      </c>
      <c r="F76" s="2">
        <f t="shared" ca="1" si="5"/>
        <v>0</v>
      </c>
      <c r="G76" s="2">
        <f t="shared" ca="1" si="6"/>
        <v>668.93893091005089</v>
      </c>
      <c r="H76" s="2">
        <f t="shared" ref="H76:H139" ca="1" si="11">IF(C76&gt;$C$7,0,(G76)*$C$5/365)</f>
        <v>0.34821478595317717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669.28714569600402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669.28714569600402</v>
      </c>
      <c r="H77" s="2">
        <f t="shared" ca="1" si="11"/>
        <v>0.34839604844449523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689.63554174444846</v>
      </c>
      <c r="F78" s="2">
        <f t="shared" ca="1" si="15"/>
        <v>0</v>
      </c>
      <c r="G78" s="2">
        <f t="shared" ca="1" si="16"/>
        <v>689.63554174444846</v>
      </c>
      <c r="H78" s="2">
        <f t="shared" ca="1" si="11"/>
        <v>0.35898836419574032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689.9945301086442</v>
      </c>
      <c r="F79" s="2">
        <f t="shared" ca="1" si="15"/>
        <v>0</v>
      </c>
      <c r="G79" s="2">
        <f t="shared" ca="1" si="16"/>
        <v>689.9945301086442</v>
      </c>
      <c r="H79" s="2">
        <f t="shared" ca="1" si="11"/>
        <v>0.35917523485107505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690.35370534349522</v>
      </c>
      <c r="F80" s="2">
        <f t="shared" ca="1" si="15"/>
        <v>0</v>
      </c>
      <c r="G80" s="2">
        <f t="shared" ca="1" si="16"/>
        <v>690.35370534349522</v>
      </c>
      <c r="H80" s="2">
        <f t="shared" ca="1" si="11"/>
        <v>0.35936220278154551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690.71306754627676</v>
      </c>
      <c r="F81" s="2">
        <f t="shared" ca="1" si="15"/>
        <v>135.01908077695737</v>
      </c>
      <c r="G81" s="2">
        <f t="shared" ca="1" si="16"/>
        <v>555.69398676931939</v>
      </c>
      <c r="H81" s="2">
        <f t="shared" ca="1" si="11"/>
        <v>0.28926536297581013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555.98325213229521</v>
      </c>
      <c r="F82" s="2">
        <f t="shared" ca="1" si="15"/>
        <v>0</v>
      </c>
      <c r="G82" s="2">
        <f t="shared" ca="1" si="16"/>
        <v>555.98325213229521</v>
      </c>
      <c r="H82" s="2">
        <f t="shared" ca="1" si="11"/>
        <v>0.28941593946612626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556.27266807176136</v>
      </c>
      <c r="F83" s="2">
        <f t="shared" ca="1" si="15"/>
        <v>0</v>
      </c>
      <c r="G83" s="2">
        <f t="shared" ca="1" si="16"/>
        <v>556.27266807176136</v>
      </c>
      <c r="H83" s="2">
        <f t="shared" ca="1" si="11"/>
        <v>0.28956659433872511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556.56223466610004</v>
      </c>
      <c r="F84" s="2">
        <f t="shared" ca="1" si="15"/>
        <v>0</v>
      </c>
      <c r="G84" s="2">
        <f t="shared" ca="1" si="16"/>
        <v>556.56223466610004</v>
      </c>
      <c r="H84" s="2">
        <f t="shared" ca="1" si="11"/>
        <v>0.28971732763440827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576.85195199373447</v>
      </c>
      <c r="F85" s="2">
        <f t="shared" ca="1" si="15"/>
        <v>0</v>
      </c>
      <c r="G85" s="2">
        <f t="shared" ca="1" si="16"/>
        <v>576.85195199373447</v>
      </c>
      <c r="H85" s="2">
        <f t="shared" ca="1" si="11"/>
        <v>0.30027909829810834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577.15223109203259</v>
      </c>
      <c r="F86" s="2">
        <f t="shared" ca="1" si="15"/>
        <v>0</v>
      </c>
      <c r="G86" s="2">
        <f t="shared" ca="1" si="16"/>
        <v>577.15223109203259</v>
      </c>
      <c r="H86" s="2">
        <f t="shared" ca="1" si="11"/>
        <v>0.30043540796571561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577.45266649999826</v>
      </c>
      <c r="F87" s="2">
        <f t="shared" ca="1" si="15"/>
        <v>0</v>
      </c>
      <c r="G87" s="2">
        <f t="shared" ca="1" si="16"/>
        <v>577.45266649999826</v>
      </c>
      <c r="H87" s="2">
        <f t="shared" ca="1" si="11"/>
        <v>0.3005917989999991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577.75325829899828</v>
      </c>
      <c r="F88" s="2">
        <f t="shared" ca="1" si="15"/>
        <v>0</v>
      </c>
      <c r="G88" s="2">
        <f t="shared" ca="1" si="16"/>
        <v>577.75325829899828</v>
      </c>
      <c r="H88" s="2">
        <f t="shared" ca="1" si="11"/>
        <v>0.30074827144331417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578.05400657044163</v>
      </c>
      <c r="F89" s="2">
        <f t="shared" ca="1" si="15"/>
        <v>0</v>
      </c>
      <c r="G89" s="2">
        <f t="shared" ca="1" si="16"/>
        <v>578.05400657044163</v>
      </c>
      <c r="H89" s="2">
        <f t="shared" ca="1" si="11"/>
        <v>0.30090482533803808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578.35491139577971</v>
      </c>
      <c r="F90" s="2">
        <f t="shared" ca="1" si="15"/>
        <v>0</v>
      </c>
      <c r="G90" s="2">
        <f t="shared" ca="1" si="16"/>
        <v>578.35491139577971</v>
      </c>
      <c r="H90" s="2">
        <f t="shared" ca="1" si="11"/>
        <v>0.30106146072657025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578.65597285650631</v>
      </c>
      <c r="F91" s="2">
        <f t="shared" ca="1" si="15"/>
        <v>0</v>
      </c>
      <c r="G91" s="2">
        <f t="shared" ca="1" si="16"/>
        <v>578.65597285650631</v>
      </c>
      <c r="H91" s="2">
        <f t="shared" ca="1" si="11"/>
        <v>0.30121817765133208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598.95719103415763</v>
      </c>
      <c r="F92" s="2">
        <f t="shared" ca="1" si="15"/>
        <v>0</v>
      </c>
      <c r="G92" s="2">
        <f t="shared" ca="1" si="16"/>
        <v>598.95719103415763</v>
      </c>
      <c r="H92" s="2">
        <f t="shared" ca="1" si="11"/>
        <v>0.31178593505887658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599.26897696921651</v>
      </c>
      <c r="F93" s="2">
        <f t="shared" ca="1" si="15"/>
        <v>0</v>
      </c>
      <c r="G93" s="2">
        <f t="shared" ca="1" si="16"/>
        <v>599.26897696921651</v>
      </c>
      <c r="H93" s="2">
        <f t="shared" ca="1" si="11"/>
        <v>0.31194823458671544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599.58092520380319</v>
      </c>
      <c r="F94" s="2">
        <f t="shared" ca="1" si="15"/>
        <v>0</v>
      </c>
      <c r="G94" s="2">
        <f t="shared" ca="1" si="16"/>
        <v>599.58092520380319</v>
      </c>
      <c r="H94" s="2">
        <f t="shared" ca="1" si="11"/>
        <v>0.31211061859924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599.89303582240245</v>
      </c>
      <c r="F95" s="2">
        <f t="shared" ca="1" si="15"/>
        <v>135.01908077695737</v>
      </c>
      <c r="G95" s="2">
        <f t="shared" ca="1" si="16"/>
        <v>464.87395504544509</v>
      </c>
      <c r="H95" s="2">
        <f t="shared" ca="1" si="11"/>
        <v>0.24198918207845085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465.11594422752353</v>
      </c>
      <c r="F96" s="2">
        <f t="shared" ca="1" si="15"/>
        <v>0</v>
      </c>
      <c r="G96" s="2">
        <f t="shared" ca="1" si="16"/>
        <v>465.11594422752353</v>
      </c>
      <c r="H96" s="2">
        <f t="shared" ca="1" si="11"/>
        <v>0.24211514904994377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465.35805937657346</v>
      </c>
      <c r="F97" s="2">
        <f t="shared" ca="1" si="15"/>
        <v>0</v>
      </c>
      <c r="G97" s="2">
        <f t="shared" ca="1" si="16"/>
        <v>465.35805937657346</v>
      </c>
      <c r="H97" s="2">
        <f t="shared" ca="1" si="11"/>
        <v>0.24224118159328484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465.60030055816674</v>
      </c>
      <c r="F98" s="2">
        <f t="shared" ca="1" si="15"/>
        <v>0</v>
      </c>
      <c r="G98" s="2">
        <f t="shared" ca="1" si="16"/>
        <v>465.60030055816674</v>
      </c>
      <c r="H98" s="2">
        <f t="shared" ca="1" si="11"/>
        <v>0.24236727974260736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485.84266783790935</v>
      </c>
      <c r="F99" s="2">
        <f t="shared" ca="1" si="15"/>
        <v>0</v>
      </c>
      <c r="G99" s="2">
        <f t="shared" ca="1" si="16"/>
        <v>485.84266783790935</v>
      </c>
      <c r="H99" s="2">
        <f t="shared" ca="1" si="11"/>
        <v>0.25290440243617196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486.09557224034552</v>
      </c>
      <c r="F100" s="2">
        <f t="shared" ca="1" si="15"/>
        <v>0</v>
      </c>
      <c r="G100" s="2">
        <f t="shared" ca="1" si="16"/>
        <v>486.09557224034552</v>
      </c>
      <c r="H100" s="2">
        <f t="shared" ca="1" si="11"/>
        <v>0.25303605130319357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486.3486082916487</v>
      </c>
      <c r="F101" s="2">
        <f t="shared" ca="1" si="15"/>
        <v>0</v>
      </c>
      <c r="G101" s="2">
        <f t="shared" ca="1" si="16"/>
        <v>486.3486082916487</v>
      </c>
      <c r="H101" s="2">
        <f t="shared" ca="1" si="11"/>
        <v>0.25316776869976232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486.60177606034847</v>
      </c>
      <c r="F102" s="2">
        <f t="shared" ca="1" si="15"/>
        <v>0</v>
      </c>
      <c r="G102" s="2">
        <f t="shared" ca="1" si="16"/>
        <v>486.60177606034847</v>
      </c>
      <c r="H102" s="2">
        <f t="shared" ca="1" si="11"/>
        <v>0.2532995546615513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ca="1" si="14"/>
        <v>486.85507561501004</v>
      </c>
      <c r="F103" s="2">
        <f t="shared" ca="1" si="15"/>
        <v>0</v>
      </c>
      <c r="G103" s="2">
        <f t="shared" ca="1" si="16"/>
        <v>486.85507561501004</v>
      </c>
      <c r="H103" s="2">
        <f t="shared" ca="1" si="11"/>
        <v>0.25343140922425184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ca="1" si="14"/>
        <v>487.10850702423431</v>
      </c>
      <c r="F104" s="2">
        <f t="shared" ca="1" si="15"/>
        <v>0</v>
      </c>
      <c r="G104" s="2">
        <f t="shared" ca="1" si="16"/>
        <v>487.10850702423431</v>
      </c>
      <c r="H104" s="2">
        <f t="shared" ca="1" si="11"/>
        <v>0.25356333242357404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ca="1" si="14"/>
        <v>487.36207035665791</v>
      </c>
      <c r="F105" s="2">
        <f t="shared" ca="1" si="15"/>
        <v>0</v>
      </c>
      <c r="G105" s="2">
        <f t="shared" ca="1" si="16"/>
        <v>487.36207035665791</v>
      </c>
      <c r="H105" s="2">
        <f t="shared" ca="1" si="11"/>
        <v>0.25369532429524655</v>
      </c>
      <c r="I105" s="2">
        <f t="shared" ca="1" si="12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ca="1" si="14"/>
        <v>507.61576568095313</v>
      </c>
      <c r="F106" s="2">
        <f t="shared" ca="1" si="15"/>
        <v>0</v>
      </c>
      <c r="G106" s="2">
        <f t="shared" ca="1" si="16"/>
        <v>507.61576568095313</v>
      </c>
      <c r="H106" s="2">
        <f t="shared" ca="1" si="11"/>
        <v>0.26423834377912631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ca="1" si="14"/>
        <v>507.88000402473227</v>
      </c>
      <c r="F107" s="2">
        <f t="shared" ca="1" si="15"/>
        <v>0</v>
      </c>
      <c r="G107" s="2">
        <f t="shared" ca="1" si="16"/>
        <v>507.88000402473227</v>
      </c>
      <c r="H107" s="2">
        <f t="shared" ca="1" si="11"/>
        <v>0.264375892506025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ca="1" si="14"/>
        <v>508.14437991723833</v>
      </c>
      <c r="F108" s="2">
        <f t="shared" ca="1" si="15"/>
        <v>0</v>
      </c>
      <c r="G108" s="2">
        <f t="shared" ca="1" si="16"/>
        <v>508.14437991723833</v>
      </c>
      <c r="H108" s="2">
        <f t="shared" ca="1" si="11"/>
        <v>0.26451351283363089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ca="1" si="14"/>
        <v>508.40889343007194</v>
      </c>
      <c r="F109" s="2">
        <f t="shared" ca="1" si="15"/>
        <v>135.01908077695737</v>
      </c>
      <c r="G109" s="2">
        <f t="shared" ca="1" si="16"/>
        <v>373.38981265311457</v>
      </c>
      <c r="H109" s="2">
        <f t="shared" ca="1" si="11"/>
        <v>0.19436729973723774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ca="1" si="14"/>
        <v>373.5841799528518</v>
      </c>
      <c r="F110" s="2">
        <f t="shared" ca="1" si="15"/>
        <v>0</v>
      </c>
      <c r="G110" s="2">
        <f t="shared" ca="1" si="16"/>
        <v>373.5841799528518</v>
      </c>
      <c r="H110" s="2">
        <f t="shared" ca="1" si="11"/>
        <v>0.19446847723573107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ca="1" si="14"/>
        <v>373.77864843008751</v>
      </c>
      <c r="F111" s="2">
        <f t="shared" ca="1" si="15"/>
        <v>0</v>
      </c>
      <c r="G111" s="2">
        <f t="shared" ca="1" si="16"/>
        <v>373.77864843008751</v>
      </c>
      <c r="H111" s="2">
        <f t="shared" ca="1" si="11"/>
        <v>0.19456970740196339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ca="1" si="14"/>
        <v>373.97321813748948</v>
      </c>
      <c r="F112" s="2">
        <f t="shared" ca="1" si="15"/>
        <v>0</v>
      </c>
      <c r="G112" s="2">
        <f t="shared" ca="1" si="16"/>
        <v>373.97321813748948</v>
      </c>
      <c r="H112" s="2">
        <f t="shared" ca="1" si="11"/>
        <v>0.19467099026335069</v>
      </c>
      <c r="I112" s="2">
        <f t="shared" ca="1" si="12"/>
        <v>20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ca="1" si="14"/>
        <v>394.16788912775286</v>
      </c>
      <c r="F113" s="2">
        <f t="shared" ca="1" si="15"/>
        <v>0</v>
      </c>
      <c r="G113" s="2">
        <f t="shared" ca="1" si="16"/>
        <v>394.16788912775286</v>
      </c>
      <c r="H113" s="2">
        <f t="shared" ca="1" si="11"/>
        <v>0.20518328475143299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ca="1" si="14"/>
        <v>394.37307241250431</v>
      </c>
      <c r="F114" s="2">
        <f t="shared" ca="1" si="15"/>
        <v>0</v>
      </c>
      <c r="G114" s="2">
        <f t="shared" ca="1" si="16"/>
        <v>394.37307241250431</v>
      </c>
      <c r="H114" s="2">
        <f t="shared" ca="1" si="11"/>
        <v>0.20529009248870089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ca="1" si="14"/>
        <v>394.57836250499304</v>
      </c>
      <c r="F115" s="2">
        <f t="shared" ca="1" si="15"/>
        <v>0</v>
      </c>
      <c r="G115" s="2">
        <f t="shared" ca="1" si="16"/>
        <v>394.57836250499304</v>
      </c>
      <c r="H115" s="2">
        <f t="shared" ca="1" si="11"/>
        <v>0.20539695582451695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ca="1" si="14"/>
        <v>394.78375946081758</v>
      </c>
      <c r="F116" s="2">
        <f t="shared" ca="1" si="15"/>
        <v>0</v>
      </c>
      <c r="G116" s="2">
        <f t="shared" ca="1" si="16"/>
        <v>394.78375946081758</v>
      </c>
      <c r="H116" s="2">
        <f t="shared" ca="1" si="11"/>
        <v>0.20550387478782284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ca="1" si="14"/>
        <v>394.98926333560541</v>
      </c>
      <c r="F117" s="2">
        <f t="shared" ca="1" si="15"/>
        <v>0</v>
      </c>
      <c r="G117" s="2">
        <f t="shared" ca="1" si="16"/>
        <v>394.98926333560541</v>
      </c>
      <c r="H117" s="2">
        <f t="shared" ca="1" si="11"/>
        <v>0.20561084940757543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ca="1" si="14"/>
        <v>395.19487418501296</v>
      </c>
      <c r="F118" s="2">
        <f t="shared" ca="1" si="15"/>
        <v>0</v>
      </c>
      <c r="G118" s="2">
        <f t="shared" ca="1" si="16"/>
        <v>395.19487418501296</v>
      </c>
      <c r="H118" s="2">
        <f t="shared" ca="1" si="11"/>
        <v>0.20571787971274649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ca="1" si="14"/>
        <v>395.40059206472569</v>
      </c>
      <c r="F119" s="2">
        <f t="shared" ca="1" si="15"/>
        <v>0</v>
      </c>
      <c r="G119" s="2">
        <f t="shared" ca="1" si="16"/>
        <v>395.40059206472569</v>
      </c>
      <c r="H119" s="2">
        <f t="shared" ca="1" si="11"/>
        <v>0.20582496573232295</v>
      </c>
      <c r="I119" s="2">
        <f t="shared" ca="1" si="12"/>
        <v>20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ca="1" si="14"/>
        <v>415.60641703045803</v>
      </c>
      <c r="F120" s="2">
        <f t="shared" ca="1" si="15"/>
        <v>0</v>
      </c>
      <c r="G120" s="2">
        <f t="shared" ca="1" si="16"/>
        <v>415.60641703045803</v>
      </c>
      <c r="H120" s="2">
        <f t="shared" ca="1" si="11"/>
        <v>0.21634306639941653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ca="1" si="14"/>
        <v>415.82276009685745</v>
      </c>
      <c r="F121" s="2">
        <f t="shared" ca="1" si="15"/>
        <v>0</v>
      </c>
      <c r="G121" s="2">
        <f t="shared" ca="1" si="16"/>
        <v>415.82276009685745</v>
      </c>
      <c r="H121" s="2">
        <f t="shared" ca="1" si="11"/>
        <v>0.21645568333809018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ca="1" si="14"/>
        <v>416.03921578019555</v>
      </c>
      <c r="F122" s="2">
        <f t="shared" ca="1" si="15"/>
        <v>0</v>
      </c>
      <c r="G122" s="2">
        <f t="shared" ca="1" si="16"/>
        <v>416.03921578019555</v>
      </c>
      <c r="H122" s="2">
        <f t="shared" ca="1" si="11"/>
        <v>0.21656835889927986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ca="1" si="14"/>
        <v>416.25578413909483</v>
      </c>
      <c r="F123" s="2">
        <f t="shared" ca="1" si="15"/>
        <v>135.01908077695737</v>
      </c>
      <c r="G123" s="2">
        <f t="shared" ca="1" si="16"/>
        <v>281.23670336213746</v>
      </c>
      <c r="H123" s="2">
        <f t="shared" ca="1" si="11"/>
        <v>0.14639718805152363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ca="1" si="14"/>
        <v>281.383100550189</v>
      </c>
      <c r="F124" s="2">
        <f t="shared" ca="1" si="15"/>
        <v>0</v>
      </c>
      <c r="G124" s="2">
        <f t="shared" ca="1" si="16"/>
        <v>281.383100550189</v>
      </c>
      <c r="H124" s="2">
        <f t="shared" ca="1" si="11"/>
        <v>0.14647339480694768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ca="1" si="14"/>
        <v>281.52957394499595</v>
      </c>
      <c r="F125" s="2">
        <f t="shared" ca="1" si="15"/>
        <v>0</v>
      </c>
      <c r="G125" s="2">
        <f t="shared" ca="1" si="16"/>
        <v>281.52957394499595</v>
      </c>
      <c r="H125" s="2">
        <f t="shared" ca="1" si="11"/>
        <v>0.14654964123164174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ca="1" si="14"/>
        <v>281.67612358622756</v>
      </c>
      <c r="F126" s="2">
        <f t="shared" ca="1" si="15"/>
        <v>0</v>
      </c>
      <c r="G126" s="2">
        <f t="shared" ca="1" si="16"/>
        <v>281.67612358622756</v>
      </c>
      <c r="H126" s="2">
        <f t="shared" ca="1" si="11"/>
        <v>0.14662592734625543</v>
      </c>
      <c r="I126" s="2">
        <f t="shared" ca="1" si="12"/>
        <v>20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ca="1" si="14"/>
        <v>301.8227495135738</v>
      </c>
      <c r="F127" s="2">
        <f t="shared" ca="1" si="15"/>
        <v>0</v>
      </c>
      <c r="G127" s="2">
        <f t="shared" ca="1" si="16"/>
        <v>301.8227495135738</v>
      </c>
      <c r="H127" s="2">
        <f t="shared" ca="1" si="11"/>
        <v>0.15711321207555898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ca="1" si="14"/>
        <v>301.97986272564935</v>
      </c>
      <c r="F128" s="2">
        <f t="shared" ca="1" si="15"/>
        <v>0</v>
      </c>
      <c r="G128" s="2">
        <f t="shared" ca="1" si="16"/>
        <v>301.97986272564935</v>
      </c>
      <c r="H128" s="2">
        <f t="shared" ca="1" si="11"/>
        <v>0.15719499703526954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ca="1" si="14"/>
        <v>302.13705772268463</v>
      </c>
      <c r="F129" s="2">
        <f t="shared" ca="1" si="15"/>
        <v>0</v>
      </c>
      <c r="G129" s="2">
        <f t="shared" ca="1" si="16"/>
        <v>302.13705772268463</v>
      </c>
      <c r="H129" s="2">
        <f t="shared" ca="1" si="11"/>
        <v>0.15727682456797284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ca="1" si="14"/>
        <v>302.29433454725262</v>
      </c>
      <c r="F130" s="2">
        <f t="shared" ca="1" si="15"/>
        <v>0</v>
      </c>
      <c r="G130" s="2">
        <f t="shared" ca="1" si="16"/>
        <v>302.29433454725262</v>
      </c>
      <c r="H130" s="2">
        <f t="shared" ca="1" si="11"/>
        <v>0.15735869469583014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ca="1" si="14"/>
        <v>302.45169324194848</v>
      </c>
      <c r="F131" s="2">
        <f t="shared" ca="1" si="15"/>
        <v>0</v>
      </c>
      <c r="G131" s="2">
        <f t="shared" ca="1" si="16"/>
        <v>302.45169324194848</v>
      </c>
      <c r="H131" s="2">
        <f t="shared" ca="1" si="11"/>
        <v>0.15744060744101426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ca="1" si="14"/>
        <v>302.60913384938948</v>
      </c>
      <c r="F132" s="2">
        <f t="shared" ca="1" si="15"/>
        <v>0</v>
      </c>
      <c r="G132" s="2">
        <f t="shared" ca="1" si="16"/>
        <v>302.60913384938948</v>
      </c>
      <c r="H132" s="2">
        <f t="shared" ca="1" si="11"/>
        <v>0.15752256282570959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ca="1" si="14"/>
        <v>302.76665641221518</v>
      </c>
      <c r="F133" s="2">
        <f t="shared" ca="1" si="15"/>
        <v>0</v>
      </c>
      <c r="G133" s="2">
        <f t="shared" ca="1" si="16"/>
        <v>302.76665641221518</v>
      </c>
      <c r="H133" s="2">
        <f t="shared" ca="1" si="11"/>
        <v>0.157604560872112</v>
      </c>
      <c r="I133" s="2">
        <f t="shared" ca="1" si="12"/>
        <v>20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ca="1" si="14"/>
        <v>322.92426097308731</v>
      </c>
      <c r="F134" s="2">
        <f t="shared" ca="1" si="15"/>
        <v>0</v>
      </c>
      <c r="G134" s="2">
        <f t="shared" ca="1" si="16"/>
        <v>322.92426097308731</v>
      </c>
      <c r="H134" s="2">
        <f t="shared" ca="1" si="11"/>
        <v>0.16809756050653862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ca="1" si="14"/>
        <v>323.09235853359388</v>
      </c>
      <c r="F135" s="2">
        <f t="shared" ca="1" si="15"/>
        <v>0</v>
      </c>
      <c r="G135" s="2">
        <f t="shared" ca="1" si="16"/>
        <v>323.09235853359388</v>
      </c>
      <c r="H135" s="2">
        <f t="shared" ca="1" si="11"/>
        <v>0.16818506334625435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ca="1" si="14"/>
        <v>323.26054359694012</v>
      </c>
      <c r="F136" s="2">
        <f t="shared" ca="1" si="15"/>
        <v>0</v>
      </c>
      <c r="G136" s="2">
        <f t="shared" ca="1" si="16"/>
        <v>323.26054359694012</v>
      </c>
      <c r="H136" s="2">
        <f t="shared" ca="1" si="11"/>
        <v>0.16827261173539351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ca="1" si="14"/>
        <v>323.42881620867553</v>
      </c>
      <c r="F137" s="2">
        <f t="shared" ca="1" si="15"/>
        <v>135.01908077695737</v>
      </c>
      <c r="G137" s="2">
        <f t="shared" ca="1" si="16"/>
        <v>188.40973543171816</v>
      </c>
      <c r="H137" s="2">
        <f t="shared" ca="1" si="11"/>
        <v>9.8076300635688909E-2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ca="1" si="14"/>
        <v>188.50781173235384</v>
      </c>
      <c r="F138" s="2">
        <f t="shared" ca="1" si="15"/>
        <v>0</v>
      </c>
      <c r="G138" s="2">
        <f t="shared" ca="1" si="16"/>
        <v>188.50781173235384</v>
      </c>
      <c r="H138" s="2">
        <f t="shared" ca="1" si="11"/>
        <v>9.8127354052458163E-2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ca="1" si="14"/>
        <v>188.60593908640629</v>
      </c>
      <c r="F139" s="2">
        <f t="shared" ca="1" si="15"/>
        <v>0</v>
      </c>
      <c r="G139" s="2">
        <f t="shared" ca="1" si="16"/>
        <v>188.60593908640629</v>
      </c>
      <c r="H139" s="2">
        <f t="shared" ca="1" si="11"/>
        <v>9.8178434044978627E-2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ca="1" si="14"/>
        <v>188.70411752045126</v>
      </c>
      <c r="F140" s="2">
        <f t="shared" ca="1" si="15"/>
        <v>0</v>
      </c>
      <c r="G140" s="2">
        <f t="shared" ca="1" si="16"/>
        <v>188.70411752045126</v>
      </c>
      <c r="H140" s="2">
        <f t="shared" ref="H140:H203" ca="1" si="21">IF(C140&gt;$C$7,0,(G140)*$C$5/365)</f>
        <v>9.8229540627084222E-2</v>
      </c>
      <c r="I140" s="2">
        <f t="shared" ref="I140:I203" ca="1" si="22">IF(AND(C140=0,D140=7),$C$6,IF(C140=$C$7,0,IF(C140&lt;$C$7,IF(D140=7,$C$6,0),0)))</f>
        <v>20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ca="1" si="24">IF(C141&gt;$C$7,0,G140+H140+I140)</f>
        <v>208.80234706107834</v>
      </c>
      <c r="F141" s="2">
        <f t="shared" ref="F141:F204" ca="1" si="25">IF(C141&gt;$C$7,0,IF(ROUND(E141,0)&gt;0,IF(C141=0,0,IF(MOD(C141,$C$3)&gt;0,0,$C$8)),0))</f>
        <v>0</v>
      </c>
      <c r="G141" s="2">
        <f t="shared" ref="G141:G204" ca="1" si="26">IF(C141&gt;$C$7,G140,E141-F141)</f>
        <v>208.80234706107834</v>
      </c>
      <c r="H141" s="2">
        <f t="shared" ca="1" si="21"/>
        <v>0.10869163271672572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ca="1" si="24"/>
        <v>208.91103869379506</v>
      </c>
      <c r="F142" s="2">
        <f t="shared" ca="1" si="25"/>
        <v>0</v>
      </c>
      <c r="G142" s="2">
        <f t="shared" ca="1" si="26"/>
        <v>208.91103869379506</v>
      </c>
      <c r="H142" s="2">
        <f t="shared" ca="1" si="21"/>
        <v>0.10874821192279742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ca="1" si="24"/>
        <v>209.01978690571787</v>
      </c>
      <c r="F143" s="2">
        <f t="shared" ca="1" si="25"/>
        <v>0</v>
      </c>
      <c r="G143" s="2">
        <f t="shared" ca="1" si="26"/>
        <v>209.01978690571787</v>
      </c>
      <c r="H143" s="2">
        <f t="shared" ca="1" si="21"/>
        <v>0.10880482058105863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ca="1" si="24"/>
        <v>209.12859172629894</v>
      </c>
      <c r="F144" s="2">
        <f t="shared" ca="1" si="25"/>
        <v>0</v>
      </c>
      <c r="G144" s="2">
        <f t="shared" ca="1" si="26"/>
        <v>209.12859172629894</v>
      </c>
      <c r="H144" s="2">
        <f t="shared" ca="1" si="21"/>
        <v>0.10886145870684055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ca="1" si="24"/>
        <v>209.23745318500576</v>
      </c>
      <c r="F145" s="2">
        <f t="shared" ca="1" si="25"/>
        <v>0</v>
      </c>
      <c r="G145" s="2">
        <f t="shared" ca="1" si="26"/>
        <v>209.23745318500576</v>
      </c>
      <c r="H145" s="2">
        <f t="shared" ca="1" si="21"/>
        <v>0.10891812631548245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ca="1" si="24"/>
        <v>209.34637131132123</v>
      </c>
      <c r="F146" s="2">
        <f t="shared" ca="1" si="25"/>
        <v>0</v>
      </c>
      <c r="G146" s="2">
        <f t="shared" ca="1" si="26"/>
        <v>209.34637131132123</v>
      </c>
      <c r="H146" s="2">
        <f t="shared" ca="1" si="21"/>
        <v>0.1089748234223316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ca="1" si="24"/>
        <v>209.45534613474356</v>
      </c>
      <c r="F147" s="2">
        <f t="shared" ca="1" si="25"/>
        <v>0</v>
      </c>
      <c r="G147" s="2">
        <f t="shared" ca="1" si="26"/>
        <v>209.45534613474356</v>
      </c>
      <c r="H147" s="2">
        <f t="shared" ca="1" si="21"/>
        <v>0.10903155004274323</v>
      </c>
      <c r="I147" s="2">
        <f t="shared" ca="1" si="22"/>
        <v>20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ca="1" si="24"/>
        <v>229.56437768478631</v>
      </c>
      <c r="F148" s="2">
        <f t="shared" ca="1" si="25"/>
        <v>0</v>
      </c>
      <c r="G148" s="2">
        <f t="shared" ca="1" si="26"/>
        <v>229.56437768478631</v>
      </c>
      <c r="H148" s="2">
        <f t="shared" ca="1" si="21"/>
        <v>0.11949926509619013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ca="1" si="24"/>
        <v>229.68387694988249</v>
      </c>
      <c r="F149" s="2">
        <f t="shared" ca="1" si="25"/>
        <v>0</v>
      </c>
      <c r="G149" s="2">
        <f t="shared" ca="1" si="26"/>
        <v>229.68387694988249</v>
      </c>
      <c r="H149" s="2">
        <f t="shared" ca="1" si="21"/>
        <v>0.11956147019308952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ca="1" si="24"/>
        <v>229.80343842007557</v>
      </c>
      <c r="F150" s="2">
        <f t="shared" ca="1" si="25"/>
        <v>0</v>
      </c>
      <c r="G150" s="2">
        <f t="shared" ca="1" si="26"/>
        <v>229.80343842007557</v>
      </c>
      <c r="H150" s="2">
        <f t="shared" ca="1" si="21"/>
        <v>0.11962370767072428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ca="1" si="24"/>
        <v>229.92306212774628</v>
      </c>
      <c r="F151" s="2">
        <f t="shared" ca="1" si="25"/>
        <v>135.01908077695737</v>
      </c>
      <c r="G151" s="2">
        <f t="shared" ca="1" si="26"/>
        <v>94.903981350788911</v>
      </c>
      <c r="H151" s="2">
        <f t="shared" ca="1" si="21"/>
        <v>4.9402072483972312E-2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ca="1" si="24"/>
        <v>94.953383423272882</v>
      </c>
      <c r="F152" s="2">
        <f t="shared" ca="1" si="25"/>
        <v>0</v>
      </c>
      <c r="G152" s="2">
        <f t="shared" ca="1" si="26"/>
        <v>94.953383423272882</v>
      </c>
      <c r="H152" s="2">
        <f t="shared" ca="1" si="21"/>
        <v>4.9427788631292741E-2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ca="1" si="24"/>
        <v>95.002811211904174</v>
      </c>
      <c r="F153" s="2">
        <f t="shared" ca="1" si="25"/>
        <v>0</v>
      </c>
      <c r="G153" s="2">
        <f t="shared" ca="1" si="26"/>
        <v>95.002811211904174</v>
      </c>
      <c r="H153" s="2">
        <f t="shared" ca="1" si="21"/>
        <v>4.9453518165100796E-2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ca="1" si="24"/>
        <v>95.052264730069268</v>
      </c>
      <c r="F154" s="2">
        <f t="shared" ca="1" si="25"/>
        <v>0</v>
      </c>
      <c r="G154" s="2">
        <f t="shared" ca="1" si="26"/>
        <v>95.052264730069268</v>
      </c>
      <c r="H154" s="2">
        <f t="shared" ca="1" si="21"/>
        <v>4.9479261092364828E-2</v>
      </c>
      <c r="I154" s="2">
        <f t="shared" ca="1" si="22"/>
        <v>20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ca="1" si="24"/>
        <v>115.10174399116163</v>
      </c>
      <c r="F155" s="2">
        <f t="shared" ca="1" si="25"/>
        <v>0</v>
      </c>
      <c r="G155" s="2">
        <f t="shared" ca="1" si="26"/>
        <v>115.10174399116163</v>
      </c>
      <c r="H155" s="2">
        <f t="shared" ca="1" si="21"/>
        <v>5.9915976324166328E-2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ca="1" si="24"/>
        <v>115.16165996748579</v>
      </c>
      <c r="F156" s="2">
        <f t="shared" ca="1" si="25"/>
        <v>0</v>
      </c>
      <c r="G156" s="2">
        <f t="shared" ca="1" si="26"/>
        <v>115.16165996748579</v>
      </c>
      <c r="H156" s="2">
        <f t="shared" ca="1" si="21"/>
        <v>5.9947165462526847E-2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ca="1" si="24"/>
        <v>115.22160713294832</v>
      </c>
      <c r="F157" s="2">
        <f t="shared" ca="1" si="25"/>
        <v>0</v>
      </c>
      <c r="G157" s="2">
        <f t="shared" ca="1" si="26"/>
        <v>115.22160713294832</v>
      </c>
      <c r="H157" s="2">
        <f t="shared" ca="1" si="21"/>
        <v>5.9978370836329266E-2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ca="1" si="24"/>
        <v>115.28158550378465</v>
      </c>
      <c r="F158" s="2">
        <f t="shared" ca="1" si="25"/>
        <v>0</v>
      </c>
      <c r="G158" s="2">
        <f t="shared" ca="1" si="26"/>
        <v>115.28158550378465</v>
      </c>
      <c r="H158" s="2">
        <f t="shared" ca="1" si="21"/>
        <v>6.0009592454024888E-2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ca="1" si="24"/>
        <v>115.34159509623868</v>
      </c>
      <c r="F159" s="2">
        <f t="shared" ca="1" si="25"/>
        <v>0</v>
      </c>
      <c r="G159" s="2">
        <f t="shared" ca="1" si="26"/>
        <v>115.34159509623868</v>
      </c>
      <c r="H159" s="2">
        <f t="shared" ca="1" si="21"/>
        <v>6.0040830324069448E-2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ca="1" si="24"/>
        <v>115.40163592656275</v>
      </c>
      <c r="F160" s="2">
        <f t="shared" ca="1" si="25"/>
        <v>0</v>
      </c>
      <c r="G160" s="2">
        <f t="shared" ca="1" si="26"/>
        <v>115.40163592656275</v>
      </c>
      <c r="H160" s="2">
        <f t="shared" ca="1" si="21"/>
        <v>6.0072084454923076E-2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ca="1" si="24"/>
        <v>115.46170801101768</v>
      </c>
      <c r="F161" s="2">
        <f t="shared" ca="1" si="25"/>
        <v>0</v>
      </c>
      <c r="G161" s="2">
        <f t="shared" ca="1" si="26"/>
        <v>115.46170801101768</v>
      </c>
      <c r="H161" s="2">
        <f t="shared" ca="1" si="21"/>
        <v>6.0103354855050299E-2</v>
      </c>
      <c r="I161" s="2">
        <f t="shared" ca="1" si="22"/>
        <v>20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ca="1" si="24"/>
        <v>135.52181136587274</v>
      </c>
      <c r="F162" s="2">
        <f t="shared" ca="1" si="25"/>
        <v>0</v>
      </c>
      <c r="G162" s="2">
        <f t="shared" ca="1" si="26"/>
        <v>135.52181136587274</v>
      </c>
      <c r="H162" s="2">
        <f t="shared" ca="1" si="21"/>
        <v>7.0545600437029635E-2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ca="1" si="24"/>
        <v>135.59235696630978</v>
      </c>
      <c r="F163" s="2">
        <f t="shared" ca="1" si="25"/>
        <v>0</v>
      </c>
      <c r="G163" s="2">
        <f t="shared" ca="1" si="26"/>
        <v>135.59235696630978</v>
      </c>
      <c r="H163" s="2">
        <f t="shared" ca="1" si="21"/>
        <v>7.0582322804380426E-2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ca="1" si="24"/>
        <v>135.66293928911415</v>
      </c>
      <c r="F164" s="2">
        <f t="shared" ca="1" si="25"/>
        <v>0</v>
      </c>
      <c r="G164" s="2">
        <f t="shared" ca="1" si="26"/>
        <v>135.66293928911415</v>
      </c>
      <c r="H164" s="2">
        <f t="shared" ca="1" si="21"/>
        <v>7.0619064287484073E-2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ca="1" si="24"/>
        <v>135.73355835340163</v>
      </c>
      <c r="F165" s="2">
        <f t="shared" ca="1" si="25"/>
        <v>135.01908077695737</v>
      </c>
      <c r="G165" s="2">
        <f t="shared" ca="1" si="26"/>
        <v>0.71447757644426702</v>
      </c>
      <c r="H165" s="2">
        <f t="shared" ca="1" si="21"/>
        <v>3.7191983431345411E-4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si="24"/>
        <v>0</v>
      </c>
      <c r="F166" s="2">
        <f t="shared" si="25"/>
        <v>0</v>
      </c>
      <c r="G166" s="2">
        <f t="shared" ca="1" si="26"/>
        <v>0.71447757644426702</v>
      </c>
      <c r="H166" s="2">
        <f t="shared" si="21"/>
        <v>0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si="24"/>
        <v>0</v>
      </c>
      <c r="F167" s="2">
        <f t="shared" si="25"/>
        <v>0</v>
      </c>
      <c r="G167" s="2">
        <f t="shared" ca="1" si="26"/>
        <v>0.71447757644426702</v>
      </c>
      <c r="H167" s="2">
        <f t="shared" si="21"/>
        <v>0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si="24"/>
        <v>0</v>
      </c>
      <c r="F168" s="2">
        <f t="shared" si="25"/>
        <v>0</v>
      </c>
      <c r="G168" s="2">
        <f t="shared" ca="1" si="26"/>
        <v>0.71447757644426702</v>
      </c>
      <c r="H168" s="2">
        <f t="shared" si="21"/>
        <v>0</v>
      </c>
      <c r="I168" s="2">
        <f t="shared" ca="1" si="22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si="24"/>
        <v>0</v>
      </c>
      <c r="F169" s="2">
        <f t="shared" si="25"/>
        <v>0</v>
      </c>
      <c r="G169" s="2">
        <f t="shared" ca="1" si="26"/>
        <v>0.71447757644426702</v>
      </c>
      <c r="H169" s="2">
        <f t="shared" si="21"/>
        <v>0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si="24"/>
        <v>0</v>
      </c>
      <c r="F170" s="2">
        <f t="shared" si="25"/>
        <v>0</v>
      </c>
      <c r="G170" s="2">
        <f t="shared" ca="1" si="26"/>
        <v>0.71447757644426702</v>
      </c>
      <c r="H170" s="2">
        <f t="shared" si="21"/>
        <v>0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si="24"/>
        <v>0</v>
      </c>
      <c r="F171" s="2">
        <f t="shared" si="25"/>
        <v>0</v>
      </c>
      <c r="G171" s="2">
        <f t="shared" ca="1" si="26"/>
        <v>0.71447757644426702</v>
      </c>
      <c r="H171" s="2">
        <f t="shared" si="21"/>
        <v>0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si="24"/>
        <v>0</v>
      </c>
      <c r="F172" s="2">
        <f t="shared" si="25"/>
        <v>0</v>
      </c>
      <c r="G172" s="2">
        <f t="shared" ca="1" si="26"/>
        <v>0.71447757644426702</v>
      </c>
      <c r="H172" s="2">
        <f t="shared" si="21"/>
        <v>0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si="24"/>
        <v>0</v>
      </c>
      <c r="F173" s="2">
        <f t="shared" si="25"/>
        <v>0</v>
      </c>
      <c r="G173" s="2">
        <f t="shared" ca="1" si="26"/>
        <v>0.71447757644426702</v>
      </c>
      <c r="H173" s="2">
        <f t="shared" si="21"/>
        <v>0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si="24"/>
        <v>0</v>
      </c>
      <c r="F174" s="2">
        <f t="shared" si="25"/>
        <v>0</v>
      </c>
      <c r="G174" s="2">
        <f t="shared" ca="1" si="26"/>
        <v>0.71447757644426702</v>
      </c>
      <c r="H174" s="2">
        <f t="shared" si="21"/>
        <v>0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si="24"/>
        <v>0</v>
      </c>
      <c r="F175" s="2">
        <f t="shared" si="25"/>
        <v>0</v>
      </c>
      <c r="G175" s="2">
        <f t="shared" ca="1" si="26"/>
        <v>0.71447757644426702</v>
      </c>
      <c r="H175" s="2">
        <f t="shared" si="21"/>
        <v>0</v>
      </c>
      <c r="I175" s="2">
        <f t="shared" ca="1" si="22"/>
        <v>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si="24"/>
        <v>0</v>
      </c>
      <c r="F176" s="2">
        <f t="shared" si="25"/>
        <v>0</v>
      </c>
      <c r="G176" s="2">
        <f t="shared" ca="1" si="26"/>
        <v>0.71447757644426702</v>
      </c>
      <c r="H176" s="2">
        <f t="shared" si="21"/>
        <v>0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si="24"/>
        <v>0</v>
      </c>
      <c r="F177" s="2">
        <f t="shared" si="25"/>
        <v>0</v>
      </c>
      <c r="G177" s="2">
        <f t="shared" ca="1" si="26"/>
        <v>0.71447757644426702</v>
      </c>
      <c r="H177" s="2">
        <f t="shared" si="21"/>
        <v>0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si="24"/>
        <v>0</v>
      </c>
      <c r="F178" s="2">
        <f t="shared" si="25"/>
        <v>0</v>
      </c>
      <c r="G178" s="2">
        <f t="shared" ca="1" si="26"/>
        <v>0.71447757644426702</v>
      </c>
      <c r="H178" s="2">
        <f t="shared" si="21"/>
        <v>0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si="24"/>
        <v>0</v>
      </c>
      <c r="F179" s="2">
        <f t="shared" si="25"/>
        <v>0</v>
      </c>
      <c r="G179" s="2">
        <f t="shared" ca="1" si="26"/>
        <v>0.71447757644426702</v>
      </c>
      <c r="H179" s="2">
        <f t="shared" si="21"/>
        <v>0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0.71447757644426702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0.71447757644426702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0.71447757644426702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0.71447757644426702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0.71447757644426702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0.71447757644426702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0.71447757644426702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0.71447757644426702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0.71447757644426702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0.71447757644426702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0.71447757644426702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0.71447757644426702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0.71447757644426702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0.71447757644426702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0.71447757644426702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0.71447757644426702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0.71447757644426702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0.71447757644426702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0.71447757644426702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0.71447757644426702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0.71447757644426702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0.71447757644426702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0.71447757644426702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0.71447757644426702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0.71447757644426702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0.71447757644426702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0.71447757644426702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0.71447757644426702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0.71447757644426702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0.71447757644426702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0.71447757644426702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0.71447757644426702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B11:I211">
    <cfRule type="expression" dxfId="37" priority="3">
      <formula>$C11=$C$7</formula>
    </cfRule>
    <cfRule type="expression" dxfId="36" priority="4">
      <formula>$C11&gt;$C$7</formula>
    </cfRule>
  </conditionalFormatting>
  <conditionalFormatting sqref="E7">
    <cfRule type="cellIs" dxfId="35" priority="1" operator="equal">
      <formula>"No RESET Required"</formula>
    </cfRule>
    <cfRule type="cellIs" dxfId="34" priority="2" operator="equal">
      <formula>"RESET"</formula>
    </cfRule>
  </conditionalFormatting>
  <hyperlinks>
    <hyperlink ref="H2:I4" location="Summary!A1" display="Return to Home" xr:uid="{E03E2700-0AD6-4DDF-8FE8-9749FE83B2B6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127000</xdr:colOff>
                    <xdr:row>5</xdr:row>
                    <xdr:rowOff>38100</xdr:rowOff>
                  </from>
                  <to>
                    <xdr:col>8</xdr:col>
                    <xdr:colOff>1473200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B2DFB-E6D1-4403-8B76-355D9BEB1172}">
  <sheetPr codeName="Sheet15">
    <tabColor rgb="FF7030A0"/>
  </sheetPr>
  <dimension ref="B1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3" customWidth="1"/>
    <col min="9" max="9" width="25" bestFit="1" customWidth="1"/>
  </cols>
  <sheetData>
    <row r="1" spans="2:9" ht="16" thickBot="1" x14ac:dyDescent="0.25"/>
    <row r="2" spans="2:9" x14ac:dyDescent="0.2">
      <c r="B2" s="1" t="s">
        <v>0</v>
      </c>
      <c r="C2" s="13">
        <v>1250</v>
      </c>
      <c r="E2" s="1" t="s">
        <v>1</v>
      </c>
      <c r="F2" s="16">
        <f ca="1">TODAY()-1</f>
        <v>44048</v>
      </c>
      <c r="H2" s="23" t="s">
        <v>34</v>
      </c>
      <c r="I2" s="24"/>
    </row>
    <row r="3" spans="2:9" x14ac:dyDescent="0.2">
      <c r="B3" s="1" t="s">
        <v>2</v>
      </c>
      <c r="C3" s="11">
        <v>14</v>
      </c>
      <c r="E3" s="1" t="s">
        <v>3</v>
      </c>
      <c r="F3" s="15">
        <f ca="1">SUM(H11:H211)</f>
        <v>61.86519821426667</v>
      </c>
      <c r="H3" s="25"/>
      <c r="I3" s="26"/>
    </row>
    <row r="4" spans="2:9" ht="16" thickBot="1" x14ac:dyDescent="0.25">
      <c r="B4" s="1" t="s">
        <v>4</v>
      </c>
      <c r="C4" s="9">
        <f>C7/C3</f>
        <v>12</v>
      </c>
      <c r="E4" s="1" t="s">
        <v>5</v>
      </c>
      <c r="F4" s="15">
        <f ca="1">SUM(I11:I211)</f>
        <v>480</v>
      </c>
      <c r="H4" s="27"/>
      <c r="I4" s="28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1791.0824765532636</v>
      </c>
    </row>
    <row r="6" spans="2:9" ht="16" thickBot="1" x14ac:dyDescent="0.25">
      <c r="B6" s="1" t="s">
        <v>8</v>
      </c>
      <c r="C6" s="13">
        <v>20</v>
      </c>
    </row>
    <row r="7" spans="2:9" ht="14.5" customHeight="1" x14ac:dyDescent="0.2">
      <c r="B7" s="1" t="s">
        <v>9</v>
      </c>
      <c r="C7" s="11">
        <v>168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149.25687304610534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1250</v>
      </c>
      <c r="H11" s="2">
        <f ca="1">IF(C11&gt;$C$7,0,(G11)*$C$5/365)</f>
        <v>0.65068493150684936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1250.6506849315069</v>
      </c>
      <c r="F12" s="2">
        <f ca="1">IF(C12&gt;$C$7,0,IF(ROUND(E12,0)&gt;0,IF(C12=0,0,IF(MOD(C12,$C$3)&gt;0,0,$C$8)),0))</f>
        <v>0</v>
      </c>
      <c r="G12" s="2">
        <f ca="1">IF(C12&gt;$C$7,G11,E12-F12)</f>
        <v>1250.6506849315069</v>
      </c>
      <c r="H12" s="2">
        <f t="shared" ref="H12:H75" ca="1" si="1">IF(C12&gt;$C$7,0,(G12)*$C$5/365)</f>
        <v>0.6510236442109214</v>
      </c>
      <c r="I12" s="2">
        <f t="shared" ref="I12:I75" ca="1" si="2">IF(AND(C12=0,D12=7),$C$6,IF(C12=$C$7,0,IF(C12&lt;$C$7,IF(D12=7,$C$6,0),0)))</f>
        <v>0</v>
      </c>
    </row>
    <row r="13" spans="2:9" x14ac:dyDescent="0.2">
      <c r="B13" s="4">
        <f t="shared" ref="B13:C28" ca="1" si="3">B12+1</f>
        <v>44050</v>
      </c>
      <c r="C13">
        <f t="shared" si="3"/>
        <v>2</v>
      </c>
      <c r="D13">
        <f t="shared" ca="1" si="0"/>
        <v>6</v>
      </c>
      <c r="E13" s="2">
        <f t="shared" ref="E13:E76" ca="1" si="4">IF(C13&gt;$C$7,0,G12+H12+I12)</f>
        <v>1251.3017085757178</v>
      </c>
      <c r="F13" s="2">
        <f t="shared" ref="F13:F76" ca="1" si="5">IF(C13&gt;$C$7,0,IF(ROUND(E13,0)&gt;0,IF(C13=0,0,IF(MOD(C13,$C$3)&gt;0,0,$C$8)),0))</f>
        <v>0</v>
      </c>
      <c r="G13" s="2">
        <f t="shared" ref="G13:G76" ca="1" si="6">IF(C13&gt;$C$7,G12,E13-F13)</f>
        <v>1251.3017085757178</v>
      </c>
      <c r="H13" s="2">
        <f t="shared" ca="1" si="1"/>
        <v>0.65136253323119553</v>
      </c>
      <c r="I13" s="2">
        <f t="shared" ca="1" si="2"/>
        <v>0</v>
      </c>
    </row>
    <row r="14" spans="2:9" x14ac:dyDescent="0.2">
      <c r="B14" s="4">
        <f t="shared" ca="1" si="3"/>
        <v>44051</v>
      </c>
      <c r="C14">
        <f t="shared" si="3"/>
        <v>3</v>
      </c>
      <c r="D14">
        <f t="shared" ca="1" si="0"/>
        <v>7</v>
      </c>
      <c r="E14" s="2">
        <f t="shared" ca="1" si="4"/>
        <v>1251.953071108949</v>
      </c>
      <c r="F14" s="2">
        <f t="shared" ca="1" si="5"/>
        <v>0</v>
      </c>
      <c r="G14" s="2">
        <f t="shared" ca="1" si="6"/>
        <v>1251.953071108949</v>
      </c>
      <c r="H14" s="2">
        <f t="shared" ca="1" si="1"/>
        <v>0.65170159865945287</v>
      </c>
      <c r="I14" s="2">
        <f t="shared" ca="1" si="2"/>
        <v>20</v>
      </c>
    </row>
    <row r="15" spans="2:9" x14ac:dyDescent="0.2">
      <c r="B15" s="4">
        <f t="shared" ca="1" si="3"/>
        <v>44052</v>
      </c>
      <c r="C15">
        <f t="shared" si="3"/>
        <v>4</v>
      </c>
      <c r="D15">
        <f t="shared" ca="1" si="0"/>
        <v>1</v>
      </c>
      <c r="E15" s="2">
        <f t="shared" ca="1" si="4"/>
        <v>1272.6047727076084</v>
      </c>
      <c r="F15" s="2">
        <f t="shared" ca="1" si="5"/>
        <v>0</v>
      </c>
      <c r="G15" s="2">
        <f t="shared" ca="1" si="6"/>
        <v>1272.6047727076084</v>
      </c>
      <c r="H15" s="2">
        <f t="shared" ca="1" si="1"/>
        <v>0.6624517994916318</v>
      </c>
      <c r="I15" s="2">
        <f t="shared" ca="1" si="2"/>
        <v>0</v>
      </c>
    </row>
    <row r="16" spans="2:9" x14ac:dyDescent="0.2">
      <c r="B16" s="4">
        <f t="shared" ca="1" si="3"/>
        <v>44053</v>
      </c>
      <c r="C16">
        <f t="shared" si="3"/>
        <v>5</v>
      </c>
      <c r="D16">
        <f t="shared" ca="1" si="0"/>
        <v>2</v>
      </c>
      <c r="E16" s="2">
        <f t="shared" ca="1" si="4"/>
        <v>1273.2672245071001</v>
      </c>
      <c r="F16" s="2">
        <f t="shared" ca="1" si="5"/>
        <v>0</v>
      </c>
      <c r="G16" s="2">
        <f t="shared" ca="1" si="6"/>
        <v>1273.2672245071001</v>
      </c>
      <c r="H16" s="2">
        <f t="shared" ca="1" si="1"/>
        <v>0.66279663741465489</v>
      </c>
      <c r="I16" s="2">
        <f t="shared" ca="1" si="2"/>
        <v>0</v>
      </c>
    </row>
    <row r="17" spans="2:9" x14ac:dyDescent="0.2">
      <c r="B17" s="4">
        <f t="shared" ca="1" si="3"/>
        <v>44054</v>
      </c>
      <c r="C17">
        <f t="shared" si="3"/>
        <v>6</v>
      </c>
      <c r="D17">
        <f t="shared" ca="1" si="0"/>
        <v>3</v>
      </c>
      <c r="E17" s="2">
        <f t="shared" ca="1" si="4"/>
        <v>1273.9300211445147</v>
      </c>
      <c r="F17" s="2">
        <f t="shared" ca="1" si="5"/>
        <v>0</v>
      </c>
      <c r="G17" s="2">
        <f t="shared" ca="1" si="6"/>
        <v>1273.9300211445147</v>
      </c>
      <c r="H17" s="2">
        <f t="shared" ca="1" si="1"/>
        <v>0.66314165484235021</v>
      </c>
      <c r="I17" s="2">
        <f t="shared" ca="1" si="2"/>
        <v>0</v>
      </c>
    </row>
    <row r="18" spans="2:9" x14ac:dyDescent="0.2">
      <c r="B18" s="4">
        <f t="shared" ca="1" si="3"/>
        <v>44055</v>
      </c>
      <c r="C18">
        <f t="shared" si="3"/>
        <v>7</v>
      </c>
      <c r="D18">
        <f t="shared" ca="1" si="0"/>
        <v>4</v>
      </c>
      <c r="E18" s="2">
        <f t="shared" ca="1" si="4"/>
        <v>1274.5931627993571</v>
      </c>
      <c r="F18" s="2">
        <f t="shared" ca="1" si="5"/>
        <v>0</v>
      </c>
      <c r="G18" s="2">
        <f t="shared" ca="1" si="6"/>
        <v>1274.5931627993571</v>
      </c>
      <c r="H18" s="2">
        <f t="shared" ca="1" si="1"/>
        <v>0.66348685186815848</v>
      </c>
      <c r="I18" s="2">
        <f t="shared" ca="1" si="2"/>
        <v>0</v>
      </c>
    </row>
    <row r="19" spans="2:9" x14ac:dyDescent="0.2">
      <c r="B19" s="4">
        <f t="shared" ca="1" si="3"/>
        <v>44056</v>
      </c>
      <c r="C19">
        <f t="shared" si="3"/>
        <v>8</v>
      </c>
      <c r="D19">
        <f t="shared" ca="1" si="0"/>
        <v>5</v>
      </c>
      <c r="E19" s="2">
        <f t="shared" ca="1" si="4"/>
        <v>1275.2566496512252</v>
      </c>
      <c r="F19" s="2">
        <f t="shared" ca="1" si="5"/>
        <v>0</v>
      </c>
      <c r="G19" s="2">
        <f t="shared" ca="1" si="6"/>
        <v>1275.2566496512252</v>
      </c>
      <c r="H19" s="2">
        <f t="shared" ca="1" si="1"/>
        <v>0.66383222858556934</v>
      </c>
      <c r="I19" s="2">
        <f t="shared" ca="1" si="2"/>
        <v>0</v>
      </c>
    </row>
    <row r="20" spans="2:9" x14ac:dyDescent="0.2">
      <c r="B20" s="4">
        <f t="shared" ca="1" si="3"/>
        <v>44057</v>
      </c>
      <c r="C20">
        <f t="shared" si="3"/>
        <v>9</v>
      </c>
      <c r="D20">
        <f t="shared" ca="1" si="0"/>
        <v>6</v>
      </c>
      <c r="E20" s="2">
        <f t="shared" ca="1" si="4"/>
        <v>1275.9204818798107</v>
      </c>
      <c r="F20" s="2">
        <f t="shared" ca="1" si="5"/>
        <v>0</v>
      </c>
      <c r="G20" s="2">
        <f t="shared" ca="1" si="6"/>
        <v>1275.9204818798107</v>
      </c>
      <c r="H20" s="2">
        <f t="shared" ca="1" si="1"/>
        <v>0.66417778508812064</v>
      </c>
      <c r="I20" s="2">
        <f t="shared" ca="1" si="2"/>
        <v>0</v>
      </c>
    </row>
    <row r="21" spans="2:9" x14ac:dyDescent="0.2">
      <c r="B21" s="4">
        <f t="shared" ca="1" si="3"/>
        <v>44058</v>
      </c>
      <c r="C21">
        <f t="shared" si="3"/>
        <v>10</v>
      </c>
      <c r="D21">
        <f t="shared" ca="1" si="0"/>
        <v>7</v>
      </c>
      <c r="E21" s="2">
        <f t="shared" ca="1" si="4"/>
        <v>1276.5846596648989</v>
      </c>
      <c r="F21" s="2">
        <f t="shared" ca="1" si="5"/>
        <v>0</v>
      </c>
      <c r="G21" s="2">
        <f t="shared" ca="1" si="6"/>
        <v>1276.5846596648989</v>
      </c>
      <c r="H21" s="2">
        <f t="shared" ca="1" si="1"/>
        <v>0.66452352146939941</v>
      </c>
      <c r="I21" s="2">
        <f t="shared" ca="1" si="2"/>
        <v>20</v>
      </c>
    </row>
    <row r="22" spans="2:9" x14ac:dyDescent="0.2">
      <c r="B22" s="4">
        <f t="shared" ca="1" si="3"/>
        <v>44059</v>
      </c>
      <c r="C22">
        <f t="shared" si="3"/>
        <v>11</v>
      </c>
      <c r="D22">
        <f t="shared" ca="1" si="0"/>
        <v>1</v>
      </c>
      <c r="E22" s="2">
        <f t="shared" ca="1" si="4"/>
        <v>1297.2491831863683</v>
      </c>
      <c r="F22" s="2">
        <f t="shared" ca="1" si="5"/>
        <v>0</v>
      </c>
      <c r="G22" s="2">
        <f t="shared" ca="1" si="6"/>
        <v>1297.2491831863683</v>
      </c>
      <c r="H22" s="2">
        <f t="shared" ca="1" si="1"/>
        <v>0.67528039672715068</v>
      </c>
      <c r="I22" s="2">
        <f t="shared" ca="1" si="2"/>
        <v>0</v>
      </c>
    </row>
    <row r="23" spans="2:9" x14ac:dyDescent="0.2">
      <c r="B23" s="4">
        <f t="shared" ca="1" si="3"/>
        <v>44060</v>
      </c>
      <c r="C23">
        <f t="shared" si="3"/>
        <v>12</v>
      </c>
      <c r="D23">
        <f t="shared" ca="1" si="0"/>
        <v>2</v>
      </c>
      <c r="E23" s="2">
        <f t="shared" ca="1" si="4"/>
        <v>1297.9244635830955</v>
      </c>
      <c r="F23" s="2">
        <f t="shared" ca="1" si="5"/>
        <v>0</v>
      </c>
      <c r="G23" s="2">
        <f t="shared" ca="1" si="6"/>
        <v>1297.9244635830955</v>
      </c>
      <c r="H23" s="2">
        <f t="shared" ca="1" si="1"/>
        <v>0.67563191255010446</v>
      </c>
      <c r="I23" s="2">
        <f t="shared" ca="1" si="2"/>
        <v>0</v>
      </c>
    </row>
    <row r="24" spans="2:9" x14ac:dyDescent="0.2">
      <c r="B24" s="4">
        <f t="shared" ca="1" si="3"/>
        <v>44061</v>
      </c>
      <c r="C24">
        <f t="shared" si="3"/>
        <v>13</v>
      </c>
      <c r="D24">
        <f t="shared" ca="1" si="0"/>
        <v>3</v>
      </c>
      <c r="E24" s="2">
        <f t="shared" ca="1" si="4"/>
        <v>1298.6000954956457</v>
      </c>
      <c r="F24" s="2">
        <f t="shared" ca="1" si="5"/>
        <v>0</v>
      </c>
      <c r="G24" s="2">
        <f t="shared" ca="1" si="6"/>
        <v>1298.6000954956457</v>
      </c>
      <c r="H24" s="2">
        <f t="shared" ca="1" si="1"/>
        <v>0.67598361135389784</v>
      </c>
      <c r="I24" s="2">
        <f t="shared" ca="1" si="2"/>
        <v>0</v>
      </c>
    </row>
    <row r="25" spans="2:9" x14ac:dyDescent="0.2">
      <c r="B25" s="4">
        <f t="shared" ca="1" si="3"/>
        <v>44062</v>
      </c>
      <c r="C25">
        <f t="shared" si="3"/>
        <v>14</v>
      </c>
      <c r="D25">
        <f t="shared" ca="1" si="0"/>
        <v>4</v>
      </c>
      <c r="E25" s="2">
        <f t="shared" ca="1" si="4"/>
        <v>1299.2760791069995</v>
      </c>
      <c r="F25" s="2">
        <f t="shared" ca="1" si="5"/>
        <v>149.25687304610534</v>
      </c>
      <c r="G25" s="2">
        <f t="shared" ca="1" si="6"/>
        <v>1150.0192060608942</v>
      </c>
      <c r="H25" s="2">
        <f t="shared" ca="1" si="1"/>
        <v>0.5986401346618353</v>
      </c>
      <c r="I25" s="2">
        <f t="shared" ca="1" si="2"/>
        <v>0</v>
      </c>
    </row>
    <row r="26" spans="2:9" x14ac:dyDescent="0.2">
      <c r="B26" s="4">
        <f t="shared" ca="1" si="3"/>
        <v>44063</v>
      </c>
      <c r="C26">
        <f t="shared" si="3"/>
        <v>15</v>
      </c>
      <c r="D26">
        <f t="shared" ca="1" si="0"/>
        <v>5</v>
      </c>
      <c r="E26" s="2">
        <f t="shared" ca="1" si="4"/>
        <v>1150.617846195556</v>
      </c>
      <c r="F26" s="2">
        <f t="shared" ca="1" si="5"/>
        <v>0</v>
      </c>
      <c r="G26" s="2">
        <f t="shared" ca="1" si="6"/>
        <v>1150.617846195556</v>
      </c>
      <c r="H26" s="2">
        <f t="shared" ca="1" si="1"/>
        <v>0.59895175555385105</v>
      </c>
      <c r="I26" s="2">
        <f t="shared" ca="1" si="2"/>
        <v>0</v>
      </c>
    </row>
    <row r="27" spans="2:9" x14ac:dyDescent="0.2">
      <c r="B27" s="4">
        <f t="shared" ca="1" si="3"/>
        <v>44064</v>
      </c>
      <c r="C27">
        <f t="shared" si="3"/>
        <v>16</v>
      </c>
      <c r="D27">
        <f t="shared" ca="1" si="0"/>
        <v>6</v>
      </c>
      <c r="E27" s="2">
        <f t="shared" ca="1" si="4"/>
        <v>1151.2167979511098</v>
      </c>
      <c r="F27" s="2">
        <f t="shared" ca="1" si="5"/>
        <v>0</v>
      </c>
      <c r="G27" s="2">
        <f t="shared" ca="1" si="6"/>
        <v>1151.2167979511098</v>
      </c>
      <c r="H27" s="2">
        <f t="shared" ca="1" si="1"/>
        <v>0.5992635386594819</v>
      </c>
      <c r="I27" s="2">
        <f t="shared" ca="1" si="2"/>
        <v>0</v>
      </c>
    </row>
    <row r="28" spans="2:9" x14ac:dyDescent="0.2">
      <c r="B28" s="4">
        <f t="shared" ca="1" si="3"/>
        <v>44065</v>
      </c>
      <c r="C28">
        <f t="shared" si="3"/>
        <v>17</v>
      </c>
      <c r="D28">
        <f t="shared" ca="1" si="0"/>
        <v>7</v>
      </c>
      <c r="E28" s="2">
        <f t="shared" ca="1" si="4"/>
        <v>1151.8160614897693</v>
      </c>
      <c r="F28" s="2">
        <f t="shared" ca="1" si="5"/>
        <v>0</v>
      </c>
      <c r="G28" s="2">
        <f t="shared" ca="1" si="6"/>
        <v>1151.8160614897693</v>
      </c>
      <c r="H28" s="2">
        <f t="shared" ca="1" si="1"/>
        <v>0.59957548406316763</v>
      </c>
      <c r="I28" s="2">
        <f t="shared" ca="1" si="2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4"/>
        <v>1172.4156369738325</v>
      </c>
      <c r="F29" s="2">
        <f t="shared" ca="1" si="5"/>
        <v>0</v>
      </c>
      <c r="G29" s="2">
        <f t="shared" ca="1" si="6"/>
        <v>1172.4156369738325</v>
      </c>
      <c r="H29" s="2">
        <f t="shared" ca="1" si="1"/>
        <v>0.61029855075350192</v>
      </c>
      <c r="I29" s="2">
        <f t="shared" ca="1" si="2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4"/>
        <v>1173.025935524586</v>
      </c>
      <c r="F30" s="2">
        <f t="shared" ca="1" si="5"/>
        <v>0</v>
      </c>
      <c r="G30" s="2">
        <f t="shared" ca="1" si="6"/>
        <v>1173.025935524586</v>
      </c>
      <c r="H30" s="2">
        <f t="shared" ca="1" si="1"/>
        <v>0.61061624041005846</v>
      </c>
      <c r="I30" s="2">
        <f t="shared" ca="1" si="2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4"/>
        <v>1173.6365517649961</v>
      </c>
      <c r="F31" s="2">
        <f t="shared" ca="1" si="5"/>
        <v>0</v>
      </c>
      <c r="G31" s="2">
        <f t="shared" ca="1" si="6"/>
        <v>1173.6365517649961</v>
      </c>
      <c r="H31" s="2">
        <f t="shared" ca="1" si="1"/>
        <v>0.61093409543931299</v>
      </c>
      <c r="I31" s="2">
        <f t="shared" ca="1" si="2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4"/>
        <v>1174.2474858604353</v>
      </c>
      <c r="F32" s="2">
        <f t="shared" ca="1" si="5"/>
        <v>0</v>
      </c>
      <c r="G32" s="2">
        <f t="shared" ca="1" si="6"/>
        <v>1174.2474858604353</v>
      </c>
      <c r="H32" s="2">
        <f t="shared" ca="1" si="1"/>
        <v>0.61125211592734985</v>
      </c>
      <c r="I32" s="2">
        <f t="shared" ca="1" si="2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4"/>
        <v>1174.8587379763626</v>
      </c>
      <c r="F33" s="2">
        <f t="shared" ca="1" si="5"/>
        <v>0</v>
      </c>
      <c r="G33" s="2">
        <f t="shared" ca="1" si="6"/>
        <v>1174.8587379763626</v>
      </c>
      <c r="H33" s="2">
        <f t="shared" ca="1" si="1"/>
        <v>0.61157030196029838</v>
      </c>
      <c r="I33" s="2">
        <f t="shared" ca="1" si="2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4"/>
        <v>1175.4703082783228</v>
      </c>
      <c r="F34" s="2">
        <f t="shared" ca="1" si="5"/>
        <v>0</v>
      </c>
      <c r="G34" s="2">
        <f t="shared" ca="1" si="6"/>
        <v>1175.4703082783228</v>
      </c>
      <c r="H34" s="2">
        <f t="shared" ca="1" si="1"/>
        <v>0.61188865362433242</v>
      </c>
      <c r="I34" s="2">
        <f t="shared" ca="1" si="2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4"/>
        <v>1176.0821969319472</v>
      </c>
      <c r="F35" s="2">
        <f t="shared" ca="1" si="5"/>
        <v>0</v>
      </c>
      <c r="G35" s="2">
        <f t="shared" ca="1" si="6"/>
        <v>1176.0821969319472</v>
      </c>
      <c r="H35" s="2">
        <f t="shared" ca="1" si="1"/>
        <v>0.61220717100567124</v>
      </c>
      <c r="I35" s="2">
        <f t="shared" ca="1" si="2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4"/>
        <v>1196.6944041029528</v>
      </c>
      <c r="F36" s="2">
        <f t="shared" ca="1" si="5"/>
        <v>0</v>
      </c>
      <c r="G36" s="2">
        <f t="shared" ca="1" si="6"/>
        <v>1196.6944041029528</v>
      </c>
      <c r="H36" s="2">
        <f t="shared" ca="1" si="1"/>
        <v>0.62293681309468785</v>
      </c>
      <c r="I36" s="2">
        <f t="shared" ca="1" si="2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4"/>
        <v>1197.3173409160474</v>
      </c>
      <c r="F37" s="2">
        <f t="shared" ca="1" si="5"/>
        <v>0</v>
      </c>
      <c r="G37" s="2">
        <f t="shared" ca="1" si="6"/>
        <v>1197.3173409160474</v>
      </c>
      <c r="H37" s="2">
        <f t="shared" ca="1" si="1"/>
        <v>0.62326108157273696</v>
      </c>
      <c r="I37" s="2">
        <f t="shared" ca="1" si="2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4"/>
        <v>1197.9406019976202</v>
      </c>
      <c r="F38" s="2">
        <f t="shared" ca="1" si="5"/>
        <v>0</v>
      </c>
      <c r="G38" s="2">
        <f t="shared" ca="1" si="6"/>
        <v>1197.9406019976202</v>
      </c>
      <c r="H38" s="2">
        <f t="shared" ca="1" si="1"/>
        <v>0.62358551884807634</v>
      </c>
      <c r="I38" s="2">
        <f t="shared" ca="1" si="2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4"/>
        <v>1198.5641875164683</v>
      </c>
      <c r="F39" s="2">
        <f t="shared" ca="1" si="5"/>
        <v>149.25687304610534</v>
      </c>
      <c r="G39" s="2">
        <f t="shared" ca="1" si="6"/>
        <v>1049.3073144703631</v>
      </c>
      <c r="H39" s="2">
        <f t="shared" ca="1" si="1"/>
        <v>0.54621476643662736</v>
      </c>
      <c r="I39" s="2">
        <f t="shared" ca="1" si="2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4"/>
        <v>1049.8535292367997</v>
      </c>
      <c r="F40" s="2">
        <f t="shared" ca="1" si="5"/>
        <v>0</v>
      </c>
      <c r="G40" s="2">
        <f t="shared" ca="1" si="6"/>
        <v>1049.8535292367997</v>
      </c>
      <c r="H40" s="2">
        <f t="shared" ca="1" si="1"/>
        <v>0.54649909741093683</v>
      </c>
      <c r="I40" s="2">
        <f t="shared" ca="1" si="2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4"/>
        <v>1050.4000283342107</v>
      </c>
      <c r="F41" s="2">
        <f t="shared" ca="1" si="5"/>
        <v>0</v>
      </c>
      <c r="G41" s="2">
        <f t="shared" ca="1" si="6"/>
        <v>1050.4000283342107</v>
      </c>
      <c r="H41" s="2">
        <f t="shared" ca="1" si="1"/>
        <v>0.54678357639315078</v>
      </c>
      <c r="I41" s="2">
        <f t="shared" ca="1" si="2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4"/>
        <v>1050.9468119106039</v>
      </c>
      <c r="F42" s="2">
        <f t="shared" ca="1" si="5"/>
        <v>0</v>
      </c>
      <c r="G42" s="2">
        <f t="shared" ca="1" si="6"/>
        <v>1050.9468119106039</v>
      </c>
      <c r="H42" s="2">
        <f t="shared" ca="1" si="1"/>
        <v>0.54706820346031437</v>
      </c>
      <c r="I42" s="2">
        <f t="shared" ca="1" si="2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4"/>
        <v>1071.4938801140643</v>
      </c>
      <c r="F43" s="2">
        <f t="shared" ca="1" si="5"/>
        <v>0</v>
      </c>
      <c r="G43" s="2">
        <f t="shared" ca="1" si="6"/>
        <v>1071.4938801140643</v>
      </c>
      <c r="H43" s="2">
        <f t="shared" ca="1" si="1"/>
        <v>0.55776393759362253</v>
      </c>
      <c r="I43" s="2">
        <f t="shared" ca="1" si="2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4"/>
        <v>1072.0516440516578</v>
      </c>
      <c r="F44" s="2">
        <f t="shared" ca="1" si="5"/>
        <v>0</v>
      </c>
      <c r="G44" s="2">
        <f t="shared" ca="1" si="6"/>
        <v>1072.0516440516578</v>
      </c>
      <c r="H44" s="2">
        <f t="shared" ca="1" si="1"/>
        <v>0.55805428046524663</v>
      </c>
      <c r="I44" s="2">
        <f t="shared" ca="1" si="2"/>
        <v>0</v>
      </c>
    </row>
    <row r="45" spans="2:9" x14ac:dyDescent="0.2">
      <c r="B45" s="4">
        <f t="shared" ref="B45:C60" ca="1" si="8">B44+1</f>
        <v>44082</v>
      </c>
      <c r="C45">
        <f t="shared" si="8"/>
        <v>34</v>
      </c>
      <c r="D45">
        <f t="shared" ca="1" si="0"/>
        <v>3</v>
      </c>
      <c r="E45" s="2">
        <f t="shared" ca="1" si="4"/>
        <v>1072.6096983321231</v>
      </c>
      <c r="F45" s="2">
        <f t="shared" ca="1" si="5"/>
        <v>0</v>
      </c>
      <c r="G45" s="2">
        <f t="shared" ca="1" si="6"/>
        <v>1072.6096983321231</v>
      </c>
      <c r="H45" s="2">
        <f t="shared" ca="1" si="1"/>
        <v>0.5583447744742559</v>
      </c>
      <c r="I45" s="2">
        <f t="shared" ca="1" si="2"/>
        <v>0</v>
      </c>
    </row>
    <row r="46" spans="2:9" x14ac:dyDescent="0.2">
      <c r="B46" s="4">
        <f t="shared" ca="1" si="8"/>
        <v>44083</v>
      </c>
      <c r="C46">
        <f t="shared" si="8"/>
        <v>35</v>
      </c>
      <c r="D46">
        <f t="shared" ca="1" si="0"/>
        <v>4</v>
      </c>
      <c r="E46" s="2">
        <f t="shared" ca="1" si="4"/>
        <v>1073.1680431065975</v>
      </c>
      <c r="F46" s="2">
        <f t="shared" ca="1" si="5"/>
        <v>0</v>
      </c>
      <c r="G46" s="2">
        <f t="shared" ca="1" si="6"/>
        <v>1073.1680431065975</v>
      </c>
      <c r="H46" s="2">
        <f t="shared" ca="1" si="1"/>
        <v>0.55863541969932473</v>
      </c>
      <c r="I46" s="2">
        <f t="shared" ca="1" si="2"/>
        <v>0</v>
      </c>
    </row>
    <row r="47" spans="2:9" x14ac:dyDescent="0.2">
      <c r="B47" s="4">
        <f t="shared" ca="1" si="8"/>
        <v>44084</v>
      </c>
      <c r="C47">
        <f t="shared" si="8"/>
        <v>36</v>
      </c>
      <c r="D47">
        <f t="shared" ca="1" si="0"/>
        <v>5</v>
      </c>
      <c r="E47" s="2">
        <f t="shared" ca="1" si="4"/>
        <v>1073.7266785262968</v>
      </c>
      <c r="F47" s="2">
        <f t="shared" ca="1" si="5"/>
        <v>0</v>
      </c>
      <c r="G47" s="2">
        <f t="shared" ca="1" si="6"/>
        <v>1073.7266785262968</v>
      </c>
      <c r="H47" s="2">
        <f t="shared" ca="1" si="1"/>
        <v>0.55892621621916816</v>
      </c>
      <c r="I47" s="2">
        <f t="shared" ca="1" si="2"/>
        <v>0</v>
      </c>
    </row>
    <row r="48" spans="2:9" x14ac:dyDescent="0.2">
      <c r="B48" s="4">
        <f t="shared" ca="1" si="8"/>
        <v>44085</v>
      </c>
      <c r="C48">
        <f t="shared" si="8"/>
        <v>37</v>
      </c>
      <c r="D48">
        <f t="shared" ca="1" si="0"/>
        <v>6</v>
      </c>
      <c r="E48" s="2">
        <f t="shared" ca="1" si="4"/>
        <v>1074.2856047425159</v>
      </c>
      <c r="F48" s="2">
        <f t="shared" ca="1" si="5"/>
        <v>0</v>
      </c>
      <c r="G48" s="2">
        <f t="shared" ca="1" si="6"/>
        <v>1074.2856047425159</v>
      </c>
      <c r="H48" s="2">
        <f t="shared" ca="1" si="1"/>
        <v>0.55921716411254252</v>
      </c>
      <c r="I48" s="2">
        <f t="shared" ca="1" si="2"/>
        <v>0</v>
      </c>
    </row>
    <row r="49" spans="2:9" x14ac:dyDescent="0.2">
      <c r="B49" s="4">
        <f t="shared" ca="1" si="8"/>
        <v>44086</v>
      </c>
      <c r="C49">
        <f t="shared" si="8"/>
        <v>38</v>
      </c>
      <c r="D49">
        <f t="shared" ca="1" si="0"/>
        <v>7</v>
      </c>
      <c r="E49" s="2">
        <f t="shared" ca="1" si="4"/>
        <v>1074.8448219066286</v>
      </c>
      <c r="F49" s="2">
        <f t="shared" ca="1" si="5"/>
        <v>0</v>
      </c>
      <c r="G49" s="2">
        <f t="shared" ca="1" si="6"/>
        <v>1074.8448219066286</v>
      </c>
      <c r="H49" s="2">
        <f t="shared" ca="1" si="1"/>
        <v>0.559508263458245</v>
      </c>
      <c r="I49" s="2">
        <f t="shared" ca="1" si="2"/>
        <v>20</v>
      </c>
    </row>
    <row r="50" spans="2:9" x14ac:dyDescent="0.2">
      <c r="B50" s="4">
        <f t="shared" ca="1" si="8"/>
        <v>44087</v>
      </c>
      <c r="C50">
        <f t="shared" si="8"/>
        <v>39</v>
      </c>
      <c r="D50">
        <f t="shared" ca="1" si="0"/>
        <v>1</v>
      </c>
      <c r="E50" s="2">
        <f t="shared" ca="1" si="4"/>
        <v>1095.4043301700867</v>
      </c>
      <c r="F50" s="2">
        <f t="shared" ca="1" si="5"/>
        <v>0</v>
      </c>
      <c r="G50" s="2">
        <f t="shared" ca="1" si="6"/>
        <v>1095.4043301700867</v>
      </c>
      <c r="H50" s="2">
        <f t="shared" ca="1" si="1"/>
        <v>0.57021047323922325</v>
      </c>
      <c r="I50" s="2">
        <f t="shared" ca="1" si="2"/>
        <v>0</v>
      </c>
    </row>
    <row r="51" spans="2:9" x14ac:dyDescent="0.2">
      <c r="B51" s="4">
        <f t="shared" ca="1" si="8"/>
        <v>44088</v>
      </c>
      <c r="C51">
        <f t="shared" si="8"/>
        <v>40</v>
      </c>
      <c r="D51">
        <f t="shared" ca="1" si="0"/>
        <v>2</v>
      </c>
      <c r="E51" s="2">
        <f t="shared" ca="1" si="4"/>
        <v>1095.974540643326</v>
      </c>
      <c r="F51" s="2">
        <f t="shared" ca="1" si="5"/>
        <v>0</v>
      </c>
      <c r="G51" s="2">
        <f t="shared" ca="1" si="6"/>
        <v>1095.974540643326</v>
      </c>
      <c r="H51" s="2">
        <f t="shared" ca="1" si="1"/>
        <v>0.57050729512940257</v>
      </c>
      <c r="I51" s="2">
        <f t="shared" ca="1" si="2"/>
        <v>0</v>
      </c>
    </row>
    <row r="52" spans="2:9" x14ac:dyDescent="0.2">
      <c r="B52" s="4">
        <f t="shared" ca="1" si="8"/>
        <v>44089</v>
      </c>
      <c r="C52">
        <f t="shared" si="8"/>
        <v>41</v>
      </c>
      <c r="D52">
        <f t="shared" ca="1" si="0"/>
        <v>3</v>
      </c>
      <c r="E52" s="2">
        <f t="shared" ca="1" si="4"/>
        <v>1096.5450479384554</v>
      </c>
      <c r="F52" s="2">
        <f t="shared" ca="1" si="5"/>
        <v>0</v>
      </c>
      <c r="G52" s="2">
        <f t="shared" ca="1" si="6"/>
        <v>1096.5450479384554</v>
      </c>
      <c r="H52" s="2">
        <f t="shared" ca="1" si="1"/>
        <v>0.57080427152960689</v>
      </c>
      <c r="I52" s="2">
        <f t="shared" ca="1" si="2"/>
        <v>0</v>
      </c>
    </row>
    <row r="53" spans="2:9" x14ac:dyDescent="0.2">
      <c r="B53" s="4">
        <f t="shared" ca="1" si="8"/>
        <v>44090</v>
      </c>
      <c r="C53">
        <f t="shared" si="8"/>
        <v>42</v>
      </c>
      <c r="D53">
        <f t="shared" ca="1" si="0"/>
        <v>4</v>
      </c>
      <c r="E53" s="2">
        <f t="shared" ca="1" si="4"/>
        <v>1097.115852209985</v>
      </c>
      <c r="F53" s="2">
        <f t="shared" ca="1" si="5"/>
        <v>149.25687304610534</v>
      </c>
      <c r="G53" s="2">
        <f t="shared" ca="1" si="6"/>
        <v>947.85897916387967</v>
      </c>
      <c r="H53" s="2">
        <f t="shared" ca="1" si="1"/>
        <v>0.49340604394832094</v>
      </c>
      <c r="I53" s="2">
        <f t="shared" ca="1" si="2"/>
        <v>0</v>
      </c>
    </row>
    <row r="54" spans="2:9" x14ac:dyDescent="0.2">
      <c r="B54" s="4">
        <f t="shared" ca="1" si="8"/>
        <v>44091</v>
      </c>
      <c r="C54">
        <f t="shared" si="8"/>
        <v>43</v>
      </c>
      <c r="D54">
        <f t="shared" ca="1" si="0"/>
        <v>5</v>
      </c>
      <c r="E54" s="2">
        <f t="shared" ca="1" si="4"/>
        <v>948.35238520782798</v>
      </c>
      <c r="F54" s="2">
        <f t="shared" ca="1" si="5"/>
        <v>0</v>
      </c>
      <c r="G54" s="2">
        <f t="shared" ca="1" si="6"/>
        <v>948.35238520782798</v>
      </c>
      <c r="H54" s="2">
        <f t="shared" ca="1" si="1"/>
        <v>0.49366288545065024</v>
      </c>
      <c r="I54" s="2">
        <f t="shared" ca="1" si="2"/>
        <v>0</v>
      </c>
    </row>
    <row r="55" spans="2:9" x14ac:dyDescent="0.2">
      <c r="B55" s="4">
        <f t="shared" ca="1" si="8"/>
        <v>44092</v>
      </c>
      <c r="C55">
        <f t="shared" si="8"/>
        <v>44</v>
      </c>
      <c r="D55">
        <f t="shared" ca="1" si="0"/>
        <v>6</v>
      </c>
      <c r="E55" s="2">
        <f t="shared" ca="1" si="4"/>
        <v>948.84604809327868</v>
      </c>
      <c r="F55" s="2">
        <f t="shared" ca="1" si="5"/>
        <v>0</v>
      </c>
      <c r="G55" s="2">
        <f t="shared" ca="1" si="6"/>
        <v>948.84604809327868</v>
      </c>
      <c r="H55" s="2">
        <f t="shared" ca="1" si="1"/>
        <v>0.49391986065129573</v>
      </c>
      <c r="I55" s="2">
        <f t="shared" ca="1" si="2"/>
        <v>0</v>
      </c>
    </row>
    <row r="56" spans="2:9" x14ac:dyDescent="0.2">
      <c r="B56" s="4">
        <f t="shared" ca="1" si="8"/>
        <v>44093</v>
      </c>
      <c r="C56">
        <f t="shared" si="8"/>
        <v>45</v>
      </c>
      <c r="D56">
        <f t="shared" ca="1" si="0"/>
        <v>7</v>
      </c>
      <c r="E56" s="2">
        <f t="shared" ca="1" si="4"/>
        <v>949.33996795393</v>
      </c>
      <c r="F56" s="2">
        <f t="shared" ca="1" si="5"/>
        <v>0</v>
      </c>
      <c r="G56" s="2">
        <f t="shared" ca="1" si="6"/>
        <v>949.33996795393</v>
      </c>
      <c r="H56" s="2">
        <f t="shared" ca="1" si="1"/>
        <v>0.49417696961985397</v>
      </c>
      <c r="I56" s="2">
        <f t="shared" ca="1" si="2"/>
        <v>20</v>
      </c>
    </row>
    <row r="57" spans="2:9" x14ac:dyDescent="0.2">
      <c r="B57" s="4">
        <f t="shared" ca="1" si="8"/>
        <v>44094</v>
      </c>
      <c r="C57">
        <f t="shared" si="8"/>
        <v>46</v>
      </c>
      <c r="D57">
        <f t="shared" ca="1" si="0"/>
        <v>1</v>
      </c>
      <c r="E57" s="2">
        <f t="shared" ca="1" si="4"/>
        <v>969.83414492354984</v>
      </c>
      <c r="F57" s="2">
        <f t="shared" ca="1" si="5"/>
        <v>0</v>
      </c>
      <c r="G57" s="2">
        <f t="shared" ca="1" si="6"/>
        <v>969.83414492354984</v>
      </c>
      <c r="H57" s="2">
        <f t="shared" ca="1" si="1"/>
        <v>0.50484517133006701</v>
      </c>
      <c r="I57" s="2">
        <f t="shared" ca="1" si="2"/>
        <v>0</v>
      </c>
    </row>
    <row r="58" spans="2:9" x14ac:dyDescent="0.2">
      <c r="B58" s="4">
        <f t="shared" ca="1" si="8"/>
        <v>44095</v>
      </c>
      <c r="C58">
        <f t="shared" si="8"/>
        <v>47</v>
      </c>
      <c r="D58">
        <f t="shared" ca="1" si="0"/>
        <v>2</v>
      </c>
      <c r="E58" s="2">
        <f t="shared" ca="1" si="4"/>
        <v>970.33899009487993</v>
      </c>
      <c r="F58" s="2">
        <f t="shared" ca="1" si="5"/>
        <v>0</v>
      </c>
      <c r="G58" s="2">
        <f t="shared" ca="1" si="6"/>
        <v>970.33899009487993</v>
      </c>
      <c r="H58" s="2">
        <f t="shared" ca="1" si="1"/>
        <v>0.50510796744664987</v>
      </c>
      <c r="I58" s="2">
        <f t="shared" ca="1" si="2"/>
        <v>0</v>
      </c>
    </row>
    <row r="59" spans="2:9" x14ac:dyDescent="0.2">
      <c r="B59" s="4">
        <f t="shared" ca="1" si="8"/>
        <v>44096</v>
      </c>
      <c r="C59">
        <f t="shared" si="8"/>
        <v>48</v>
      </c>
      <c r="D59">
        <f t="shared" ca="1" si="0"/>
        <v>3</v>
      </c>
      <c r="E59" s="2">
        <f t="shared" ca="1" si="4"/>
        <v>970.84409806232657</v>
      </c>
      <c r="F59" s="2">
        <f t="shared" ca="1" si="5"/>
        <v>0</v>
      </c>
      <c r="G59" s="2">
        <f t="shared" ca="1" si="6"/>
        <v>970.84409806232657</v>
      </c>
      <c r="H59" s="2">
        <f t="shared" ca="1" si="1"/>
        <v>0.50537090036121113</v>
      </c>
      <c r="I59" s="2">
        <f t="shared" ca="1" si="2"/>
        <v>0</v>
      </c>
    </row>
    <row r="60" spans="2:9" x14ac:dyDescent="0.2">
      <c r="B60" s="4">
        <f t="shared" ca="1" si="8"/>
        <v>44097</v>
      </c>
      <c r="C60">
        <f t="shared" si="8"/>
        <v>49</v>
      </c>
      <c r="D60">
        <f t="shared" ca="1" si="0"/>
        <v>4</v>
      </c>
      <c r="E60" s="2">
        <f t="shared" ca="1" si="4"/>
        <v>971.34946896268775</v>
      </c>
      <c r="F60" s="2">
        <f t="shared" ca="1" si="5"/>
        <v>0</v>
      </c>
      <c r="G60" s="2">
        <f t="shared" ca="1" si="6"/>
        <v>971.34946896268775</v>
      </c>
      <c r="H60" s="2">
        <f t="shared" ca="1" si="1"/>
        <v>0.50563397014496081</v>
      </c>
      <c r="I60" s="2">
        <f t="shared" ca="1" si="2"/>
        <v>0</v>
      </c>
    </row>
    <row r="61" spans="2:9" x14ac:dyDescent="0.2">
      <c r="B61" s="4">
        <f t="shared" ref="B61:C76" ca="1" si="9">B60+1</f>
        <v>44098</v>
      </c>
      <c r="C61">
        <f t="shared" si="9"/>
        <v>50</v>
      </c>
      <c r="D61">
        <f t="shared" ca="1" si="0"/>
        <v>5</v>
      </c>
      <c r="E61" s="2">
        <f t="shared" ca="1" si="4"/>
        <v>971.85510293283266</v>
      </c>
      <c r="F61" s="2">
        <f t="shared" ca="1" si="5"/>
        <v>0</v>
      </c>
      <c r="G61" s="2">
        <f t="shared" ca="1" si="6"/>
        <v>971.85510293283266</v>
      </c>
      <c r="H61" s="2">
        <f t="shared" ca="1" si="1"/>
        <v>0.50589717686914581</v>
      </c>
      <c r="I61" s="2">
        <f t="shared" ca="1" si="2"/>
        <v>0</v>
      </c>
    </row>
    <row r="62" spans="2:9" x14ac:dyDescent="0.2">
      <c r="B62" s="4">
        <f t="shared" ca="1" si="9"/>
        <v>44099</v>
      </c>
      <c r="C62">
        <f t="shared" si="9"/>
        <v>51</v>
      </c>
      <c r="D62">
        <f t="shared" ca="1" si="0"/>
        <v>6</v>
      </c>
      <c r="E62" s="2">
        <f t="shared" ca="1" si="4"/>
        <v>972.36100010970176</v>
      </c>
      <c r="F62" s="2">
        <f t="shared" ca="1" si="5"/>
        <v>0</v>
      </c>
      <c r="G62" s="2">
        <f t="shared" ca="1" si="6"/>
        <v>972.36100010970176</v>
      </c>
      <c r="H62" s="2">
        <f t="shared" ca="1" si="1"/>
        <v>0.50616052060505023</v>
      </c>
      <c r="I62" s="2">
        <f t="shared" ca="1" si="2"/>
        <v>0</v>
      </c>
    </row>
    <row r="63" spans="2:9" x14ac:dyDescent="0.2">
      <c r="B63" s="4">
        <f t="shared" ca="1" si="9"/>
        <v>44100</v>
      </c>
      <c r="C63">
        <f t="shared" si="9"/>
        <v>52</v>
      </c>
      <c r="D63">
        <f t="shared" ca="1" si="0"/>
        <v>7</v>
      </c>
      <c r="E63" s="2">
        <f t="shared" ca="1" si="4"/>
        <v>972.86716063030678</v>
      </c>
      <c r="F63" s="2">
        <f t="shared" ca="1" si="5"/>
        <v>0</v>
      </c>
      <c r="G63" s="2">
        <f t="shared" ca="1" si="6"/>
        <v>972.86716063030678</v>
      </c>
      <c r="H63" s="2">
        <f t="shared" ca="1" si="1"/>
        <v>0.50642400142399535</v>
      </c>
      <c r="I63" s="2">
        <f t="shared" ca="1" si="2"/>
        <v>20</v>
      </c>
    </row>
    <row r="64" spans="2:9" x14ac:dyDescent="0.2">
      <c r="B64" s="4">
        <f t="shared" ca="1" si="9"/>
        <v>44101</v>
      </c>
      <c r="C64">
        <f t="shared" si="9"/>
        <v>53</v>
      </c>
      <c r="D64">
        <f t="shared" ca="1" si="0"/>
        <v>1</v>
      </c>
      <c r="E64" s="2">
        <f t="shared" ca="1" si="4"/>
        <v>993.37358463173075</v>
      </c>
      <c r="F64" s="2">
        <f t="shared" ca="1" si="5"/>
        <v>0</v>
      </c>
      <c r="G64" s="2">
        <f t="shared" ca="1" si="6"/>
        <v>993.37358463173075</v>
      </c>
      <c r="H64" s="2">
        <f t="shared" ca="1" si="1"/>
        <v>0.5170985783014489</v>
      </c>
      <c r="I64" s="2">
        <f t="shared" ca="1" si="2"/>
        <v>0</v>
      </c>
    </row>
    <row r="65" spans="2:9" x14ac:dyDescent="0.2">
      <c r="B65" s="4">
        <f t="shared" ca="1" si="9"/>
        <v>44102</v>
      </c>
      <c r="C65">
        <f t="shared" si="9"/>
        <v>54</v>
      </c>
      <c r="D65">
        <f t="shared" ca="1" si="0"/>
        <v>2</v>
      </c>
      <c r="E65" s="2">
        <f t="shared" ca="1" si="4"/>
        <v>993.89068321003219</v>
      </c>
      <c r="F65" s="2">
        <f t="shared" ca="1" si="5"/>
        <v>0</v>
      </c>
      <c r="G65" s="2">
        <f t="shared" ca="1" si="6"/>
        <v>993.89068321003219</v>
      </c>
      <c r="H65" s="2">
        <f t="shared" ca="1" si="1"/>
        <v>0.5173677529038524</v>
      </c>
      <c r="I65" s="2">
        <f t="shared" ca="1" si="2"/>
        <v>0</v>
      </c>
    </row>
    <row r="66" spans="2:9" x14ac:dyDescent="0.2">
      <c r="B66" s="4">
        <f t="shared" ca="1" si="9"/>
        <v>44103</v>
      </c>
      <c r="C66">
        <f t="shared" si="9"/>
        <v>55</v>
      </c>
      <c r="D66">
        <f t="shared" ca="1" si="0"/>
        <v>3</v>
      </c>
      <c r="E66" s="2">
        <f t="shared" ca="1" si="4"/>
        <v>994.40805096293604</v>
      </c>
      <c r="F66" s="2">
        <f t="shared" ca="1" si="5"/>
        <v>0</v>
      </c>
      <c r="G66" s="2">
        <f t="shared" ca="1" si="6"/>
        <v>994.40805096293604</v>
      </c>
      <c r="H66" s="2">
        <f t="shared" ca="1" si="1"/>
        <v>0.51763706762454209</v>
      </c>
      <c r="I66" s="2">
        <f t="shared" ca="1" si="2"/>
        <v>0</v>
      </c>
    </row>
    <row r="67" spans="2:9" x14ac:dyDescent="0.2">
      <c r="B67" s="4">
        <f t="shared" ca="1" si="9"/>
        <v>44104</v>
      </c>
      <c r="C67">
        <f t="shared" si="9"/>
        <v>56</v>
      </c>
      <c r="D67">
        <f t="shared" ca="1" si="0"/>
        <v>4</v>
      </c>
      <c r="E67" s="2">
        <f t="shared" ca="1" si="4"/>
        <v>994.92568803056054</v>
      </c>
      <c r="F67" s="2">
        <f t="shared" ca="1" si="5"/>
        <v>149.25687304610534</v>
      </c>
      <c r="G67" s="2">
        <f t="shared" ca="1" si="6"/>
        <v>845.66881498445514</v>
      </c>
      <c r="H67" s="2">
        <f t="shared" ca="1" si="1"/>
        <v>0.44021116396451088</v>
      </c>
      <c r="I67" s="2">
        <f t="shared" ca="1" si="2"/>
        <v>0</v>
      </c>
    </row>
    <row r="68" spans="2:9" x14ac:dyDescent="0.2">
      <c r="B68" s="4">
        <f t="shared" ca="1" si="9"/>
        <v>44105</v>
      </c>
      <c r="C68">
        <f t="shared" si="9"/>
        <v>57</v>
      </c>
      <c r="D68">
        <f t="shared" ca="1" si="0"/>
        <v>5</v>
      </c>
      <c r="E68" s="2">
        <f t="shared" ca="1" si="4"/>
        <v>846.10902614841962</v>
      </c>
      <c r="F68" s="2">
        <f t="shared" ca="1" si="5"/>
        <v>0</v>
      </c>
      <c r="G68" s="2">
        <f t="shared" ca="1" si="6"/>
        <v>846.10902614841962</v>
      </c>
      <c r="H68" s="2">
        <f t="shared" ca="1" si="1"/>
        <v>0.4404403149813691</v>
      </c>
      <c r="I68" s="2">
        <f t="shared" ca="1" si="2"/>
        <v>0</v>
      </c>
    </row>
    <row r="69" spans="2:9" x14ac:dyDescent="0.2">
      <c r="B69" s="4">
        <f t="shared" ca="1" si="9"/>
        <v>44106</v>
      </c>
      <c r="C69">
        <f t="shared" si="9"/>
        <v>58</v>
      </c>
      <c r="D69">
        <f t="shared" ca="1" si="0"/>
        <v>6</v>
      </c>
      <c r="E69" s="2">
        <f t="shared" ca="1" si="4"/>
        <v>846.54946646340102</v>
      </c>
      <c r="F69" s="2">
        <f t="shared" ca="1" si="5"/>
        <v>0</v>
      </c>
      <c r="G69" s="2">
        <f t="shared" ca="1" si="6"/>
        <v>846.54946646340102</v>
      </c>
      <c r="H69" s="2">
        <f t="shared" ca="1" si="1"/>
        <v>0.44066958528231837</v>
      </c>
      <c r="I69" s="2">
        <f t="shared" ca="1" si="2"/>
        <v>0</v>
      </c>
    </row>
    <row r="70" spans="2:9" x14ac:dyDescent="0.2">
      <c r="B70" s="4">
        <f t="shared" ca="1" si="9"/>
        <v>44107</v>
      </c>
      <c r="C70">
        <f t="shared" si="9"/>
        <v>59</v>
      </c>
      <c r="D70">
        <f t="shared" ca="1" si="0"/>
        <v>7</v>
      </c>
      <c r="E70" s="2">
        <f t="shared" ca="1" si="4"/>
        <v>846.99013604868333</v>
      </c>
      <c r="F70" s="2">
        <f t="shared" ca="1" si="5"/>
        <v>0</v>
      </c>
      <c r="G70" s="2">
        <f t="shared" ca="1" si="6"/>
        <v>846.99013604868333</v>
      </c>
      <c r="H70" s="2">
        <f t="shared" ca="1" si="1"/>
        <v>0.44089897492945157</v>
      </c>
      <c r="I70" s="2">
        <f t="shared" ca="1" si="2"/>
        <v>20</v>
      </c>
    </row>
    <row r="71" spans="2:9" x14ac:dyDescent="0.2">
      <c r="B71" s="4">
        <f t="shared" ca="1" si="9"/>
        <v>44108</v>
      </c>
      <c r="C71">
        <f t="shared" si="9"/>
        <v>60</v>
      </c>
      <c r="D71">
        <f t="shared" ca="1" si="0"/>
        <v>1</v>
      </c>
      <c r="E71" s="2">
        <f t="shared" ca="1" si="4"/>
        <v>867.43103502361282</v>
      </c>
      <c r="F71" s="2">
        <f t="shared" ca="1" si="5"/>
        <v>0</v>
      </c>
      <c r="G71" s="2">
        <f t="shared" ca="1" si="6"/>
        <v>867.43103502361282</v>
      </c>
      <c r="H71" s="2">
        <f t="shared" ca="1" si="1"/>
        <v>0.45153944288900394</v>
      </c>
      <c r="I71" s="2">
        <f t="shared" ca="1" si="2"/>
        <v>0</v>
      </c>
    </row>
    <row r="72" spans="2:9" x14ac:dyDescent="0.2">
      <c r="B72" s="4">
        <f t="shared" ca="1" si="9"/>
        <v>44109</v>
      </c>
      <c r="C72">
        <f t="shared" si="9"/>
        <v>61</v>
      </c>
      <c r="D72">
        <f t="shared" ca="1" si="0"/>
        <v>2</v>
      </c>
      <c r="E72" s="2">
        <f t="shared" ca="1" si="4"/>
        <v>867.88257446650186</v>
      </c>
      <c r="F72" s="2">
        <f t="shared" ca="1" si="5"/>
        <v>0</v>
      </c>
      <c r="G72" s="2">
        <f t="shared" ca="1" si="6"/>
        <v>867.88257446650186</v>
      </c>
      <c r="H72" s="2">
        <f t="shared" ca="1" si="1"/>
        <v>0.45177449081817905</v>
      </c>
      <c r="I72" s="2">
        <f t="shared" ca="1" si="2"/>
        <v>0</v>
      </c>
    </row>
    <row r="73" spans="2:9" x14ac:dyDescent="0.2">
      <c r="B73" s="4">
        <f t="shared" ca="1" si="9"/>
        <v>44110</v>
      </c>
      <c r="C73">
        <f t="shared" si="9"/>
        <v>62</v>
      </c>
      <c r="D73">
        <f t="shared" ca="1" si="0"/>
        <v>3</v>
      </c>
      <c r="E73" s="2">
        <f t="shared" ca="1" si="4"/>
        <v>868.33434895732</v>
      </c>
      <c r="F73" s="2">
        <f t="shared" ca="1" si="5"/>
        <v>0</v>
      </c>
      <c r="G73" s="2">
        <f t="shared" ca="1" si="6"/>
        <v>868.33434895732</v>
      </c>
      <c r="H73" s="2">
        <f t="shared" ca="1" si="1"/>
        <v>0.45200966110107071</v>
      </c>
      <c r="I73" s="2">
        <f t="shared" ca="1" si="2"/>
        <v>0</v>
      </c>
    </row>
    <row r="74" spans="2:9" x14ac:dyDescent="0.2">
      <c r="B74" s="4">
        <f t="shared" ca="1" si="9"/>
        <v>44111</v>
      </c>
      <c r="C74">
        <f t="shared" si="9"/>
        <v>63</v>
      </c>
      <c r="D74">
        <f t="shared" ca="1" si="0"/>
        <v>4</v>
      </c>
      <c r="E74" s="2">
        <f t="shared" ca="1" si="4"/>
        <v>868.7863586184211</v>
      </c>
      <c r="F74" s="2">
        <f t="shared" ca="1" si="5"/>
        <v>0</v>
      </c>
      <c r="G74" s="2">
        <f t="shared" ca="1" si="6"/>
        <v>868.7863586184211</v>
      </c>
      <c r="H74" s="2">
        <f t="shared" ca="1" si="1"/>
        <v>0.45224495380136986</v>
      </c>
      <c r="I74" s="2">
        <f t="shared" ca="1" si="2"/>
        <v>0</v>
      </c>
    </row>
    <row r="75" spans="2:9" x14ac:dyDescent="0.2">
      <c r="B75" s="4">
        <f t="shared" ca="1" si="9"/>
        <v>44112</v>
      </c>
      <c r="C75">
        <f t="shared" si="9"/>
        <v>64</v>
      </c>
      <c r="D75">
        <f t="shared" ca="1" si="0"/>
        <v>5</v>
      </c>
      <c r="E75" s="2">
        <f t="shared" ca="1" si="4"/>
        <v>869.23860357222247</v>
      </c>
      <c r="F75" s="2">
        <f t="shared" ca="1" si="5"/>
        <v>0</v>
      </c>
      <c r="G75" s="2">
        <f t="shared" ca="1" si="6"/>
        <v>869.23860357222247</v>
      </c>
      <c r="H75" s="2">
        <f t="shared" ca="1" si="1"/>
        <v>0.45248036898280075</v>
      </c>
      <c r="I75" s="2">
        <f t="shared" ca="1" si="2"/>
        <v>0</v>
      </c>
    </row>
    <row r="76" spans="2:9" x14ac:dyDescent="0.2">
      <c r="B76" s="4">
        <f t="shared" ca="1" si="9"/>
        <v>44113</v>
      </c>
      <c r="C76">
        <f t="shared" si="9"/>
        <v>65</v>
      </c>
      <c r="D76">
        <f t="shared" ref="D76:D139" ca="1" si="10">WEEKDAY(B76,1)</f>
        <v>6</v>
      </c>
      <c r="E76" s="2">
        <f t="shared" ca="1" si="4"/>
        <v>869.69108394120531</v>
      </c>
      <c r="F76" s="2">
        <f t="shared" ca="1" si="5"/>
        <v>0</v>
      </c>
      <c r="G76" s="2">
        <f t="shared" ca="1" si="6"/>
        <v>869.69108394120531</v>
      </c>
      <c r="H76" s="2">
        <f t="shared" ref="H76:H139" ca="1" si="11">IF(C76&gt;$C$7,0,(G76)*$C$5/365)</f>
        <v>0.4527159067091206</v>
      </c>
      <c r="I76" s="2">
        <f t="shared" ref="I76:I139" ca="1" si="12">IF(AND(C76=0,D76=7),$C$6,IF(C76=$C$7,0,IF(C76&lt;$C$7,IF(D76=7,$C$6,0),0)))</f>
        <v>0</v>
      </c>
    </row>
    <row r="77" spans="2:9" x14ac:dyDescent="0.2">
      <c r="B77" s="4">
        <f t="shared" ref="B77:C92" ca="1" si="13">B76+1</f>
        <v>44114</v>
      </c>
      <c r="C77">
        <f t="shared" si="13"/>
        <v>66</v>
      </c>
      <c r="D77">
        <f t="shared" ca="1" si="10"/>
        <v>7</v>
      </c>
      <c r="E77" s="2">
        <f t="shared" ref="E77:E140" ca="1" si="14">IF(C77&gt;$C$7,0,G76+H76+I76)</f>
        <v>870.14379984791447</v>
      </c>
      <c r="F77" s="2">
        <f t="shared" ref="F77:F140" ca="1" si="15">IF(C77&gt;$C$7,0,IF(ROUND(E77,0)&gt;0,IF(C77=0,0,IF(MOD(C77,$C$3)&gt;0,0,$C$8)),0))</f>
        <v>0</v>
      </c>
      <c r="G77" s="2">
        <f t="shared" ref="G77:G140" ca="1" si="16">IF(C77&gt;$C$7,G76,E77-F77)</f>
        <v>870.14379984791447</v>
      </c>
      <c r="H77" s="2">
        <f t="shared" ca="1" si="11"/>
        <v>0.45295156704411982</v>
      </c>
      <c r="I77" s="2">
        <f t="shared" ca="1" si="12"/>
        <v>20</v>
      </c>
    </row>
    <row r="78" spans="2:9" x14ac:dyDescent="0.2">
      <c r="B78" s="4">
        <f t="shared" ca="1" si="13"/>
        <v>44115</v>
      </c>
      <c r="C78">
        <f t="shared" si="13"/>
        <v>67</v>
      </c>
      <c r="D78">
        <f t="shared" ca="1" si="10"/>
        <v>1</v>
      </c>
      <c r="E78" s="2">
        <f t="shared" ca="1" si="14"/>
        <v>890.59675141495859</v>
      </c>
      <c r="F78" s="2">
        <f t="shared" ca="1" si="15"/>
        <v>0</v>
      </c>
      <c r="G78" s="2">
        <f t="shared" ca="1" si="16"/>
        <v>890.59675141495859</v>
      </c>
      <c r="H78" s="2">
        <f t="shared" ca="1" si="11"/>
        <v>0.4635983089557319</v>
      </c>
      <c r="I78" s="2">
        <f t="shared" ca="1" si="12"/>
        <v>0</v>
      </c>
    </row>
    <row r="79" spans="2:9" x14ac:dyDescent="0.2">
      <c r="B79" s="4">
        <f t="shared" ca="1" si="13"/>
        <v>44116</v>
      </c>
      <c r="C79">
        <f t="shared" si="13"/>
        <v>68</v>
      </c>
      <c r="D79">
        <f t="shared" ca="1" si="10"/>
        <v>2</v>
      </c>
      <c r="E79" s="2">
        <f t="shared" ca="1" si="14"/>
        <v>891.06034972391433</v>
      </c>
      <c r="F79" s="2">
        <f t="shared" ca="1" si="15"/>
        <v>0</v>
      </c>
      <c r="G79" s="2">
        <f t="shared" ca="1" si="16"/>
        <v>891.06034972391433</v>
      </c>
      <c r="H79" s="2">
        <f t="shared" ca="1" si="11"/>
        <v>0.46383963410285955</v>
      </c>
      <c r="I79" s="2">
        <f t="shared" ca="1" si="12"/>
        <v>0</v>
      </c>
    </row>
    <row r="80" spans="2:9" x14ac:dyDescent="0.2">
      <c r="B80" s="4">
        <f t="shared" ca="1" si="13"/>
        <v>44117</v>
      </c>
      <c r="C80">
        <f t="shared" si="13"/>
        <v>69</v>
      </c>
      <c r="D80">
        <f t="shared" ca="1" si="10"/>
        <v>3</v>
      </c>
      <c r="E80" s="2">
        <f t="shared" ca="1" si="14"/>
        <v>891.52418935801722</v>
      </c>
      <c r="F80" s="2">
        <f t="shared" ca="1" si="15"/>
        <v>0</v>
      </c>
      <c r="G80" s="2">
        <f t="shared" ca="1" si="16"/>
        <v>891.52418935801722</v>
      </c>
      <c r="H80" s="2">
        <f t="shared" ca="1" si="11"/>
        <v>0.46408108487129662</v>
      </c>
      <c r="I80" s="2">
        <f t="shared" ca="1" si="12"/>
        <v>0</v>
      </c>
    </row>
    <row r="81" spans="2:9" x14ac:dyDescent="0.2">
      <c r="B81" s="4">
        <f t="shared" ca="1" si="13"/>
        <v>44118</v>
      </c>
      <c r="C81">
        <f t="shared" si="13"/>
        <v>70</v>
      </c>
      <c r="D81">
        <f t="shared" ca="1" si="10"/>
        <v>4</v>
      </c>
      <c r="E81" s="2">
        <f t="shared" ca="1" si="14"/>
        <v>891.98827044288851</v>
      </c>
      <c r="F81" s="2">
        <f t="shared" ca="1" si="15"/>
        <v>149.25687304610534</v>
      </c>
      <c r="G81" s="2">
        <f t="shared" ca="1" si="16"/>
        <v>742.73139739678322</v>
      </c>
      <c r="H81" s="2">
        <f t="shared" ca="1" si="11"/>
        <v>0.38662730275448992</v>
      </c>
      <c r="I81" s="2">
        <f t="shared" ca="1" si="12"/>
        <v>0</v>
      </c>
    </row>
    <row r="82" spans="2:9" x14ac:dyDescent="0.2">
      <c r="B82" s="4">
        <f t="shared" ca="1" si="13"/>
        <v>44119</v>
      </c>
      <c r="C82">
        <f t="shared" si="13"/>
        <v>71</v>
      </c>
      <c r="D82">
        <f t="shared" ca="1" si="10"/>
        <v>5</v>
      </c>
      <c r="E82" s="2">
        <f t="shared" ca="1" si="14"/>
        <v>743.11802469953773</v>
      </c>
      <c r="F82" s="2">
        <f t="shared" ca="1" si="15"/>
        <v>0</v>
      </c>
      <c r="G82" s="2">
        <f t="shared" ca="1" si="16"/>
        <v>743.11802469953773</v>
      </c>
      <c r="H82" s="2">
        <f t="shared" ca="1" si="11"/>
        <v>0.38682856080249911</v>
      </c>
      <c r="I82" s="2">
        <f t="shared" ca="1" si="12"/>
        <v>0</v>
      </c>
    </row>
    <row r="83" spans="2:9" x14ac:dyDescent="0.2">
      <c r="B83" s="4">
        <f t="shared" ca="1" si="13"/>
        <v>44120</v>
      </c>
      <c r="C83">
        <f t="shared" si="13"/>
        <v>72</v>
      </c>
      <c r="D83">
        <f t="shared" ca="1" si="10"/>
        <v>6</v>
      </c>
      <c r="E83" s="2">
        <f t="shared" ca="1" si="14"/>
        <v>743.50485326034027</v>
      </c>
      <c r="F83" s="2">
        <f t="shared" ca="1" si="15"/>
        <v>0</v>
      </c>
      <c r="G83" s="2">
        <f t="shared" ca="1" si="16"/>
        <v>743.50485326034027</v>
      </c>
      <c r="H83" s="2">
        <f t="shared" ca="1" si="11"/>
        <v>0.38702992361497163</v>
      </c>
      <c r="I83" s="2">
        <f t="shared" ca="1" si="12"/>
        <v>0</v>
      </c>
    </row>
    <row r="84" spans="2:9" x14ac:dyDescent="0.2">
      <c r="B84" s="4">
        <f t="shared" ca="1" si="13"/>
        <v>44121</v>
      </c>
      <c r="C84">
        <f t="shared" si="13"/>
        <v>73</v>
      </c>
      <c r="D84">
        <f t="shared" ca="1" si="10"/>
        <v>7</v>
      </c>
      <c r="E84" s="2">
        <f t="shared" ca="1" si="14"/>
        <v>743.8918831839552</v>
      </c>
      <c r="F84" s="2">
        <f t="shared" ca="1" si="15"/>
        <v>0</v>
      </c>
      <c r="G84" s="2">
        <f t="shared" ca="1" si="16"/>
        <v>743.8918831839552</v>
      </c>
      <c r="H84" s="2">
        <f t="shared" ca="1" si="11"/>
        <v>0.3872313912464424</v>
      </c>
      <c r="I84" s="2">
        <f t="shared" ca="1" si="12"/>
        <v>20</v>
      </c>
    </row>
    <row r="85" spans="2:9" x14ac:dyDescent="0.2">
      <c r="B85" s="4">
        <f t="shared" ca="1" si="13"/>
        <v>44122</v>
      </c>
      <c r="C85">
        <f t="shared" si="13"/>
        <v>74</v>
      </c>
      <c r="D85">
        <f t="shared" ca="1" si="10"/>
        <v>1</v>
      </c>
      <c r="E85" s="2">
        <f t="shared" ca="1" si="14"/>
        <v>764.27911457520167</v>
      </c>
      <c r="F85" s="2">
        <f t="shared" ca="1" si="15"/>
        <v>0</v>
      </c>
      <c r="G85" s="2">
        <f t="shared" ca="1" si="16"/>
        <v>764.27911457520167</v>
      </c>
      <c r="H85" s="2">
        <f t="shared" ca="1" si="11"/>
        <v>0.39784392265558438</v>
      </c>
      <c r="I85" s="2">
        <f t="shared" ca="1" si="12"/>
        <v>0</v>
      </c>
    </row>
    <row r="86" spans="2:9" x14ac:dyDescent="0.2">
      <c r="B86" s="4">
        <f t="shared" ca="1" si="13"/>
        <v>44123</v>
      </c>
      <c r="C86">
        <f t="shared" si="13"/>
        <v>75</v>
      </c>
      <c r="D86">
        <f t="shared" ca="1" si="10"/>
        <v>2</v>
      </c>
      <c r="E86" s="2">
        <f t="shared" ca="1" si="14"/>
        <v>764.6769584978573</v>
      </c>
      <c r="F86" s="2">
        <f t="shared" ca="1" si="15"/>
        <v>0</v>
      </c>
      <c r="G86" s="2">
        <f t="shared" ca="1" si="16"/>
        <v>764.6769584978573</v>
      </c>
      <c r="H86" s="2">
        <f t="shared" ca="1" si="11"/>
        <v>0.39805101949203531</v>
      </c>
      <c r="I86" s="2">
        <f t="shared" ca="1" si="12"/>
        <v>0</v>
      </c>
    </row>
    <row r="87" spans="2:9" x14ac:dyDescent="0.2">
      <c r="B87" s="4">
        <f t="shared" ca="1" si="13"/>
        <v>44124</v>
      </c>
      <c r="C87">
        <f t="shared" si="13"/>
        <v>76</v>
      </c>
      <c r="D87">
        <f t="shared" ca="1" si="10"/>
        <v>3</v>
      </c>
      <c r="E87" s="2">
        <f t="shared" ca="1" si="14"/>
        <v>765.07500951734937</v>
      </c>
      <c r="F87" s="2">
        <f t="shared" ca="1" si="15"/>
        <v>0</v>
      </c>
      <c r="G87" s="2">
        <f t="shared" ca="1" si="16"/>
        <v>765.07500951734937</v>
      </c>
      <c r="H87" s="2">
        <f t="shared" ca="1" si="11"/>
        <v>0.39825822413231887</v>
      </c>
      <c r="I87" s="2">
        <f t="shared" ca="1" si="12"/>
        <v>0</v>
      </c>
    </row>
    <row r="88" spans="2:9" x14ac:dyDescent="0.2">
      <c r="B88" s="4">
        <f t="shared" ca="1" si="13"/>
        <v>44125</v>
      </c>
      <c r="C88">
        <f t="shared" si="13"/>
        <v>77</v>
      </c>
      <c r="D88">
        <f t="shared" ca="1" si="10"/>
        <v>4</v>
      </c>
      <c r="E88" s="2">
        <f t="shared" ca="1" si="14"/>
        <v>765.47326774148166</v>
      </c>
      <c r="F88" s="2">
        <f t="shared" ca="1" si="15"/>
        <v>0</v>
      </c>
      <c r="G88" s="2">
        <f t="shared" ca="1" si="16"/>
        <v>765.47326774148166</v>
      </c>
      <c r="H88" s="2">
        <f t="shared" ca="1" si="11"/>
        <v>0.39846553663255208</v>
      </c>
      <c r="I88" s="2">
        <f t="shared" ca="1" si="12"/>
        <v>0</v>
      </c>
    </row>
    <row r="89" spans="2:9" x14ac:dyDescent="0.2">
      <c r="B89" s="4">
        <f t="shared" ca="1" si="13"/>
        <v>44126</v>
      </c>
      <c r="C89">
        <f t="shared" si="13"/>
        <v>78</v>
      </c>
      <c r="D89">
        <f t="shared" ca="1" si="10"/>
        <v>5</v>
      </c>
      <c r="E89" s="2">
        <f t="shared" ca="1" si="14"/>
        <v>765.87173327811422</v>
      </c>
      <c r="F89" s="2">
        <f t="shared" ca="1" si="15"/>
        <v>0</v>
      </c>
      <c r="G89" s="2">
        <f t="shared" ca="1" si="16"/>
        <v>765.87173327811422</v>
      </c>
      <c r="H89" s="2">
        <f t="shared" ca="1" si="11"/>
        <v>0.39867295704888139</v>
      </c>
      <c r="I89" s="2">
        <f t="shared" ca="1" si="12"/>
        <v>0</v>
      </c>
    </row>
    <row r="90" spans="2:9" x14ac:dyDescent="0.2">
      <c r="B90" s="4">
        <f t="shared" ca="1" si="13"/>
        <v>44127</v>
      </c>
      <c r="C90">
        <f t="shared" si="13"/>
        <v>79</v>
      </c>
      <c r="D90">
        <f t="shared" ca="1" si="10"/>
        <v>6</v>
      </c>
      <c r="E90" s="2">
        <f t="shared" ca="1" si="14"/>
        <v>766.27040623516314</v>
      </c>
      <c r="F90" s="2">
        <f t="shared" ca="1" si="15"/>
        <v>0</v>
      </c>
      <c r="G90" s="2">
        <f t="shared" ca="1" si="16"/>
        <v>766.27040623516314</v>
      </c>
      <c r="H90" s="2">
        <f t="shared" ca="1" si="11"/>
        <v>0.39888048543748217</v>
      </c>
      <c r="I90" s="2">
        <f t="shared" ca="1" si="12"/>
        <v>0</v>
      </c>
    </row>
    <row r="91" spans="2:9" x14ac:dyDescent="0.2">
      <c r="B91" s="4">
        <f t="shared" ca="1" si="13"/>
        <v>44128</v>
      </c>
      <c r="C91">
        <f t="shared" si="13"/>
        <v>80</v>
      </c>
      <c r="D91">
        <f t="shared" ca="1" si="10"/>
        <v>7</v>
      </c>
      <c r="E91" s="2">
        <f t="shared" ca="1" si="14"/>
        <v>766.66928672060067</v>
      </c>
      <c r="F91" s="2">
        <f t="shared" ca="1" si="15"/>
        <v>0</v>
      </c>
      <c r="G91" s="2">
        <f t="shared" ca="1" si="16"/>
        <v>766.66928672060067</v>
      </c>
      <c r="H91" s="2">
        <f t="shared" ca="1" si="11"/>
        <v>0.39908812185455927</v>
      </c>
      <c r="I91" s="2">
        <f t="shared" ca="1" si="12"/>
        <v>20</v>
      </c>
    </row>
    <row r="92" spans="2:9" x14ac:dyDescent="0.2">
      <c r="B92" s="4">
        <f t="shared" ca="1" si="13"/>
        <v>44129</v>
      </c>
      <c r="C92">
        <f t="shared" si="13"/>
        <v>81</v>
      </c>
      <c r="D92">
        <f t="shared" ca="1" si="10"/>
        <v>1</v>
      </c>
      <c r="E92" s="2">
        <f t="shared" ca="1" si="14"/>
        <v>787.06837484245523</v>
      </c>
      <c r="F92" s="2">
        <f t="shared" ca="1" si="15"/>
        <v>0</v>
      </c>
      <c r="G92" s="2">
        <f t="shared" ca="1" si="16"/>
        <v>787.06837484245523</v>
      </c>
      <c r="H92" s="2">
        <f t="shared" ca="1" si="11"/>
        <v>0.4097068252604561</v>
      </c>
      <c r="I92" s="2">
        <f t="shared" ca="1" si="12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0"/>
        <v>2</v>
      </c>
      <c r="E93" s="2">
        <f t="shared" ca="1" si="14"/>
        <v>787.47808166771563</v>
      </c>
      <c r="F93" s="2">
        <f t="shared" ca="1" si="15"/>
        <v>0</v>
      </c>
      <c r="G93" s="2">
        <f t="shared" ca="1" si="16"/>
        <v>787.47808166771563</v>
      </c>
      <c r="H93" s="2">
        <f t="shared" ca="1" si="11"/>
        <v>0.40992009730648216</v>
      </c>
      <c r="I93" s="2">
        <f t="shared" ca="1" si="12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0"/>
        <v>3</v>
      </c>
      <c r="E94" s="2">
        <f t="shared" ca="1" si="14"/>
        <v>787.88800176502207</v>
      </c>
      <c r="F94" s="2">
        <f t="shared" ca="1" si="15"/>
        <v>0</v>
      </c>
      <c r="G94" s="2">
        <f t="shared" ca="1" si="16"/>
        <v>787.88800176502207</v>
      </c>
      <c r="H94" s="2">
        <f t="shared" ca="1" si="11"/>
        <v>0.41013348037083336</v>
      </c>
      <c r="I94" s="2">
        <f t="shared" ca="1" si="12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0"/>
        <v>4</v>
      </c>
      <c r="E95" s="2">
        <f t="shared" ca="1" si="14"/>
        <v>788.29813524539293</v>
      </c>
      <c r="F95" s="2">
        <f t="shared" ca="1" si="15"/>
        <v>149.25687304610534</v>
      </c>
      <c r="G95" s="2">
        <f t="shared" ca="1" si="16"/>
        <v>639.04126219928753</v>
      </c>
      <c r="H95" s="2">
        <f t="shared" ca="1" si="11"/>
        <v>0.33265161593935516</v>
      </c>
      <c r="I95" s="2">
        <f t="shared" ca="1" si="12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0"/>
        <v>5</v>
      </c>
      <c r="E96" s="2">
        <f t="shared" ca="1" si="14"/>
        <v>639.37391381522684</v>
      </c>
      <c r="F96" s="2">
        <f t="shared" ca="1" si="15"/>
        <v>0</v>
      </c>
      <c r="G96" s="2">
        <f t="shared" ca="1" si="16"/>
        <v>639.37391381522684</v>
      </c>
      <c r="H96" s="2">
        <f t="shared" ca="1" si="11"/>
        <v>0.33282477705450164</v>
      </c>
      <c r="I96" s="2">
        <f t="shared" ca="1" si="12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0"/>
        <v>6</v>
      </c>
      <c r="E97" s="2">
        <f t="shared" ca="1" si="14"/>
        <v>639.70673859228134</v>
      </c>
      <c r="F97" s="2">
        <f t="shared" ca="1" si="15"/>
        <v>0</v>
      </c>
      <c r="G97" s="2">
        <f t="shared" ca="1" si="16"/>
        <v>639.70673859228134</v>
      </c>
      <c r="H97" s="2">
        <f t="shared" ca="1" si="11"/>
        <v>0.33299802830831088</v>
      </c>
      <c r="I97" s="2">
        <f t="shared" ca="1" si="12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0"/>
        <v>7</v>
      </c>
      <c r="E98" s="2">
        <f t="shared" ca="1" si="14"/>
        <v>640.03973662058968</v>
      </c>
      <c r="F98" s="2">
        <f t="shared" ca="1" si="15"/>
        <v>0</v>
      </c>
      <c r="G98" s="2">
        <f t="shared" ca="1" si="16"/>
        <v>640.03973662058968</v>
      </c>
      <c r="H98" s="2">
        <f t="shared" ca="1" si="11"/>
        <v>0.33317136974770423</v>
      </c>
      <c r="I98" s="2">
        <f t="shared" ca="1" si="12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0"/>
        <v>1</v>
      </c>
      <c r="E99" s="2">
        <f t="shared" ca="1" si="14"/>
        <v>660.37290799033735</v>
      </c>
      <c r="F99" s="2">
        <f t="shared" ca="1" si="15"/>
        <v>0</v>
      </c>
      <c r="G99" s="2">
        <f t="shared" ca="1" si="16"/>
        <v>660.37290799033735</v>
      </c>
      <c r="H99" s="2">
        <f t="shared" ca="1" si="11"/>
        <v>0.34375576032373723</v>
      </c>
      <c r="I99" s="2">
        <f t="shared" ca="1" si="12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0"/>
        <v>2</v>
      </c>
      <c r="E100" s="2">
        <f t="shared" ca="1" si="14"/>
        <v>660.71666375066104</v>
      </c>
      <c r="F100" s="2">
        <f t="shared" ca="1" si="15"/>
        <v>0</v>
      </c>
      <c r="G100" s="2">
        <f t="shared" ca="1" si="16"/>
        <v>660.71666375066104</v>
      </c>
      <c r="H100" s="2">
        <f t="shared" ca="1" si="11"/>
        <v>0.34393470167842627</v>
      </c>
      <c r="I100" s="2">
        <f t="shared" ca="1" si="12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0"/>
        <v>3</v>
      </c>
      <c r="E101" s="2">
        <f t="shared" ca="1" si="14"/>
        <v>661.06059845233949</v>
      </c>
      <c r="F101" s="2">
        <f t="shared" ca="1" si="15"/>
        <v>0</v>
      </c>
      <c r="G101" s="2">
        <f t="shared" ca="1" si="16"/>
        <v>661.06059845233949</v>
      </c>
      <c r="H101" s="2">
        <f t="shared" ca="1" si="11"/>
        <v>0.34411373618066987</v>
      </c>
      <c r="I101" s="2">
        <f t="shared" ca="1" si="12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0"/>
        <v>4</v>
      </c>
      <c r="E102" s="2">
        <f t="shared" ca="1" si="14"/>
        <v>661.40471218852019</v>
      </c>
      <c r="F102" s="2">
        <f t="shared" ca="1" si="15"/>
        <v>0</v>
      </c>
      <c r="G102" s="2">
        <f t="shared" ca="1" si="16"/>
        <v>661.40471218852019</v>
      </c>
      <c r="H102" s="2">
        <f t="shared" ca="1" si="11"/>
        <v>0.34429286387895569</v>
      </c>
      <c r="I102" s="2">
        <f t="shared" ca="1" si="12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0"/>
        <v>5</v>
      </c>
      <c r="E103" s="2">
        <f t="shared" ca="1" si="14"/>
        <v>661.74900505239918</v>
      </c>
      <c r="F103" s="2">
        <f t="shared" ca="1" si="15"/>
        <v>0</v>
      </c>
      <c r="G103" s="2">
        <f t="shared" ca="1" si="16"/>
        <v>661.74900505239918</v>
      </c>
      <c r="H103" s="2">
        <f t="shared" ca="1" si="11"/>
        <v>0.34447208482179686</v>
      </c>
      <c r="I103" s="2">
        <f t="shared" ca="1" si="12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0"/>
        <v>6</v>
      </c>
      <c r="E104" s="2">
        <f t="shared" ca="1" si="14"/>
        <v>662.09347713722093</v>
      </c>
      <c r="F104" s="2">
        <f t="shared" ca="1" si="15"/>
        <v>0</v>
      </c>
      <c r="G104" s="2">
        <f t="shared" ca="1" si="16"/>
        <v>662.09347713722093</v>
      </c>
      <c r="H104" s="2">
        <f t="shared" ca="1" si="11"/>
        <v>0.34465139905773146</v>
      </c>
      <c r="I104" s="2">
        <f t="shared" ca="1" si="12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0"/>
        <v>7</v>
      </c>
      <c r="E105" s="2">
        <f t="shared" ca="1" si="14"/>
        <v>662.43812853627867</v>
      </c>
      <c r="F105" s="2">
        <f t="shared" ca="1" si="15"/>
        <v>0</v>
      </c>
      <c r="G105" s="2">
        <f t="shared" ca="1" si="16"/>
        <v>662.43812853627867</v>
      </c>
      <c r="H105" s="2">
        <f t="shared" ca="1" si="11"/>
        <v>0.34483080663532312</v>
      </c>
      <c r="I105" s="2">
        <f t="shared" ca="1" si="12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0"/>
        <v>1</v>
      </c>
      <c r="E106" s="2">
        <f t="shared" ca="1" si="14"/>
        <v>682.78295934291395</v>
      </c>
      <c r="F106" s="2">
        <f t="shared" ca="1" si="15"/>
        <v>0</v>
      </c>
      <c r="G106" s="2">
        <f t="shared" ca="1" si="16"/>
        <v>682.78295934291395</v>
      </c>
      <c r="H106" s="2">
        <f t="shared" ca="1" si="11"/>
        <v>0.35542126650727029</v>
      </c>
      <c r="I106" s="2">
        <f t="shared" ca="1" si="12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0"/>
        <v>2</v>
      </c>
      <c r="E107" s="2">
        <f t="shared" ca="1" si="14"/>
        <v>683.13838060942123</v>
      </c>
      <c r="F107" s="2">
        <f t="shared" ca="1" si="15"/>
        <v>0</v>
      </c>
      <c r="G107" s="2">
        <f t="shared" ca="1" si="16"/>
        <v>683.13838060942123</v>
      </c>
      <c r="H107" s="2">
        <f t="shared" ca="1" si="11"/>
        <v>0.35560628031723296</v>
      </c>
      <c r="I107" s="2">
        <f t="shared" ca="1" si="12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0"/>
        <v>3</v>
      </c>
      <c r="E108" s="2">
        <f t="shared" ca="1" si="14"/>
        <v>683.49398688973849</v>
      </c>
      <c r="F108" s="2">
        <f t="shared" ca="1" si="15"/>
        <v>0</v>
      </c>
      <c r="G108" s="2">
        <f t="shared" ca="1" si="16"/>
        <v>683.49398688973849</v>
      </c>
      <c r="H108" s="2">
        <f t="shared" ca="1" si="11"/>
        <v>0.35579139043575431</v>
      </c>
      <c r="I108" s="2">
        <f t="shared" ca="1" si="12"/>
        <v>0</v>
      </c>
    </row>
    <row r="109" spans="2:9" x14ac:dyDescent="0.2">
      <c r="B109" s="4">
        <f t="shared" ref="B109:C124" ca="1" si="18">B108+1</f>
        <v>44146</v>
      </c>
      <c r="C109">
        <f t="shared" si="18"/>
        <v>98</v>
      </c>
      <c r="D109">
        <f t="shared" ca="1" si="10"/>
        <v>4</v>
      </c>
      <c r="E109" s="2">
        <f t="shared" ca="1" si="14"/>
        <v>683.84977828017429</v>
      </c>
      <c r="F109" s="2">
        <f t="shared" ca="1" si="15"/>
        <v>149.25687304610534</v>
      </c>
      <c r="G109" s="2">
        <f t="shared" ca="1" si="16"/>
        <v>534.59290523406889</v>
      </c>
      <c r="H109" s="2">
        <f t="shared" ca="1" si="11"/>
        <v>0.27828123834102214</v>
      </c>
      <c r="I109" s="2">
        <f t="shared" ca="1" si="12"/>
        <v>0</v>
      </c>
    </row>
    <row r="110" spans="2:9" x14ac:dyDescent="0.2">
      <c r="B110" s="4">
        <f t="shared" ca="1" si="18"/>
        <v>44147</v>
      </c>
      <c r="C110">
        <f t="shared" si="18"/>
        <v>99</v>
      </c>
      <c r="D110">
        <f t="shared" ca="1" si="10"/>
        <v>5</v>
      </c>
      <c r="E110" s="2">
        <f t="shared" ca="1" si="14"/>
        <v>534.87118647240993</v>
      </c>
      <c r="F110" s="2">
        <f t="shared" ca="1" si="15"/>
        <v>0</v>
      </c>
      <c r="G110" s="2">
        <f t="shared" ca="1" si="16"/>
        <v>534.87118647240993</v>
      </c>
      <c r="H110" s="2">
        <f t="shared" ca="1" si="11"/>
        <v>0.27842609706782984</v>
      </c>
      <c r="I110" s="2">
        <f t="shared" ca="1" si="12"/>
        <v>0</v>
      </c>
    </row>
    <row r="111" spans="2:9" x14ac:dyDescent="0.2">
      <c r="B111" s="4">
        <f t="shared" ca="1" si="18"/>
        <v>44148</v>
      </c>
      <c r="C111">
        <f t="shared" si="18"/>
        <v>100</v>
      </c>
      <c r="D111">
        <f t="shared" ca="1" si="10"/>
        <v>6</v>
      </c>
      <c r="E111" s="2">
        <f t="shared" ca="1" si="14"/>
        <v>535.14961256947777</v>
      </c>
      <c r="F111" s="2">
        <f t="shared" ca="1" si="15"/>
        <v>0</v>
      </c>
      <c r="G111" s="2">
        <f t="shared" ca="1" si="16"/>
        <v>535.14961256947777</v>
      </c>
      <c r="H111" s="2">
        <f t="shared" ca="1" si="11"/>
        <v>0.27857103120055005</v>
      </c>
      <c r="I111" s="2">
        <f t="shared" ca="1" si="12"/>
        <v>0</v>
      </c>
    </row>
    <row r="112" spans="2:9" x14ac:dyDescent="0.2">
      <c r="B112" s="4">
        <f t="shared" ca="1" si="18"/>
        <v>44149</v>
      </c>
      <c r="C112">
        <f t="shared" si="18"/>
        <v>101</v>
      </c>
      <c r="D112">
        <f t="shared" ca="1" si="10"/>
        <v>7</v>
      </c>
      <c r="E112" s="2">
        <f t="shared" ca="1" si="14"/>
        <v>535.42818360067827</v>
      </c>
      <c r="F112" s="2">
        <f t="shared" ca="1" si="15"/>
        <v>0</v>
      </c>
      <c r="G112" s="2">
        <f t="shared" ca="1" si="16"/>
        <v>535.42818360067827</v>
      </c>
      <c r="H112" s="2">
        <f t="shared" ca="1" si="11"/>
        <v>0.27871604077843526</v>
      </c>
      <c r="I112" s="2">
        <f t="shared" ca="1" si="12"/>
        <v>20</v>
      </c>
    </row>
    <row r="113" spans="2:9" x14ac:dyDescent="0.2">
      <c r="B113" s="4">
        <f t="shared" ca="1" si="18"/>
        <v>44150</v>
      </c>
      <c r="C113">
        <f t="shared" si="18"/>
        <v>102</v>
      </c>
      <c r="D113">
        <f t="shared" ca="1" si="10"/>
        <v>1</v>
      </c>
      <c r="E113" s="2">
        <f t="shared" ca="1" si="14"/>
        <v>555.70689964145674</v>
      </c>
      <c r="F113" s="2">
        <f t="shared" ca="1" si="15"/>
        <v>0</v>
      </c>
      <c r="G113" s="2">
        <f t="shared" ca="1" si="16"/>
        <v>555.70689964145674</v>
      </c>
      <c r="H113" s="2">
        <f t="shared" ca="1" si="11"/>
        <v>0.28927208474486793</v>
      </c>
      <c r="I113" s="2">
        <f t="shared" ca="1" si="12"/>
        <v>0</v>
      </c>
    </row>
    <row r="114" spans="2:9" x14ac:dyDescent="0.2">
      <c r="B114" s="4">
        <f t="shared" ca="1" si="18"/>
        <v>44151</v>
      </c>
      <c r="C114">
        <f t="shared" si="18"/>
        <v>103</v>
      </c>
      <c r="D114">
        <f t="shared" ca="1" si="10"/>
        <v>2</v>
      </c>
      <c r="E114" s="2">
        <f t="shared" ca="1" si="14"/>
        <v>555.99617172620162</v>
      </c>
      <c r="F114" s="2">
        <f t="shared" ca="1" si="15"/>
        <v>0</v>
      </c>
      <c r="G114" s="2">
        <f t="shared" ca="1" si="16"/>
        <v>555.99617172620162</v>
      </c>
      <c r="H114" s="2">
        <f t="shared" ca="1" si="11"/>
        <v>0.28942266473418715</v>
      </c>
      <c r="I114" s="2">
        <f t="shared" ca="1" si="12"/>
        <v>0</v>
      </c>
    </row>
    <row r="115" spans="2:9" x14ac:dyDescent="0.2">
      <c r="B115" s="4">
        <f t="shared" ca="1" si="18"/>
        <v>44152</v>
      </c>
      <c r="C115">
        <f t="shared" si="18"/>
        <v>104</v>
      </c>
      <c r="D115">
        <f t="shared" ca="1" si="10"/>
        <v>3</v>
      </c>
      <c r="E115" s="2">
        <f t="shared" ca="1" si="14"/>
        <v>556.28559439093578</v>
      </c>
      <c r="F115" s="2">
        <f t="shared" ca="1" si="15"/>
        <v>0</v>
      </c>
      <c r="G115" s="2">
        <f t="shared" ca="1" si="16"/>
        <v>556.28559439093578</v>
      </c>
      <c r="H115" s="2">
        <f t="shared" ca="1" si="11"/>
        <v>0.28957332310761041</v>
      </c>
      <c r="I115" s="2">
        <f t="shared" ca="1" si="12"/>
        <v>0</v>
      </c>
    </row>
    <row r="116" spans="2:9" x14ac:dyDescent="0.2">
      <c r="B116" s="4">
        <f t="shared" ca="1" si="18"/>
        <v>44153</v>
      </c>
      <c r="C116">
        <f t="shared" si="18"/>
        <v>105</v>
      </c>
      <c r="D116">
        <f t="shared" ca="1" si="10"/>
        <v>4</v>
      </c>
      <c r="E116" s="2">
        <f t="shared" ca="1" si="14"/>
        <v>556.57516771404335</v>
      </c>
      <c r="F116" s="2">
        <f t="shared" ca="1" si="15"/>
        <v>0</v>
      </c>
      <c r="G116" s="2">
        <f t="shared" ca="1" si="16"/>
        <v>556.57516771404335</v>
      </c>
      <c r="H116" s="2">
        <f t="shared" ca="1" si="11"/>
        <v>0.28972405990594036</v>
      </c>
      <c r="I116" s="2">
        <f t="shared" ca="1" si="12"/>
        <v>0</v>
      </c>
    </row>
    <row r="117" spans="2:9" x14ac:dyDescent="0.2">
      <c r="B117" s="4">
        <f t="shared" ca="1" si="18"/>
        <v>44154</v>
      </c>
      <c r="C117">
        <f t="shared" si="18"/>
        <v>106</v>
      </c>
      <c r="D117">
        <f t="shared" ca="1" si="10"/>
        <v>5</v>
      </c>
      <c r="E117" s="2">
        <f t="shared" ca="1" si="14"/>
        <v>556.86489177394924</v>
      </c>
      <c r="F117" s="2">
        <f t="shared" ca="1" si="15"/>
        <v>0</v>
      </c>
      <c r="G117" s="2">
        <f t="shared" ca="1" si="16"/>
        <v>556.86489177394924</v>
      </c>
      <c r="H117" s="2">
        <f t="shared" ca="1" si="11"/>
        <v>0.28987487517000099</v>
      </c>
      <c r="I117" s="2">
        <f t="shared" ca="1" si="12"/>
        <v>0</v>
      </c>
    </row>
    <row r="118" spans="2:9" x14ac:dyDescent="0.2">
      <c r="B118" s="4">
        <f t="shared" ca="1" si="18"/>
        <v>44155</v>
      </c>
      <c r="C118">
        <f t="shared" si="18"/>
        <v>107</v>
      </c>
      <c r="D118">
        <f t="shared" ca="1" si="10"/>
        <v>6</v>
      </c>
      <c r="E118" s="2">
        <f t="shared" ca="1" si="14"/>
        <v>557.15476664911921</v>
      </c>
      <c r="F118" s="2">
        <f t="shared" ca="1" si="15"/>
        <v>0</v>
      </c>
      <c r="G118" s="2">
        <f t="shared" ca="1" si="16"/>
        <v>557.15476664911921</v>
      </c>
      <c r="H118" s="2">
        <f t="shared" ca="1" si="11"/>
        <v>0.29002576894063742</v>
      </c>
      <c r="I118" s="2">
        <f t="shared" ca="1" si="12"/>
        <v>0</v>
      </c>
    </row>
    <row r="119" spans="2:9" x14ac:dyDescent="0.2">
      <c r="B119" s="4">
        <f t="shared" ca="1" si="18"/>
        <v>44156</v>
      </c>
      <c r="C119">
        <f t="shared" si="18"/>
        <v>108</v>
      </c>
      <c r="D119">
        <f t="shared" ca="1" si="10"/>
        <v>7</v>
      </c>
      <c r="E119" s="2">
        <f t="shared" ca="1" si="14"/>
        <v>557.44479241805982</v>
      </c>
      <c r="F119" s="2">
        <f t="shared" ca="1" si="15"/>
        <v>0</v>
      </c>
      <c r="G119" s="2">
        <f t="shared" ca="1" si="16"/>
        <v>557.44479241805982</v>
      </c>
      <c r="H119" s="2">
        <f t="shared" ca="1" si="11"/>
        <v>0.29017674125871606</v>
      </c>
      <c r="I119" s="2">
        <f t="shared" ca="1" si="12"/>
        <v>20</v>
      </c>
    </row>
    <row r="120" spans="2:9" x14ac:dyDescent="0.2">
      <c r="B120" s="4">
        <f t="shared" ca="1" si="18"/>
        <v>44157</v>
      </c>
      <c r="C120">
        <f t="shared" si="18"/>
        <v>109</v>
      </c>
      <c r="D120">
        <f t="shared" ca="1" si="10"/>
        <v>1</v>
      </c>
      <c r="E120" s="2">
        <f t="shared" ca="1" si="14"/>
        <v>577.73496915931855</v>
      </c>
      <c r="F120" s="2">
        <f t="shared" ca="1" si="15"/>
        <v>0</v>
      </c>
      <c r="G120" s="2">
        <f t="shared" ca="1" si="16"/>
        <v>577.73496915931855</v>
      </c>
      <c r="H120" s="2">
        <f t="shared" ca="1" si="11"/>
        <v>0.30073875106923431</v>
      </c>
      <c r="I120" s="2">
        <f t="shared" ca="1" si="12"/>
        <v>0</v>
      </c>
    </row>
    <row r="121" spans="2:9" x14ac:dyDescent="0.2">
      <c r="B121" s="4">
        <f t="shared" ca="1" si="18"/>
        <v>44158</v>
      </c>
      <c r="C121">
        <f t="shared" si="18"/>
        <v>110</v>
      </c>
      <c r="D121">
        <f t="shared" ca="1" si="10"/>
        <v>2</v>
      </c>
      <c r="E121" s="2">
        <f t="shared" ca="1" si="14"/>
        <v>578.03570791038783</v>
      </c>
      <c r="F121" s="2">
        <f t="shared" ca="1" si="15"/>
        <v>0</v>
      </c>
      <c r="G121" s="2">
        <f t="shared" ca="1" si="16"/>
        <v>578.03570791038783</v>
      </c>
      <c r="H121" s="2">
        <f t="shared" ca="1" si="11"/>
        <v>0.30089530000814713</v>
      </c>
      <c r="I121" s="2">
        <f t="shared" ca="1" si="12"/>
        <v>0</v>
      </c>
    </row>
    <row r="122" spans="2:9" x14ac:dyDescent="0.2">
      <c r="B122" s="4">
        <f t="shared" ca="1" si="18"/>
        <v>44159</v>
      </c>
      <c r="C122">
        <f t="shared" si="18"/>
        <v>111</v>
      </c>
      <c r="D122">
        <f t="shared" ca="1" si="10"/>
        <v>3</v>
      </c>
      <c r="E122" s="2">
        <f t="shared" ca="1" si="14"/>
        <v>578.33660321039599</v>
      </c>
      <c r="F122" s="2">
        <f t="shared" ca="1" si="15"/>
        <v>0</v>
      </c>
      <c r="G122" s="2">
        <f t="shared" ca="1" si="16"/>
        <v>578.33660321039599</v>
      </c>
      <c r="H122" s="2">
        <f t="shared" ca="1" si="11"/>
        <v>0.30105193043828832</v>
      </c>
      <c r="I122" s="2">
        <f t="shared" ca="1" si="12"/>
        <v>0</v>
      </c>
    </row>
    <row r="123" spans="2:9" x14ac:dyDescent="0.2">
      <c r="B123" s="4">
        <f t="shared" ca="1" si="18"/>
        <v>44160</v>
      </c>
      <c r="C123">
        <f t="shared" si="18"/>
        <v>112</v>
      </c>
      <c r="D123">
        <f t="shared" ca="1" si="10"/>
        <v>4</v>
      </c>
      <c r="E123" s="2">
        <f t="shared" ca="1" si="14"/>
        <v>578.63765514083423</v>
      </c>
      <c r="F123" s="2">
        <f t="shared" ca="1" si="15"/>
        <v>149.25687304610534</v>
      </c>
      <c r="G123" s="2">
        <f t="shared" ca="1" si="16"/>
        <v>429.38078209472889</v>
      </c>
      <c r="H123" s="2">
        <f t="shared" ca="1" si="11"/>
        <v>0.22351328383013286</v>
      </c>
      <c r="I123" s="2">
        <f t="shared" ca="1" si="12"/>
        <v>0</v>
      </c>
    </row>
    <row r="124" spans="2:9" x14ac:dyDescent="0.2">
      <c r="B124" s="4">
        <f t="shared" ca="1" si="18"/>
        <v>44161</v>
      </c>
      <c r="C124">
        <f t="shared" si="18"/>
        <v>113</v>
      </c>
      <c r="D124">
        <f t="shared" ca="1" si="10"/>
        <v>5</v>
      </c>
      <c r="E124" s="2">
        <f t="shared" ca="1" si="14"/>
        <v>429.60429537855902</v>
      </c>
      <c r="F124" s="2">
        <f t="shared" ca="1" si="15"/>
        <v>0</v>
      </c>
      <c r="G124" s="2">
        <f t="shared" ca="1" si="16"/>
        <v>429.60429537855902</v>
      </c>
      <c r="H124" s="2">
        <f t="shared" ca="1" si="11"/>
        <v>0.22362963321075677</v>
      </c>
      <c r="I124" s="2">
        <f t="shared" ca="1" si="12"/>
        <v>0</v>
      </c>
    </row>
    <row r="125" spans="2:9" x14ac:dyDescent="0.2">
      <c r="B125" s="4">
        <f t="shared" ref="B125:C140" ca="1" si="19">B124+1</f>
        <v>44162</v>
      </c>
      <c r="C125">
        <f t="shared" si="19"/>
        <v>114</v>
      </c>
      <c r="D125">
        <f t="shared" ca="1" si="10"/>
        <v>6</v>
      </c>
      <c r="E125" s="2">
        <f t="shared" ca="1" si="14"/>
        <v>429.82792501176976</v>
      </c>
      <c r="F125" s="2">
        <f t="shared" ca="1" si="15"/>
        <v>0</v>
      </c>
      <c r="G125" s="2">
        <f t="shared" ca="1" si="16"/>
        <v>429.82792501176976</v>
      </c>
      <c r="H125" s="2">
        <f t="shared" ca="1" si="11"/>
        <v>0.22374604315681168</v>
      </c>
      <c r="I125" s="2">
        <f t="shared" ca="1" si="12"/>
        <v>0</v>
      </c>
    </row>
    <row r="126" spans="2:9" x14ac:dyDescent="0.2">
      <c r="B126" s="4">
        <f t="shared" ca="1" si="19"/>
        <v>44163</v>
      </c>
      <c r="C126">
        <f t="shared" si="19"/>
        <v>115</v>
      </c>
      <c r="D126">
        <f t="shared" ca="1" si="10"/>
        <v>7</v>
      </c>
      <c r="E126" s="2">
        <f t="shared" ca="1" si="14"/>
        <v>430.0516710549266</v>
      </c>
      <c r="F126" s="2">
        <f t="shared" ca="1" si="15"/>
        <v>0</v>
      </c>
      <c r="G126" s="2">
        <f t="shared" ca="1" si="16"/>
        <v>430.0516710549266</v>
      </c>
      <c r="H126" s="2">
        <f t="shared" ca="1" si="11"/>
        <v>0.22386251369982482</v>
      </c>
      <c r="I126" s="2">
        <f t="shared" ca="1" si="12"/>
        <v>20</v>
      </c>
    </row>
    <row r="127" spans="2:9" x14ac:dyDescent="0.2">
      <c r="B127" s="4">
        <f t="shared" ca="1" si="19"/>
        <v>44164</v>
      </c>
      <c r="C127">
        <f t="shared" si="19"/>
        <v>116</v>
      </c>
      <c r="D127">
        <f t="shared" ca="1" si="10"/>
        <v>1</v>
      </c>
      <c r="E127" s="2">
        <f t="shared" ca="1" si="14"/>
        <v>450.27553356862643</v>
      </c>
      <c r="F127" s="2">
        <f t="shared" ca="1" si="15"/>
        <v>0</v>
      </c>
      <c r="G127" s="2">
        <f t="shared" ca="1" si="16"/>
        <v>450.27553356862643</v>
      </c>
      <c r="H127" s="2">
        <f t="shared" ca="1" si="11"/>
        <v>0.23439000377544936</v>
      </c>
      <c r="I127" s="2">
        <f t="shared" ca="1" si="12"/>
        <v>0</v>
      </c>
    </row>
    <row r="128" spans="2:9" x14ac:dyDescent="0.2">
      <c r="B128" s="4">
        <f t="shared" ca="1" si="19"/>
        <v>44165</v>
      </c>
      <c r="C128">
        <f t="shared" si="19"/>
        <v>117</v>
      </c>
      <c r="D128">
        <f t="shared" ca="1" si="10"/>
        <v>2</v>
      </c>
      <c r="E128" s="2">
        <f t="shared" ca="1" si="14"/>
        <v>450.50992357240187</v>
      </c>
      <c r="F128" s="2">
        <f t="shared" ca="1" si="15"/>
        <v>0</v>
      </c>
      <c r="G128" s="2">
        <f t="shared" ca="1" si="16"/>
        <v>450.50992357240187</v>
      </c>
      <c r="H128" s="2">
        <f t="shared" ca="1" si="11"/>
        <v>0.2345120150102914</v>
      </c>
      <c r="I128" s="2">
        <f t="shared" ca="1" si="12"/>
        <v>0</v>
      </c>
    </row>
    <row r="129" spans="2:9" x14ac:dyDescent="0.2">
      <c r="B129" s="4">
        <f t="shared" ca="1" si="19"/>
        <v>44166</v>
      </c>
      <c r="C129">
        <f t="shared" si="19"/>
        <v>118</v>
      </c>
      <c r="D129">
        <f t="shared" ca="1" si="10"/>
        <v>3</v>
      </c>
      <c r="E129" s="2">
        <f t="shared" ca="1" si="14"/>
        <v>450.74443558741217</v>
      </c>
      <c r="F129" s="2">
        <f t="shared" ca="1" si="15"/>
        <v>0</v>
      </c>
      <c r="G129" s="2">
        <f t="shared" ca="1" si="16"/>
        <v>450.74443558741217</v>
      </c>
      <c r="H129" s="2">
        <f t="shared" ca="1" si="11"/>
        <v>0.23463408975783101</v>
      </c>
      <c r="I129" s="2">
        <f t="shared" ca="1" si="12"/>
        <v>0</v>
      </c>
    </row>
    <row r="130" spans="2:9" x14ac:dyDescent="0.2">
      <c r="B130" s="4">
        <f t="shared" ca="1" si="19"/>
        <v>44167</v>
      </c>
      <c r="C130">
        <f t="shared" si="19"/>
        <v>119</v>
      </c>
      <c r="D130">
        <f t="shared" ca="1" si="10"/>
        <v>4</v>
      </c>
      <c r="E130" s="2">
        <f t="shared" ca="1" si="14"/>
        <v>450.97906967717</v>
      </c>
      <c r="F130" s="2">
        <f t="shared" ca="1" si="15"/>
        <v>0</v>
      </c>
      <c r="G130" s="2">
        <f t="shared" ca="1" si="16"/>
        <v>450.97906967717</v>
      </c>
      <c r="H130" s="2">
        <f t="shared" ca="1" si="11"/>
        <v>0.23475622805112958</v>
      </c>
      <c r="I130" s="2">
        <f t="shared" ca="1" si="12"/>
        <v>0</v>
      </c>
    </row>
    <row r="131" spans="2:9" x14ac:dyDescent="0.2">
      <c r="B131" s="4">
        <f t="shared" ca="1" si="19"/>
        <v>44168</v>
      </c>
      <c r="C131">
        <f t="shared" si="19"/>
        <v>120</v>
      </c>
      <c r="D131">
        <f t="shared" ca="1" si="10"/>
        <v>5</v>
      </c>
      <c r="E131" s="2">
        <f t="shared" ca="1" si="14"/>
        <v>451.21382590522114</v>
      </c>
      <c r="F131" s="2">
        <f t="shared" ca="1" si="15"/>
        <v>0</v>
      </c>
      <c r="G131" s="2">
        <f t="shared" ca="1" si="16"/>
        <v>451.21382590522114</v>
      </c>
      <c r="H131" s="2">
        <f t="shared" ca="1" si="11"/>
        <v>0.2348784299232658</v>
      </c>
      <c r="I131" s="2">
        <f t="shared" ca="1" si="12"/>
        <v>0</v>
      </c>
    </row>
    <row r="132" spans="2:9" x14ac:dyDescent="0.2">
      <c r="B132" s="4">
        <f t="shared" ca="1" si="19"/>
        <v>44169</v>
      </c>
      <c r="C132">
        <f t="shared" si="19"/>
        <v>121</v>
      </c>
      <c r="D132">
        <f t="shared" ca="1" si="10"/>
        <v>6</v>
      </c>
      <c r="E132" s="2">
        <f t="shared" ca="1" si="14"/>
        <v>451.44870433514438</v>
      </c>
      <c r="F132" s="2">
        <f t="shared" ca="1" si="15"/>
        <v>0</v>
      </c>
      <c r="G132" s="2">
        <f t="shared" ca="1" si="16"/>
        <v>451.44870433514438</v>
      </c>
      <c r="H132" s="2">
        <f t="shared" ca="1" si="11"/>
        <v>0.23500069540733542</v>
      </c>
      <c r="I132" s="2">
        <f t="shared" ca="1" si="12"/>
        <v>0</v>
      </c>
    </row>
    <row r="133" spans="2:9" x14ac:dyDescent="0.2">
      <c r="B133" s="4">
        <f t="shared" ca="1" si="19"/>
        <v>44170</v>
      </c>
      <c r="C133">
        <f t="shared" si="19"/>
        <v>122</v>
      </c>
      <c r="D133">
        <f t="shared" ca="1" si="10"/>
        <v>7</v>
      </c>
      <c r="E133" s="2">
        <f t="shared" ca="1" si="14"/>
        <v>451.68370503055172</v>
      </c>
      <c r="F133" s="2">
        <f t="shared" ca="1" si="15"/>
        <v>0</v>
      </c>
      <c r="G133" s="2">
        <f t="shared" ca="1" si="16"/>
        <v>451.68370503055172</v>
      </c>
      <c r="H133" s="2">
        <f t="shared" ca="1" si="11"/>
        <v>0.23512302453645159</v>
      </c>
      <c r="I133" s="2">
        <f t="shared" ca="1" si="12"/>
        <v>20</v>
      </c>
    </row>
    <row r="134" spans="2:9" x14ac:dyDescent="0.2">
      <c r="B134" s="4">
        <f t="shared" ca="1" si="19"/>
        <v>44171</v>
      </c>
      <c r="C134">
        <f t="shared" si="19"/>
        <v>123</v>
      </c>
      <c r="D134">
        <f t="shared" ca="1" si="10"/>
        <v>1</v>
      </c>
      <c r="E134" s="2">
        <f t="shared" ca="1" si="14"/>
        <v>471.91882805508817</v>
      </c>
      <c r="F134" s="2">
        <f t="shared" ca="1" si="15"/>
        <v>0</v>
      </c>
      <c r="G134" s="2">
        <f t="shared" ca="1" si="16"/>
        <v>471.91882805508817</v>
      </c>
      <c r="H134" s="2">
        <f t="shared" ca="1" si="11"/>
        <v>0.24565637624785414</v>
      </c>
      <c r="I134" s="2">
        <f t="shared" ca="1" si="12"/>
        <v>0</v>
      </c>
    </row>
    <row r="135" spans="2:9" x14ac:dyDescent="0.2">
      <c r="B135" s="4">
        <f t="shared" ca="1" si="19"/>
        <v>44172</v>
      </c>
      <c r="C135">
        <f t="shared" si="19"/>
        <v>124</v>
      </c>
      <c r="D135">
        <f t="shared" ca="1" si="10"/>
        <v>2</v>
      </c>
      <c r="E135" s="2">
        <f t="shared" ca="1" si="14"/>
        <v>472.16448443133601</v>
      </c>
      <c r="F135" s="2">
        <f t="shared" ca="1" si="15"/>
        <v>0</v>
      </c>
      <c r="G135" s="2">
        <f t="shared" ca="1" si="16"/>
        <v>472.16448443133601</v>
      </c>
      <c r="H135" s="2">
        <f t="shared" ca="1" si="11"/>
        <v>0.24578425216973654</v>
      </c>
      <c r="I135" s="2">
        <f t="shared" ca="1" si="12"/>
        <v>0</v>
      </c>
    </row>
    <row r="136" spans="2:9" x14ac:dyDescent="0.2">
      <c r="B136" s="4">
        <f t="shared" ca="1" si="19"/>
        <v>44173</v>
      </c>
      <c r="C136">
        <f t="shared" si="19"/>
        <v>125</v>
      </c>
      <c r="D136">
        <f t="shared" ca="1" si="10"/>
        <v>3</v>
      </c>
      <c r="E136" s="2">
        <f t="shared" ca="1" si="14"/>
        <v>472.41026868350576</v>
      </c>
      <c r="F136" s="2">
        <f t="shared" ca="1" si="15"/>
        <v>0</v>
      </c>
      <c r="G136" s="2">
        <f t="shared" ca="1" si="16"/>
        <v>472.41026868350576</v>
      </c>
      <c r="H136" s="2">
        <f t="shared" ca="1" si="11"/>
        <v>0.24591219465716738</v>
      </c>
      <c r="I136" s="2">
        <f t="shared" ca="1" si="12"/>
        <v>0</v>
      </c>
    </row>
    <row r="137" spans="2:9" x14ac:dyDescent="0.2">
      <c r="B137" s="4">
        <f t="shared" ca="1" si="19"/>
        <v>44174</v>
      </c>
      <c r="C137">
        <f t="shared" si="19"/>
        <v>126</v>
      </c>
      <c r="D137">
        <f t="shared" ca="1" si="10"/>
        <v>4</v>
      </c>
      <c r="E137" s="2">
        <f t="shared" ca="1" si="14"/>
        <v>472.65618087816296</v>
      </c>
      <c r="F137" s="2">
        <f t="shared" ca="1" si="15"/>
        <v>149.25687304610534</v>
      </c>
      <c r="G137" s="2">
        <f t="shared" ca="1" si="16"/>
        <v>323.39930783205762</v>
      </c>
      <c r="H137" s="2">
        <f t="shared" ca="1" si="11"/>
        <v>0.16834484517285189</v>
      </c>
      <c r="I137" s="2">
        <f t="shared" ca="1" si="12"/>
        <v>0</v>
      </c>
    </row>
    <row r="138" spans="2:9" x14ac:dyDescent="0.2">
      <c r="B138" s="4">
        <f t="shared" ca="1" si="19"/>
        <v>44175</v>
      </c>
      <c r="C138">
        <f t="shared" si="19"/>
        <v>127</v>
      </c>
      <c r="D138">
        <f t="shared" ca="1" si="10"/>
        <v>5</v>
      </c>
      <c r="E138" s="2">
        <f t="shared" ca="1" si="14"/>
        <v>323.56765267723046</v>
      </c>
      <c r="F138" s="2">
        <f t="shared" ca="1" si="15"/>
        <v>0</v>
      </c>
      <c r="G138" s="2">
        <f t="shared" ca="1" si="16"/>
        <v>323.56765267723046</v>
      </c>
      <c r="H138" s="2">
        <f t="shared" ca="1" si="11"/>
        <v>0.16843247673609257</v>
      </c>
      <c r="I138" s="2">
        <f t="shared" ca="1" si="12"/>
        <v>0</v>
      </c>
    </row>
    <row r="139" spans="2:9" x14ac:dyDescent="0.2">
      <c r="B139" s="4">
        <f t="shared" ca="1" si="19"/>
        <v>44176</v>
      </c>
      <c r="C139">
        <f t="shared" si="19"/>
        <v>128</v>
      </c>
      <c r="D139">
        <f t="shared" ca="1" si="10"/>
        <v>6</v>
      </c>
      <c r="E139" s="2">
        <f t="shared" ca="1" si="14"/>
        <v>323.73608515396654</v>
      </c>
      <c r="F139" s="2">
        <f t="shared" ca="1" si="15"/>
        <v>0</v>
      </c>
      <c r="G139" s="2">
        <f t="shared" ca="1" si="16"/>
        <v>323.73608515396654</v>
      </c>
      <c r="H139" s="2">
        <f t="shared" ca="1" si="11"/>
        <v>0.16852015391576342</v>
      </c>
      <c r="I139" s="2">
        <f t="shared" ca="1" si="12"/>
        <v>0</v>
      </c>
    </row>
    <row r="140" spans="2:9" x14ac:dyDescent="0.2">
      <c r="B140" s="4">
        <f t="shared" ca="1" si="19"/>
        <v>44177</v>
      </c>
      <c r="C140">
        <f t="shared" si="19"/>
        <v>129</v>
      </c>
      <c r="D140">
        <f t="shared" ref="D140:D203" ca="1" si="20">WEEKDAY(B140,1)</f>
        <v>7</v>
      </c>
      <c r="E140" s="2">
        <f t="shared" ca="1" si="14"/>
        <v>323.90460530788232</v>
      </c>
      <c r="F140" s="2">
        <f t="shared" ca="1" si="15"/>
        <v>0</v>
      </c>
      <c r="G140" s="2">
        <f t="shared" ca="1" si="16"/>
        <v>323.90460530788232</v>
      </c>
      <c r="H140" s="2">
        <f t="shared" ref="H140:H203" ca="1" si="21">IF(C140&gt;$C$7,0,(G140)*$C$5/365)</f>
        <v>0.16860787673560998</v>
      </c>
      <c r="I140" s="2">
        <f t="shared" ref="I140:I203" ca="1" si="22">IF(AND(C140=0,D140=7),$C$6,IF(C140=$C$7,0,IF(C140&lt;$C$7,IF(D140=7,$C$6,0),0)))</f>
        <v>20</v>
      </c>
    </row>
    <row r="141" spans="2:9" x14ac:dyDescent="0.2">
      <c r="B141" s="4">
        <f t="shared" ref="B141:C156" ca="1" si="23">B140+1</f>
        <v>44178</v>
      </c>
      <c r="C141">
        <f t="shared" si="23"/>
        <v>130</v>
      </c>
      <c r="D141">
        <f t="shared" ca="1" si="20"/>
        <v>1</v>
      </c>
      <c r="E141" s="2">
        <f t="shared" ref="E141:E204" ca="1" si="24">IF(C141&gt;$C$7,0,G140+H140+I140)</f>
        <v>344.07321318461794</v>
      </c>
      <c r="F141" s="2">
        <f t="shared" ref="F141:F204" ca="1" si="25">IF(C141&gt;$C$7,0,IF(ROUND(E141,0)&gt;0,IF(C141=0,0,IF(MOD(C141,$C$3)&gt;0,0,$C$8)),0))</f>
        <v>0</v>
      </c>
      <c r="G141" s="2">
        <f t="shared" ref="G141:G204" ca="1" si="26">IF(C141&gt;$C$7,G140,E141-F141)</f>
        <v>344.07321318461794</v>
      </c>
      <c r="H141" s="2">
        <f t="shared" ca="1" si="21"/>
        <v>0.17910660412349974</v>
      </c>
      <c r="I141" s="2">
        <f t="shared" ca="1" si="22"/>
        <v>0</v>
      </c>
    </row>
    <row r="142" spans="2:9" x14ac:dyDescent="0.2">
      <c r="B142" s="4">
        <f t="shared" ca="1" si="23"/>
        <v>44179</v>
      </c>
      <c r="C142">
        <f t="shared" si="23"/>
        <v>131</v>
      </c>
      <c r="D142">
        <f t="shared" ca="1" si="20"/>
        <v>2</v>
      </c>
      <c r="E142" s="2">
        <f t="shared" ca="1" si="24"/>
        <v>344.25231978874143</v>
      </c>
      <c r="F142" s="2">
        <f t="shared" ca="1" si="25"/>
        <v>0</v>
      </c>
      <c r="G142" s="2">
        <f t="shared" ca="1" si="26"/>
        <v>344.25231978874143</v>
      </c>
      <c r="H142" s="2">
        <f t="shared" ca="1" si="21"/>
        <v>0.17919983769824899</v>
      </c>
      <c r="I142" s="2">
        <f t="shared" ca="1" si="22"/>
        <v>0</v>
      </c>
    </row>
    <row r="143" spans="2:9" x14ac:dyDescent="0.2">
      <c r="B143" s="4">
        <f t="shared" ca="1" si="23"/>
        <v>44180</v>
      </c>
      <c r="C143">
        <f t="shared" si="23"/>
        <v>132</v>
      </c>
      <c r="D143">
        <f t="shared" ca="1" si="20"/>
        <v>3</v>
      </c>
      <c r="E143" s="2">
        <f t="shared" ca="1" si="24"/>
        <v>344.43151962643969</v>
      </c>
      <c r="F143" s="2">
        <f t="shared" ca="1" si="25"/>
        <v>0</v>
      </c>
      <c r="G143" s="2">
        <f t="shared" ca="1" si="26"/>
        <v>344.43151962643969</v>
      </c>
      <c r="H143" s="2">
        <f t="shared" ca="1" si="21"/>
        <v>0.17929311980554397</v>
      </c>
      <c r="I143" s="2">
        <f t="shared" ca="1" si="22"/>
        <v>0</v>
      </c>
    </row>
    <row r="144" spans="2:9" x14ac:dyDescent="0.2">
      <c r="B144" s="4">
        <f t="shared" ca="1" si="23"/>
        <v>44181</v>
      </c>
      <c r="C144">
        <f t="shared" si="23"/>
        <v>133</v>
      </c>
      <c r="D144">
        <f t="shared" ca="1" si="20"/>
        <v>4</v>
      </c>
      <c r="E144" s="2">
        <f t="shared" ca="1" si="24"/>
        <v>344.61081274624524</v>
      </c>
      <c r="F144" s="2">
        <f t="shared" ca="1" si="25"/>
        <v>0</v>
      </c>
      <c r="G144" s="2">
        <f t="shared" ca="1" si="26"/>
        <v>344.61081274624524</v>
      </c>
      <c r="H144" s="2">
        <f t="shared" ca="1" si="21"/>
        <v>0.17938645047064822</v>
      </c>
      <c r="I144" s="2">
        <f t="shared" ca="1" si="22"/>
        <v>0</v>
      </c>
    </row>
    <row r="145" spans="2:9" x14ac:dyDescent="0.2">
      <c r="B145" s="4">
        <f t="shared" ca="1" si="23"/>
        <v>44182</v>
      </c>
      <c r="C145">
        <f t="shared" si="23"/>
        <v>134</v>
      </c>
      <c r="D145">
        <f t="shared" ca="1" si="20"/>
        <v>5</v>
      </c>
      <c r="E145" s="2">
        <f t="shared" ca="1" si="24"/>
        <v>344.79019919671589</v>
      </c>
      <c r="F145" s="2">
        <f t="shared" ca="1" si="25"/>
        <v>0</v>
      </c>
      <c r="G145" s="2">
        <f t="shared" ca="1" si="26"/>
        <v>344.79019919671589</v>
      </c>
      <c r="H145" s="2">
        <f t="shared" ca="1" si="21"/>
        <v>0.17947982971883839</v>
      </c>
      <c r="I145" s="2">
        <f t="shared" ca="1" si="22"/>
        <v>0</v>
      </c>
    </row>
    <row r="146" spans="2:9" x14ac:dyDescent="0.2">
      <c r="B146" s="4">
        <f t="shared" ca="1" si="23"/>
        <v>44183</v>
      </c>
      <c r="C146">
        <f t="shared" si="23"/>
        <v>135</v>
      </c>
      <c r="D146">
        <f t="shared" ca="1" si="20"/>
        <v>6</v>
      </c>
      <c r="E146" s="2">
        <f t="shared" ca="1" si="24"/>
        <v>344.96967902643473</v>
      </c>
      <c r="F146" s="2">
        <f t="shared" ca="1" si="25"/>
        <v>0</v>
      </c>
      <c r="G146" s="2">
        <f t="shared" ca="1" si="26"/>
        <v>344.96967902643473</v>
      </c>
      <c r="H146" s="2">
        <f t="shared" ca="1" si="21"/>
        <v>0.17957325757540438</v>
      </c>
      <c r="I146" s="2">
        <f t="shared" ca="1" si="22"/>
        <v>0</v>
      </c>
    </row>
    <row r="147" spans="2:9" x14ac:dyDescent="0.2">
      <c r="B147" s="4">
        <f t="shared" ca="1" si="23"/>
        <v>44184</v>
      </c>
      <c r="C147">
        <f t="shared" si="23"/>
        <v>136</v>
      </c>
      <c r="D147">
        <f t="shared" ca="1" si="20"/>
        <v>7</v>
      </c>
      <c r="E147" s="2">
        <f t="shared" ca="1" si="24"/>
        <v>345.14925228401012</v>
      </c>
      <c r="F147" s="2">
        <f t="shared" ca="1" si="25"/>
        <v>0</v>
      </c>
      <c r="G147" s="2">
        <f t="shared" ca="1" si="26"/>
        <v>345.14925228401012</v>
      </c>
      <c r="H147" s="2">
        <f t="shared" ca="1" si="21"/>
        <v>0.17966673406564912</v>
      </c>
      <c r="I147" s="2">
        <f t="shared" ca="1" si="22"/>
        <v>20</v>
      </c>
    </row>
    <row r="148" spans="2:9" x14ac:dyDescent="0.2">
      <c r="B148" s="4">
        <f t="shared" ca="1" si="23"/>
        <v>44185</v>
      </c>
      <c r="C148">
        <f t="shared" si="23"/>
        <v>137</v>
      </c>
      <c r="D148">
        <f t="shared" ca="1" si="20"/>
        <v>1</v>
      </c>
      <c r="E148" s="2">
        <f t="shared" ca="1" si="24"/>
        <v>365.32891901807579</v>
      </c>
      <c r="F148" s="2">
        <f t="shared" ca="1" si="25"/>
        <v>0</v>
      </c>
      <c r="G148" s="2">
        <f t="shared" ca="1" si="26"/>
        <v>365.32891901807579</v>
      </c>
      <c r="H148" s="2">
        <f t="shared" ca="1" si="21"/>
        <v>0.19017121811899837</v>
      </c>
      <c r="I148" s="2">
        <f t="shared" ca="1" si="22"/>
        <v>0</v>
      </c>
    </row>
    <row r="149" spans="2:9" x14ac:dyDescent="0.2">
      <c r="B149" s="4">
        <f t="shared" ca="1" si="23"/>
        <v>44186</v>
      </c>
      <c r="C149">
        <f t="shared" si="23"/>
        <v>138</v>
      </c>
      <c r="D149">
        <f t="shared" ca="1" si="20"/>
        <v>2</v>
      </c>
      <c r="E149" s="2">
        <f t="shared" ca="1" si="24"/>
        <v>365.51909023619481</v>
      </c>
      <c r="F149" s="2">
        <f t="shared" ca="1" si="25"/>
        <v>0</v>
      </c>
      <c r="G149" s="2">
        <f t="shared" ca="1" si="26"/>
        <v>365.51909023619481</v>
      </c>
      <c r="H149" s="2">
        <f t="shared" ca="1" si="21"/>
        <v>0.19027021135582742</v>
      </c>
      <c r="I149" s="2">
        <f t="shared" ca="1" si="22"/>
        <v>0</v>
      </c>
    </row>
    <row r="150" spans="2:9" x14ac:dyDescent="0.2">
      <c r="B150" s="4">
        <f t="shared" ca="1" si="23"/>
        <v>44187</v>
      </c>
      <c r="C150">
        <f t="shared" si="23"/>
        <v>139</v>
      </c>
      <c r="D150">
        <f t="shared" ca="1" si="20"/>
        <v>3</v>
      </c>
      <c r="E150" s="2">
        <f t="shared" ca="1" si="24"/>
        <v>365.70936044755064</v>
      </c>
      <c r="F150" s="2">
        <f t="shared" ca="1" si="25"/>
        <v>0</v>
      </c>
      <c r="G150" s="2">
        <f t="shared" ca="1" si="26"/>
        <v>365.70936044755064</v>
      </c>
      <c r="H150" s="2">
        <f t="shared" ca="1" si="21"/>
        <v>0.19036925612338254</v>
      </c>
      <c r="I150" s="2">
        <f t="shared" ca="1" si="22"/>
        <v>0</v>
      </c>
    </row>
    <row r="151" spans="2:9" x14ac:dyDescent="0.2">
      <c r="B151" s="4">
        <f t="shared" ca="1" si="23"/>
        <v>44188</v>
      </c>
      <c r="C151">
        <f t="shared" si="23"/>
        <v>140</v>
      </c>
      <c r="D151">
        <f t="shared" ca="1" si="20"/>
        <v>4</v>
      </c>
      <c r="E151" s="2">
        <f t="shared" ca="1" si="24"/>
        <v>365.89972970367404</v>
      </c>
      <c r="F151" s="2">
        <f t="shared" ca="1" si="25"/>
        <v>149.25687304610534</v>
      </c>
      <c r="G151" s="2">
        <f t="shared" ca="1" si="26"/>
        <v>216.6428566575687</v>
      </c>
      <c r="H151" s="2">
        <f t="shared" ca="1" si="21"/>
        <v>0.11277299387654262</v>
      </c>
      <c r="I151" s="2">
        <f t="shared" ca="1" si="22"/>
        <v>0</v>
      </c>
    </row>
    <row r="152" spans="2:9" x14ac:dyDescent="0.2">
      <c r="B152" s="4">
        <f t="shared" ca="1" si="23"/>
        <v>44189</v>
      </c>
      <c r="C152">
        <f t="shared" si="23"/>
        <v>141</v>
      </c>
      <c r="D152">
        <f t="shared" ca="1" si="20"/>
        <v>5</v>
      </c>
      <c r="E152" s="2">
        <f t="shared" ca="1" si="24"/>
        <v>216.75562965144525</v>
      </c>
      <c r="F152" s="2">
        <f t="shared" ca="1" si="25"/>
        <v>0</v>
      </c>
      <c r="G152" s="2">
        <f t="shared" ca="1" si="26"/>
        <v>216.75562965144525</v>
      </c>
      <c r="H152" s="2">
        <f t="shared" ca="1" si="21"/>
        <v>0.11283169762677972</v>
      </c>
      <c r="I152" s="2">
        <f t="shared" ca="1" si="22"/>
        <v>0</v>
      </c>
    </row>
    <row r="153" spans="2:9" x14ac:dyDescent="0.2">
      <c r="B153" s="4">
        <f t="shared" ca="1" si="23"/>
        <v>44190</v>
      </c>
      <c r="C153">
        <f t="shared" si="23"/>
        <v>142</v>
      </c>
      <c r="D153">
        <f t="shared" ca="1" si="20"/>
        <v>6</v>
      </c>
      <c r="E153" s="2">
        <f t="shared" ca="1" si="24"/>
        <v>216.86846134907202</v>
      </c>
      <c r="F153" s="2">
        <f t="shared" ca="1" si="25"/>
        <v>0</v>
      </c>
      <c r="G153" s="2">
        <f t="shared" ca="1" si="26"/>
        <v>216.86846134907202</v>
      </c>
      <c r="H153" s="2">
        <f t="shared" ca="1" si="21"/>
        <v>0.11289043193513339</v>
      </c>
      <c r="I153" s="2">
        <f t="shared" ca="1" si="22"/>
        <v>0</v>
      </c>
    </row>
    <row r="154" spans="2:9" x14ac:dyDescent="0.2">
      <c r="B154" s="4">
        <f t="shared" ca="1" si="23"/>
        <v>44191</v>
      </c>
      <c r="C154">
        <f t="shared" si="23"/>
        <v>143</v>
      </c>
      <c r="D154">
        <f t="shared" ca="1" si="20"/>
        <v>7</v>
      </c>
      <c r="E154" s="2">
        <f t="shared" ca="1" si="24"/>
        <v>216.98135178100716</v>
      </c>
      <c r="F154" s="2">
        <f t="shared" ca="1" si="25"/>
        <v>0</v>
      </c>
      <c r="G154" s="2">
        <f t="shared" ca="1" si="26"/>
        <v>216.98135178100716</v>
      </c>
      <c r="H154" s="2">
        <f t="shared" ca="1" si="21"/>
        <v>0.11294919681751059</v>
      </c>
      <c r="I154" s="2">
        <f t="shared" ca="1" si="22"/>
        <v>20</v>
      </c>
    </row>
    <row r="155" spans="2:9" x14ac:dyDescent="0.2">
      <c r="B155" s="4">
        <f t="shared" ca="1" si="23"/>
        <v>44192</v>
      </c>
      <c r="C155">
        <f t="shared" si="23"/>
        <v>144</v>
      </c>
      <c r="D155">
        <f t="shared" ca="1" si="20"/>
        <v>1</v>
      </c>
      <c r="E155" s="2">
        <f t="shared" ca="1" si="24"/>
        <v>237.09430097782467</v>
      </c>
      <c r="F155" s="2">
        <f t="shared" ca="1" si="25"/>
        <v>0</v>
      </c>
      <c r="G155" s="2">
        <f t="shared" ca="1" si="26"/>
        <v>237.09430097782467</v>
      </c>
      <c r="H155" s="2">
        <f t="shared" ca="1" si="21"/>
        <v>0.12341895119393613</v>
      </c>
      <c r="I155" s="2">
        <f t="shared" ca="1" si="22"/>
        <v>0</v>
      </c>
    </row>
    <row r="156" spans="2:9" x14ac:dyDescent="0.2">
      <c r="B156" s="4">
        <f t="shared" ca="1" si="23"/>
        <v>44193</v>
      </c>
      <c r="C156">
        <f t="shared" si="23"/>
        <v>145</v>
      </c>
      <c r="D156">
        <f t="shared" ca="1" si="20"/>
        <v>2</v>
      </c>
      <c r="E156" s="2">
        <f t="shared" ca="1" si="24"/>
        <v>237.21771992901861</v>
      </c>
      <c r="F156" s="2">
        <f t="shared" ca="1" si="25"/>
        <v>0</v>
      </c>
      <c r="G156" s="2">
        <f t="shared" ca="1" si="26"/>
        <v>237.21771992901861</v>
      </c>
      <c r="H156" s="2">
        <f t="shared" ca="1" si="21"/>
        <v>0.12348319667537955</v>
      </c>
      <c r="I156" s="2">
        <f t="shared" ca="1" si="22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0"/>
        <v>3</v>
      </c>
      <c r="E157" s="2">
        <f t="shared" ca="1" si="24"/>
        <v>237.34120312569399</v>
      </c>
      <c r="F157" s="2">
        <f t="shared" ca="1" si="25"/>
        <v>0</v>
      </c>
      <c r="G157" s="2">
        <f t="shared" ca="1" si="26"/>
        <v>237.34120312569399</v>
      </c>
      <c r="H157" s="2">
        <f t="shared" ca="1" si="21"/>
        <v>0.12354747559967633</v>
      </c>
      <c r="I157" s="2">
        <f t="shared" ca="1" si="22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0"/>
        <v>4</v>
      </c>
      <c r="E158" s="2">
        <f t="shared" ca="1" si="24"/>
        <v>237.46475060129367</v>
      </c>
      <c r="F158" s="2">
        <f t="shared" ca="1" si="25"/>
        <v>0</v>
      </c>
      <c r="G158" s="2">
        <f t="shared" ca="1" si="26"/>
        <v>237.46475060129367</v>
      </c>
      <c r="H158" s="2">
        <f t="shared" ca="1" si="21"/>
        <v>0.12361178798423507</v>
      </c>
      <c r="I158" s="2">
        <f t="shared" ca="1" si="22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0"/>
        <v>5</v>
      </c>
      <c r="E159" s="2">
        <f t="shared" ca="1" si="24"/>
        <v>237.5883623892779</v>
      </c>
      <c r="F159" s="2">
        <f t="shared" ca="1" si="25"/>
        <v>0</v>
      </c>
      <c r="G159" s="2">
        <f t="shared" ca="1" si="26"/>
        <v>237.5883623892779</v>
      </c>
      <c r="H159" s="2">
        <f t="shared" ca="1" si="21"/>
        <v>0.12367613384647343</v>
      </c>
      <c r="I159" s="2">
        <f t="shared" ca="1" si="22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0"/>
        <v>6</v>
      </c>
      <c r="E160" s="2">
        <f t="shared" ca="1" si="24"/>
        <v>237.71203852312439</v>
      </c>
      <c r="F160" s="2">
        <f t="shared" ca="1" si="25"/>
        <v>0</v>
      </c>
      <c r="G160" s="2">
        <f t="shared" ca="1" si="26"/>
        <v>237.71203852312439</v>
      </c>
      <c r="H160" s="2">
        <f t="shared" ca="1" si="21"/>
        <v>0.12374051320381818</v>
      </c>
      <c r="I160" s="2">
        <f t="shared" ca="1" si="22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0"/>
        <v>7</v>
      </c>
      <c r="E161" s="2">
        <f t="shared" ca="1" si="24"/>
        <v>237.8357790363282</v>
      </c>
      <c r="F161" s="2">
        <f t="shared" ca="1" si="25"/>
        <v>0</v>
      </c>
      <c r="G161" s="2">
        <f t="shared" ca="1" si="26"/>
        <v>237.8357790363282</v>
      </c>
      <c r="H161" s="2">
        <f t="shared" ca="1" si="21"/>
        <v>0.12380492607370509</v>
      </c>
      <c r="I161" s="2">
        <f t="shared" ca="1" si="22"/>
        <v>20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0"/>
        <v>1</v>
      </c>
      <c r="E162" s="2">
        <f t="shared" ca="1" si="24"/>
        <v>257.95958396240189</v>
      </c>
      <c r="F162" s="2">
        <f t="shared" ca="1" si="25"/>
        <v>0</v>
      </c>
      <c r="G162" s="2">
        <f t="shared" ca="1" si="26"/>
        <v>257.95958396240189</v>
      </c>
      <c r="H162" s="2">
        <f t="shared" ca="1" si="21"/>
        <v>0.13428033137768866</v>
      </c>
      <c r="I162" s="2">
        <f t="shared" ca="1" si="22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0"/>
        <v>2</v>
      </c>
      <c r="E163" s="2">
        <f t="shared" ca="1" si="24"/>
        <v>258.09386429377957</v>
      </c>
      <c r="F163" s="2">
        <f t="shared" ca="1" si="25"/>
        <v>0</v>
      </c>
      <c r="G163" s="2">
        <f t="shared" ca="1" si="26"/>
        <v>258.09386429377957</v>
      </c>
      <c r="H163" s="2">
        <f t="shared" ca="1" si="21"/>
        <v>0.13435023072826882</v>
      </c>
      <c r="I163" s="2">
        <f t="shared" ca="1" si="22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0"/>
        <v>3</v>
      </c>
      <c r="E164" s="2">
        <f t="shared" ca="1" si="24"/>
        <v>258.22821452450785</v>
      </c>
      <c r="F164" s="2">
        <f t="shared" ca="1" si="25"/>
        <v>0</v>
      </c>
      <c r="G164" s="2">
        <f t="shared" ca="1" si="26"/>
        <v>258.22821452450785</v>
      </c>
      <c r="H164" s="2">
        <f t="shared" ca="1" si="21"/>
        <v>0.13442016646481231</v>
      </c>
      <c r="I164" s="2">
        <f t="shared" ca="1" si="22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0"/>
        <v>4</v>
      </c>
      <c r="E165" s="2">
        <f t="shared" ca="1" si="24"/>
        <v>258.36263469097264</v>
      </c>
      <c r="F165" s="2">
        <f t="shared" ca="1" si="25"/>
        <v>149.25687304610534</v>
      </c>
      <c r="G165" s="2">
        <f t="shared" ca="1" si="26"/>
        <v>109.1057616448673</v>
      </c>
      <c r="H165" s="2">
        <f t="shared" ca="1" si="21"/>
        <v>5.6794780034314492E-2</v>
      </c>
      <c r="I165" s="2">
        <f t="shared" ca="1" si="22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0"/>
        <v>5</v>
      </c>
      <c r="E166" s="2">
        <f t="shared" ca="1" si="24"/>
        <v>109.16255642490161</v>
      </c>
      <c r="F166" s="2">
        <f t="shared" ca="1" si="25"/>
        <v>0</v>
      </c>
      <c r="G166" s="2">
        <f t="shared" ca="1" si="26"/>
        <v>109.16255642490161</v>
      </c>
      <c r="H166" s="2">
        <f t="shared" ca="1" si="21"/>
        <v>5.6824344440359741E-2</v>
      </c>
      <c r="I166" s="2">
        <f t="shared" ca="1" si="22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0"/>
        <v>6</v>
      </c>
      <c r="E167" s="2">
        <f t="shared" ca="1" si="24"/>
        <v>109.21938076934197</v>
      </c>
      <c r="F167" s="2">
        <f t="shared" ca="1" si="25"/>
        <v>0</v>
      </c>
      <c r="G167" s="2">
        <f t="shared" ca="1" si="26"/>
        <v>109.21938076934197</v>
      </c>
      <c r="H167" s="2">
        <f t="shared" ca="1" si="21"/>
        <v>5.6853924236095817E-2</v>
      </c>
      <c r="I167" s="2">
        <f t="shared" ca="1" si="22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0"/>
        <v>7</v>
      </c>
      <c r="E168" s="2">
        <f t="shared" ca="1" si="24"/>
        <v>109.27623469357806</v>
      </c>
      <c r="F168" s="2">
        <f t="shared" ca="1" si="25"/>
        <v>0</v>
      </c>
      <c r="G168" s="2">
        <f t="shared" ca="1" si="26"/>
        <v>109.27623469357806</v>
      </c>
      <c r="H168" s="2">
        <f t="shared" ca="1" si="21"/>
        <v>5.6883519429533784E-2</v>
      </c>
      <c r="I168" s="2">
        <f t="shared" ca="1" si="22"/>
        <v>20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0"/>
        <v>1</v>
      </c>
      <c r="E169" s="2">
        <f t="shared" ca="1" si="24"/>
        <v>129.33311821300759</v>
      </c>
      <c r="F169" s="2">
        <f t="shared" ca="1" si="25"/>
        <v>0</v>
      </c>
      <c r="G169" s="2">
        <f t="shared" ca="1" si="26"/>
        <v>129.33311821300759</v>
      </c>
      <c r="H169" s="2">
        <f t="shared" ca="1" si="21"/>
        <v>6.7324088932798468E-2</v>
      </c>
      <c r="I169" s="2">
        <f t="shared" ca="1" si="22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0"/>
        <v>2</v>
      </c>
      <c r="E170" s="2">
        <f t="shared" ca="1" si="24"/>
        <v>129.40044230194039</v>
      </c>
      <c r="F170" s="2">
        <f t="shared" ca="1" si="25"/>
        <v>0</v>
      </c>
      <c r="G170" s="2">
        <f t="shared" ca="1" si="26"/>
        <v>129.40044230194039</v>
      </c>
      <c r="H170" s="2">
        <f t="shared" ca="1" si="21"/>
        <v>6.7359134348955269E-2</v>
      </c>
      <c r="I170" s="2">
        <f t="shared" ca="1" si="22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0"/>
        <v>3</v>
      </c>
      <c r="E171" s="2">
        <f t="shared" ca="1" si="24"/>
        <v>129.46780143628934</v>
      </c>
      <c r="F171" s="2">
        <f t="shared" ca="1" si="25"/>
        <v>0</v>
      </c>
      <c r="G171" s="2">
        <f t="shared" ca="1" si="26"/>
        <v>129.46780143628934</v>
      </c>
      <c r="H171" s="2">
        <f t="shared" ca="1" si="21"/>
        <v>6.7394198007931436E-2</v>
      </c>
      <c r="I171" s="2">
        <f t="shared" ca="1" si="22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0"/>
        <v>4</v>
      </c>
      <c r="E172" s="2">
        <f t="shared" ca="1" si="24"/>
        <v>129.53519563429725</v>
      </c>
      <c r="F172" s="2">
        <f t="shared" ca="1" si="25"/>
        <v>0</v>
      </c>
      <c r="G172" s="2">
        <f t="shared" ca="1" si="26"/>
        <v>129.53519563429725</v>
      </c>
      <c r="H172" s="2">
        <f t="shared" ca="1" si="21"/>
        <v>6.7429279919223234E-2</v>
      </c>
      <c r="I172" s="2">
        <f t="shared" ca="1" si="22"/>
        <v>0</v>
      </c>
    </row>
    <row r="173" spans="2:9" x14ac:dyDescent="0.2">
      <c r="B173" s="4">
        <f t="shared" ref="B173:C188" ca="1" si="28">B172+1</f>
        <v>44210</v>
      </c>
      <c r="C173">
        <f t="shared" si="28"/>
        <v>162</v>
      </c>
      <c r="D173">
        <f t="shared" ca="1" si="20"/>
        <v>5</v>
      </c>
      <c r="E173" s="2">
        <f t="shared" ca="1" si="24"/>
        <v>129.60262491421648</v>
      </c>
      <c r="F173" s="2">
        <f t="shared" ca="1" si="25"/>
        <v>0</v>
      </c>
      <c r="G173" s="2">
        <f t="shared" ca="1" si="26"/>
        <v>129.60262491421648</v>
      </c>
      <c r="H173" s="2">
        <f t="shared" ca="1" si="21"/>
        <v>6.7464380092331869E-2</v>
      </c>
      <c r="I173" s="2">
        <f t="shared" ca="1" si="22"/>
        <v>0</v>
      </c>
    </row>
    <row r="174" spans="2:9" x14ac:dyDescent="0.2">
      <c r="B174" s="4">
        <f t="shared" ca="1" si="28"/>
        <v>44211</v>
      </c>
      <c r="C174">
        <f t="shared" si="28"/>
        <v>163</v>
      </c>
      <c r="D174">
        <f t="shared" ca="1" si="20"/>
        <v>6</v>
      </c>
      <c r="E174" s="2">
        <f t="shared" ca="1" si="24"/>
        <v>129.67008929430881</v>
      </c>
      <c r="F174" s="2">
        <f t="shared" ca="1" si="25"/>
        <v>0</v>
      </c>
      <c r="G174" s="2">
        <f t="shared" ca="1" si="26"/>
        <v>129.67008929430881</v>
      </c>
      <c r="H174" s="2">
        <f t="shared" ca="1" si="21"/>
        <v>6.74994985367635E-2</v>
      </c>
      <c r="I174" s="2">
        <f t="shared" ca="1" si="22"/>
        <v>0</v>
      </c>
    </row>
    <row r="175" spans="2:9" x14ac:dyDescent="0.2">
      <c r="B175" s="4">
        <f t="shared" ca="1" si="28"/>
        <v>44212</v>
      </c>
      <c r="C175">
        <f t="shared" si="28"/>
        <v>164</v>
      </c>
      <c r="D175">
        <f t="shared" ca="1" si="20"/>
        <v>7</v>
      </c>
      <c r="E175" s="2">
        <f t="shared" ca="1" si="24"/>
        <v>129.73758879284557</v>
      </c>
      <c r="F175" s="2">
        <f t="shared" ca="1" si="25"/>
        <v>0</v>
      </c>
      <c r="G175" s="2">
        <f t="shared" ca="1" si="26"/>
        <v>129.73758879284557</v>
      </c>
      <c r="H175" s="2">
        <f t="shared" ca="1" si="21"/>
        <v>6.75346352620292E-2</v>
      </c>
      <c r="I175" s="2">
        <f t="shared" ca="1" si="22"/>
        <v>20</v>
      </c>
    </row>
    <row r="176" spans="2:9" x14ac:dyDescent="0.2">
      <c r="B176" s="4">
        <f t="shared" ca="1" si="28"/>
        <v>44213</v>
      </c>
      <c r="C176">
        <f t="shared" si="28"/>
        <v>165</v>
      </c>
      <c r="D176">
        <f t="shared" ca="1" si="20"/>
        <v>1</v>
      </c>
      <c r="E176" s="2">
        <f t="shared" ca="1" si="24"/>
        <v>149.80512342810761</v>
      </c>
      <c r="F176" s="2">
        <f t="shared" ca="1" si="25"/>
        <v>0</v>
      </c>
      <c r="G176" s="2">
        <f t="shared" ca="1" si="26"/>
        <v>149.80512342810761</v>
      </c>
      <c r="H176" s="2">
        <f t="shared" ca="1" si="21"/>
        <v>7.7980749181754641E-2</v>
      </c>
      <c r="I176" s="2">
        <f t="shared" ca="1" si="22"/>
        <v>0</v>
      </c>
    </row>
    <row r="177" spans="2:9" x14ac:dyDescent="0.2">
      <c r="B177" s="4">
        <f t="shared" ca="1" si="28"/>
        <v>44214</v>
      </c>
      <c r="C177">
        <f t="shared" si="28"/>
        <v>166</v>
      </c>
      <c r="D177">
        <f t="shared" ca="1" si="20"/>
        <v>2</v>
      </c>
      <c r="E177" s="2">
        <f t="shared" ca="1" si="24"/>
        <v>149.88310417728937</v>
      </c>
      <c r="F177" s="2">
        <f t="shared" ca="1" si="25"/>
        <v>0</v>
      </c>
      <c r="G177" s="2">
        <f t="shared" ca="1" si="26"/>
        <v>149.88310417728937</v>
      </c>
      <c r="H177" s="2">
        <f t="shared" ca="1" si="21"/>
        <v>7.8021341900506802E-2</v>
      </c>
      <c r="I177" s="2">
        <f t="shared" ca="1" si="22"/>
        <v>0</v>
      </c>
    </row>
    <row r="178" spans="2:9" x14ac:dyDescent="0.2">
      <c r="B178" s="4">
        <f t="shared" ca="1" si="28"/>
        <v>44215</v>
      </c>
      <c r="C178">
        <f t="shared" si="28"/>
        <v>167</v>
      </c>
      <c r="D178">
        <f t="shared" ca="1" si="20"/>
        <v>3</v>
      </c>
      <c r="E178" s="2">
        <f t="shared" ca="1" si="24"/>
        <v>149.96112551918986</v>
      </c>
      <c r="F178" s="2">
        <f t="shared" ca="1" si="25"/>
        <v>0</v>
      </c>
      <c r="G178" s="2">
        <f t="shared" ca="1" si="26"/>
        <v>149.96112551918986</v>
      </c>
      <c r="H178" s="2">
        <f t="shared" ca="1" si="21"/>
        <v>7.8061955749715264E-2</v>
      </c>
      <c r="I178" s="2">
        <f t="shared" ca="1" si="22"/>
        <v>0</v>
      </c>
    </row>
    <row r="179" spans="2:9" x14ac:dyDescent="0.2">
      <c r="B179" s="4">
        <f t="shared" ca="1" si="28"/>
        <v>44216</v>
      </c>
      <c r="C179">
        <f t="shared" si="28"/>
        <v>168</v>
      </c>
      <c r="D179">
        <f t="shared" ca="1" si="20"/>
        <v>4</v>
      </c>
      <c r="E179" s="2">
        <f t="shared" ca="1" si="24"/>
        <v>150.03918747493958</v>
      </c>
      <c r="F179" s="2">
        <f t="shared" ca="1" si="25"/>
        <v>149.25687304610534</v>
      </c>
      <c r="G179" s="2">
        <f t="shared" ca="1" si="26"/>
        <v>0.78231442883424052</v>
      </c>
      <c r="H179" s="2">
        <f t="shared" ca="1" si="21"/>
        <v>4.0723216843426219E-4</v>
      </c>
      <c r="I179" s="2">
        <f t="shared" ca="1" si="22"/>
        <v>0</v>
      </c>
    </row>
    <row r="180" spans="2:9" x14ac:dyDescent="0.2">
      <c r="B180" s="4">
        <f t="shared" ca="1" si="28"/>
        <v>44217</v>
      </c>
      <c r="C180">
        <f t="shared" si="28"/>
        <v>169</v>
      </c>
      <c r="D180">
        <f t="shared" ca="1" si="20"/>
        <v>5</v>
      </c>
      <c r="E180" s="2">
        <f t="shared" si="24"/>
        <v>0</v>
      </c>
      <c r="F180" s="2">
        <f t="shared" si="25"/>
        <v>0</v>
      </c>
      <c r="G180" s="2">
        <f t="shared" ca="1" si="26"/>
        <v>0.78231442883424052</v>
      </c>
      <c r="H180" s="2">
        <f t="shared" si="21"/>
        <v>0</v>
      </c>
      <c r="I180" s="2">
        <f t="shared" ca="1" si="22"/>
        <v>0</v>
      </c>
    </row>
    <row r="181" spans="2:9" x14ac:dyDescent="0.2">
      <c r="B181" s="4">
        <f t="shared" ca="1" si="28"/>
        <v>44218</v>
      </c>
      <c r="C181">
        <f t="shared" si="28"/>
        <v>170</v>
      </c>
      <c r="D181">
        <f t="shared" ca="1" si="20"/>
        <v>6</v>
      </c>
      <c r="E181" s="2">
        <f t="shared" si="24"/>
        <v>0</v>
      </c>
      <c r="F181" s="2">
        <f t="shared" si="25"/>
        <v>0</v>
      </c>
      <c r="G181" s="2">
        <f t="shared" ca="1" si="26"/>
        <v>0.78231442883424052</v>
      </c>
      <c r="H181" s="2">
        <f t="shared" si="21"/>
        <v>0</v>
      </c>
      <c r="I181" s="2">
        <f t="shared" ca="1" si="22"/>
        <v>0</v>
      </c>
    </row>
    <row r="182" spans="2:9" x14ac:dyDescent="0.2">
      <c r="B182" s="4">
        <f t="shared" ca="1" si="28"/>
        <v>44219</v>
      </c>
      <c r="C182">
        <f t="shared" si="28"/>
        <v>171</v>
      </c>
      <c r="D182">
        <f t="shared" ca="1" si="20"/>
        <v>7</v>
      </c>
      <c r="E182" s="2">
        <f t="shared" si="24"/>
        <v>0</v>
      </c>
      <c r="F182" s="2">
        <f t="shared" si="25"/>
        <v>0</v>
      </c>
      <c r="G182" s="2">
        <f t="shared" ca="1" si="26"/>
        <v>0.78231442883424052</v>
      </c>
      <c r="H182" s="2">
        <f t="shared" si="21"/>
        <v>0</v>
      </c>
      <c r="I182" s="2">
        <f t="shared" ca="1" si="22"/>
        <v>0</v>
      </c>
    </row>
    <row r="183" spans="2:9" x14ac:dyDescent="0.2">
      <c r="B183" s="4">
        <f t="shared" ca="1" si="28"/>
        <v>44220</v>
      </c>
      <c r="C183">
        <f t="shared" si="28"/>
        <v>172</v>
      </c>
      <c r="D183">
        <f t="shared" ca="1" si="20"/>
        <v>1</v>
      </c>
      <c r="E183" s="2">
        <f t="shared" si="24"/>
        <v>0</v>
      </c>
      <c r="F183" s="2">
        <f t="shared" si="25"/>
        <v>0</v>
      </c>
      <c r="G183" s="2">
        <f t="shared" ca="1" si="26"/>
        <v>0.78231442883424052</v>
      </c>
      <c r="H183" s="2">
        <f t="shared" si="21"/>
        <v>0</v>
      </c>
      <c r="I183" s="2">
        <f t="shared" ca="1" si="22"/>
        <v>0</v>
      </c>
    </row>
    <row r="184" spans="2:9" x14ac:dyDescent="0.2">
      <c r="B184" s="4">
        <f t="shared" ca="1" si="28"/>
        <v>44221</v>
      </c>
      <c r="C184">
        <f t="shared" si="28"/>
        <v>173</v>
      </c>
      <c r="D184">
        <f t="shared" ca="1" si="20"/>
        <v>2</v>
      </c>
      <c r="E184" s="2">
        <f t="shared" si="24"/>
        <v>0</v>
      </c>
      <c r="F184" s="2">
        <f t="shared" si="25"/>
        <v>0</v>
      </c>
      <c r="G184" s="2">
        <f t="shared" ca="1" si="26"/>
        <v>0.78231442883424052</v>
      </c>
      <c r="H184" s="2">
        <f t="shared" si="21"/>
        <v>0</v>
      </c>
      <c r="I184" s="2">
        <f t="shared" ca="1" si="22"/>
        <v>0</v>
      </c>
    </row>
    <row r="185" spans="2:9" x14ac:dyDescent="0.2">
      <c r="B185" s="4">
        <f t="shared" ca="1" si="28"/>
        <v>44222</v>
      </c>
      <c r="C185">
        <f t="shared" si="28"/>
        <v>174</v>
      </c>
      <c r="D185">
        <f t="shared" ca="1" si="20"/>
        <v>3</v>
      </c>
      <c r="E185" s="2">
        <f t="shared" si="24"/>
        <v>0</v>
      </c>
      <c r="F185" s="2">
        <f t="shared" si="25"/>
        <v>0</v>
      </c>
      <c r="G185" s="2">
        <f t="shared" ca="1" si="26"/>
        <v>0.78231442883424052</v>
      </c>
      <c r="H185" s="2">
        <f t="shared" si="21"/>
        <v>0</v>
      </c>
      <c r="I185" s="2">
        <f t="shared" ca="1" si="22"/>
        <v>0</v>
      </c>
    </row>
    <row r="186" spans="2:9" x14ac:dyDescent="0.2">
      <c r="B186" s="4">
        <f t="shared" ca="1" si="28"/>
        <v>44223</v>
      </c>
      <c r="C186">
        <f t="shared" si="28"/>
        <v>175</v>
      </c>
      <c r="D186">
        <f t="shared" ca="1" si="20"/>
        <v>4</v>
      </c>
      <c r="E186" s="2">
        <f t="shared" si="24"/>
        <v>0</v>
      </c>
      <c r="F186" s="2">
        <f t="shared" si="25"/>
        <v>0</v>
      </c>
      <c r="G186" s="2">
        <f t="shared" ca="1" si="26"/>
        <v>0.78231442883424052</v>
      </c>
      <c r="H186" s="2">
        <f t="shared" si="21"/>
        <v>0</v>
      </c>
      <c r="I186" s="2">
        <f t="shared" ca="1" si="22"/>
        <v>0</v>
      </c>
    </row>
    <row r="187" spans="2:9" x14ac:dyDescent="0.2">
      <c r="B187" s="4">
        <f t="shared" ca="1" si="28"/>
        <v>44224</v>
      </c>
      <c r="C187">
        <f t="shared" si="28"/>
        <v>176</v>
      </c>
      <c r="D187">
        <f t="shared" ca="1" si="20"/>
        <v>5</v>
      </c>
      <c r="E187" s="2">
        <f t="shared" si="24"/>
        <v>0</v>
      </c>
      <c r="F187" s="2">
        <f t="shared" si="25"/>
        <v>0</v>
      </c>
      <c r="G187" s="2">
        <f t="shared" ca="1" si="26"/>
        <v>0.78231442883424052</v>
      </c>
      <c r="H187" s="2">
        <f t="shared" si="21"/>
        <v>0</v>
      </c>
      <c r="I187" s="2">
        <f t="shared" ca="1" si="22"/>
        <v>0</v>
      </c>
    </row>
    <row r="188" spans="2:9" x14ac:dyDescent="0.2">
      <c r="B188" s="4">
        <f t="shared" ca="1" si="28"/>
        <v>44225</v>
      </c>
      <c r="C188">
        <f t="shared" si="28"/>
        <v>177</v>
      </c>
      <c r="D188">
        <f t="shared" ca="1" si="20"/>
        <v>6</v>
      </c>
      <c r="E188" s="2">
        <f t="shared" si="24"/>
        <v>0</v>
      </c>
      <c r="F188" s="2">
        <f t="shared" si="25"/>
        <v>0</v>
      </c>
      <c r="G188" s="2">
        <f t="shared" ca="1" si="26"/>
        <v>0.78231442883424052</v>
      </c>
      <c r="H188" s="2">
        <f t="shared" si="21"/>
        <v>0</v>
      </c>
      <c r="I188" s="2">
        <f t="shared" ca="1" si="22"/>
        <v>0</v>
      </c>
    </row>
    <row r="189" spans="2:9" x14ac:dyDescent="0.2">
      <c r="B189" s="4">
        <f t="shared" ref="B189:C204" ca="1" si="29">B188+1</f>
        <v>44226</v>
      </c>
      <c r="C189">
        <f t="shared" si="29"/>
        <v>178</v>
      </c>
      <c r="D189">
        <f t="shared" ca="1" si="20"/>
        <v>7</v>
      </c>
      <c r="E189" s="2">
        <f t="shared" si="24"/>
        <v>0</v>
      </c>
      <c r="F189" s="2">
        <f t="shared" si="25"/>
        <v>0</v>
      </c>
      <c r="G189" s="2">
        <f t="shared" ca="1" si="26"/>
        <v>0.78231442883424052</v>
      </c>
      <c r="H189" s="2">
        <f t="shared" si="21"/>
        <v>0</v>
      </c>
      <c r="I189" s="2">
        <f t="shared" ca="1" si="22"/>
        <v>0</v>
      </c>
    </row>
    <row r="190" spans="2:9" x14ac:dyDescent="0.2">
      <c r="B190" s="4">
        <f t="shared" ca="1" si="29"/>
        <v>44227</v>
      </c>
      <c r="C190">
        <f t="shared" si="29"/>
        <v>179</v>
      </c>
      <c r="D190">
        <f t="shared" ca="1" si="20"/>
        <v>1</v>
      </c>
      <c r="E190" s="2">
        <f t="shared" si="24"/>
        <v>0</v>
      </c>
      <c r="F190" s="2">
        <f t="shared" si="25"/>
        <v>0</v>
      </c>
      <c r="G190" s="2">
        <f t="shared" ca="1" si="26"/>
        <v>0.78231442883424052</v>
      </c>
      <c r="H190" s="2">
        <f t="shared" si="21"/>
        <v>0</v>
      </c>
      <c r="I190" s="2">
        <f t="shared" ca="1" si="22"/>
        <v>0</v>
      </c>
    </row>
    <row r="191" spans="2:9" x14ac:dyDescent="0.2">
      <c r="B191" s="4">
        <f t="shared" ca="1" si="29"/>
        <v>44228</v>
      </c>
      <c r="C191">
        <f t="shared" si="29"/>
        <v>180</v>
      </c>
      <c r="D191">
        <f t="shared" ca="1" si="20"/>
        <v>2</v>
      </c>
      <c r="E191" s="2">
        <f t="shared" si="24"/>
        <v>0</v>
      </c>
      <c r="F191" s="2">
        <f t="shared" si="25"/>
        <v>0</v>
      </c>
      <c r="G191" s="2">
        <f t="shared" ca="1" si="26"/>
        <v>0.78231442883424052</v>
      </c>
      <c r="H191" s="2">
        <f t="shared" si="21"/>
        <v>0</v>
      </c>
      <c r="I191" s="2">
        <f t="shared" ca="1" si="22"/>
        <v>0</v>
      </c>
    </row>
    <row r="192" spans="2:9" x14ac:dyDescent="0.2">
      <c r="B192" s="4">
        <f t="shared" ca="1" si="29"/>
        <v>44229</v>
      </c>
      <c r="C192">
        <f t="shared" si="29"/>
        <v>181</v>
      </c>
      <c r="D192">
        <f t="shared" ca="1" si="20"/>
        <v>3</v>
      </c>
      <c r="E192" s="2">
        <f t="shared" si="24"/>
        <v>0</v>
      </c>
      <c r="F192" s="2">
        <f t="shared" si="25"/>
        <v>0</v>
      </c>
      <c r="G192" s="2">
        <f t="shared" ca="1" si="26"/>
        <v>0.78231442883424052</v>
      </c>
      <c r="H192" s="2">
        <f t="shared" si="21"/>
        <v>0</v>
      </c>
      <c r="I192" s="2">
        <f t="shared" ca="1" si="22"/>
        <v>0</v>
      </c>
    </row>
    <row r="193" spans="2:9" x14ac:dyDescent="0.2">
      <c r="B193" s="4">
        <f t="shared" ca="1" si="29"/>
        <v>44230</v>
      </c>
      <c r="C193">
        <f t="shared" si="29"/>
        <v>182</v>
      </c>
      <c r="D193">
        <f t="shared" ca="1" si="20"/>
        <v>4</v>
      </c>
      <c r="E193" s="2">
        <f t="shared" si="24"/>
        <v>0</v>
      </c>
      <c r="F193" s="2">
        <f t="shared" si="25"/>
        <v>0</v>
      </c>
      <c r="G193" s="2">
        <f t="shared" ca="1" si="26"/>
        <v>0.78231442883424052</v>
      </c>
      <c r="H193" s="2">
        <f t="shared" si="21"/>
        <v>0</v>
      </c>
      <c r="I193" s="2">
        <f t="shared" ca="1" si="22"/>
        <v>0</v>
      </c>
    </row>
    <row r="194" spans="2:9" x14ac:dyDescent="0.2">
      <c r="B194" s="4">
        <f t="shared" ca="1" si="29"/>
        <v>44231</v>
      </c>
      <c r="C194">
        <f t="shared" si="29"/>
        <v>183</v>
      </c>
      <c r="D194">
        <f t="shared" ca="1" si="20"/>
        <v>5</v>
      </c>
      <c r="E194" s="2">
        <f t="shared" si="24"/>
        <v>0</v>
      </c>
      <c r="F194" s="2">
        <f t="shared" si="25"/>
        <v>0</v>
      </c>
      <c r="G194" s="2">
        <f t="shared" ca="1" si="26"/>
        <v>0.78231442883424052</v>
      </c>
      <c r="H194" s="2">
        <f t="shared" si="21"/>
        <v>0</v>
      </c>
      <c r="I194" s="2">
        <f t="shared" ca="1" si="22"/>
        <v>0</v>
      </c>
    </row>
    <row r="195" spans="2:9" x14ac:dyDescent="0.2">
      <c r="B195" s="4">
        <f t="shared" ca="1" si="29"/>
        <v>44232</v>
      </c>
      <c r="C195">
        <f t="shared" si="29"/>
        <v>184</v>
      </c>
      <c r="D195">
        <f t="shared" ca="1" si="20"/>
        <v>6</v>
      </c>
      <c r="E195" s="2">
        <f t="shared" si="24"/>
        <v>0</v>
      </c>
      <c r="F195" s="2">
        <f t="shared" si="25"/>
        <v>0</v>
      </c>
      <c r="G195" s="2">
        <f t="shared" ca="1" si="26"/>
        <v>0.78231442883424052</v>
      </c>
      <c r="H195" s="2">
        <f t="shared" si="21"/>
        <v>0</v>
      </c>
      <c r="I195" s="2">
        <f t="shared" ca="1" si="22"/>
        <v>0</v>
      </c>
    </row>
    <row r="196" spans="2:9" x14ac:dyDescent="0.2">
      <c r="B196" s="4">
        <f t="shared" ca="1" si="29"/>
        <v>44233</v>
      </c>
      <c r="C196">
        <f t="shared" si="29"/>
        <v>185</v>
      </c>
      <c r="D196">
        <f t="shared" ca="1" si="20"/>
        <v>7</v>
      </c>
      <c r="E196" s="2">
        <f t="shared" si="24"/>
        <v>0</v>
      </c>
      <c r="F196" s="2">
        <f t="shared" si="25"/>
        <v>0</v>
      </c>
      <c r="G196" s="2">
        <f t="shared" ca="1" si="26"/>
        <v>0.78231442883424052</v>
      </c>
      <c r="H196" s="2">
        <f t="shared" si="21"/>
        <v>0</v>
      </c>
      <c r="I196" s="2">
        <f t="shared" ca="1" si="22"/>
        <v>0</v>
      </c>
    </row>
    <row r="197" spans="2:9" x14ac:dyDescent="0.2">
      <c r="B197" s="4">
        <f t="shared" ca="1" si="29"/>
        <v>44234</v>
      </c>
      <c r="C197">
        <f t="shared" si="29"/>
        <v>186</v>
      </c>
      <c r="D197">
        <f t="shared" ca="1" si="20"/>
        <v>1</v>
      </c>
      <c r="E197" s="2">
        <f t="shared" si="24"/>
        <v>0</v>
      </c>
      <c r="F197" s="2">
        <f t="shared" si="25"/>
        <v>0</v>
      </c>
      <c r="G197" s="2">
        <f t="shared" ca="1" si="26"/>
        <v>0.78231442883424052</v>
      </c>
      <c r="H197" s="2">
        <f t="shared" si="21"/>
        <v>0</v>
      </c>
      <c r="I197" s="2">
        <f t="shared" ca="1" si="22"/>
        <v>0</v>
      </c>
    </row>
    <row r="198" spans="2:9" x14ac:dyDescent="0.2">
      <c r="B198" s="4">
        <f t="shared" ca="1" si="29"/>
        <v>44235</v>
      </c>
      <c r="C198">
        <f t="shared" si="29"/>
        <v>187</v>
      </c>
      <c r="D198">
        <f t="shared" ca="1" si="20"/>
        <v>2</v>
      </c>
      <c r="E198" s="2">
        <f t="shared" si="24"/>
        <v>0</v>
      </c>
      <c r="F198" s="2">
        <f t="shared" si="25"/>
        <v>0</v>
      </c>
      <c r="G198" s="2">
        <f t="shared" ca="1" si="26"/>
        <v>0.78231442883424052</v>
      </c>
      <c r="H198" s="2">
        <f t="shared" si="21"/>
        <v>0</v>
      </c>
      <c r="I198" s="2">
        <f t="shared" ca="1" si="22"/>
        <v>0</v>
      </c>
    </row>
    <row r="199" spans="2:9" x14ac:dyDescent="0.2">
      <c r="B199" s="4">
        <f t="shared" ca="1" si="29"/>
        <v>44236</v>
      </c>
      <c r="C199">
        <f t="shared" si="29"/>
        <v>188</v>
      </c>
      <c r="D199">
        <f t="shared" ca="1" si="20"/>
        <v>3</v>
      </c>
      <c r="E199" s="2">
        <f t="shared" si="24"/>
        <v>0</v>
      </c>
      <c r="F199" s="2">
        <f t="shared" si="25"/>
        <v>0</v>
      </c>
      <c r="G199" s="2">
        <f t="shared" ca="1" si="26"/>
        <v>0.78231442883424052</v>
      </c>
      <c r="H199" s="2">
        <f t="shared" si="21"/>
        <v>0</v>
      </c>
      <c r="I199" s="2">
        <f t="shared" ca="1" si="22"/>
        <v>0</v>
      </c>
    </row>
    <row r="200" spans="2:9" x14ac:dyDescent="0.2">
      <c r="B200" s="4">
        <f t="shared" ca="1" si="29"/>
        <v>44237</v>
      </c>
      <c r="C200">
        <f t="shared" si="29"/>
        <v>189</v>
      </c>
      <c r="D200">
        <f t="shared" ca="1" si="20"/>
        <v>4</v>
      </c>
      <c r="E200" s="2">
        <f t="shared" si="24"/>
        <v>0</v>
      </c>
      <c r="F200" s="2">
        <f t="shared" si="25"/>
        <v>0</v>
      </c>
      <c r="G200" s="2">
        <f t="shared" ca="1" si="26"/>
        <v>0.78231442883424052</v>
      </c>
      <c r="H200" s="2">
        <f t="shared" si="21"/>
        <v>0</v>
      </c>
      <c r="I200" s="2">
        <f t="shared" ca="1" si="22"/>
        <v>0</v>
      </c>
    </row>
    <row r="201" spans="2:9" x14ac:dyDescent="0.2">
      <c r="B201" s="4">
        <f t="shared" ca="1" si="29"/>
        <v>44238</v>
      </c>
      <c r="C201">
        <f t="shared" si="29"/>
        <v>190</v>
      </c>
      <c r="D201">
        <f t="shared" ca="1" si="20"/>
        <v>5</v>
      </c>
      <c r="E201" s="2">
        <f t="shared" si="24"/>
        <v>0</v>
      </c>
      <c r="F201" s="2">
        <f t="shared" si="25"/>
        <v>0</v>
      </c>
      <c r="G201" s="2">
        <f t="shared" ca="1" si="26"/>
        <v>0.78231442883424052</v>
      </c>
      <c r="H201" s="2">
        <f t="shared" si="21"/>
        <v>0</v>
      </c>
      <c r="I201" s="2">
        <f t="shared" ca="1" si="22"/>
        <v>0</v>
      </c>
    </row>
    <row r="202" spans="2:9" x14ac:dyDescent="0.2">
      <c r="B202" s="4">
        <f t="shared" ca="1" si="29"/>
        <v>44239</v>
      </c>
      <c r="C202">
        <f t="shared" si="29"/>
        <v>191</v>
      </c>
      <c r="D202">
        <f t="shared" ca="1" si="20"/>
        <v>6</v>
      </c>
      <c r="E202" s="2">
        <f t="shared" si="24"/>
        <v>0</v>
      </c>
      <c r="F202" s="2">
        <f t="shared" si="25"/>
        <v>0</v>
      </c>
      <c r="G202" s="2">
        <f t="shared" ca="1" si="26"/>
        <v>0.78231442883424052</v>
      </c>
      <c r="H202" s="2">
        <f t="shared" si="21"/>
        <v>0</v>
      </c>
      <c r="I202" s="2">
        <f t="shared" ca="1" si="22"/>
        <v>0</v>
      </c>
    </row>
    <row r="203" spans="2:9" x14ac:dyDescent="0.2">
      <c r="B203" s="4">
        <f t="shared" ca="1" si="29"/>
        <v>44240</v>
      </c>
      <c r="C203">
        <f t="shared" si="29"/>
        <v>192</v>
      </c>
      <c r="D203">
        <f t="shared" ca="1" si="20"/>
        <v>7</v>
      </c>
      <c r="E203" s="2">
        <f t="shared" si="24"/>
        <v>0</v>
      </c>
      <c r="F203" s="2">
        <f t="shared" si="25"/>
        <v>0</v>
      </c>
      <c r="G203" s="2">
        <f t="shared" ca="1" si="26"/>
        <v>0.78231442883424052</v>
      </c>
      <c r="H203" s="2">
        <f t="shared" si="21"/>
        <v>0</v>
      </c>
      <c r="I203" s="2">
        <f t="shared" ca="1" si="22"/>
        <v>0</v>
      </c>
    </row>
    <row r="204" spans="2:9" x14ac:dyDescent="0.2">
      <c r="B204" s="4">
        <f t="shared" ca="1" si="29"/>
        <v>44241</v>
      </c>
      <c r="C204">
        <f t="shared" si="29"/>
        <v>193</v>
      </c>
      <c r="D204">
        <f t="shared" ref="D204:D211" ca="1" si="30">WEEKDAY(B204,1)</f>
        <v>1</v>
      </c>
      <c r="E204" s="2">
        <f t="shared" si="24"/>
        <v>0</v>
      </c>
      <c r="F204" s="2">
        <f t="shared" si="25"/>
        <v>0</v>
      </c>
      <c r="G204" s="2">
        <f t="shared" ca="1" si="26"/>
        <v>0.78231442883424052</v>
      </c>
      <c r="H204" s="2">
        <f t="shared" ref="H204:H211" si="31">IF(C204&gt;$C$7,0,(G204)*$C$5/365)</f>
        <v>0</v>
      </c>
      <c r="I204" s="2">
        <f t="shared" ref="I204:I211" ca="1" si="32">IF(AND(C204=0,D204=7),$C$6,IF(C204=$C$7,0,IF(C204&lt;$C$7,IF(D204=7,$C$6,0),0)))</f>
        <v>0</v>
      </c>
    </row>
    <row r="205" spans="2:9" x14ac:dyDescent="0.2">
      <c r="B205" s="4">
        <f t="shared" ref="B205:C211" ca="1" si="33">B204+1</f>
        <v>44242</v>
      </c>
      <c r="C205">
        <f t="shared" si="33"/>
        <v>194</v>
      </c>
      <c r="D205">
        <f t="shared" ca="1" si="30"/>
        <v>2</v>
      </c>
      <c r="E205" s="2">
        <f t="shared" ref="E205:E211" si="34">IF(C205&gt;$C$7,0,G204+H204+I204)</f>
        <v>0</v>
      </c>
      <c r="F205" s="2">
        <f t="shared" ref="F205:F211" si="35">IF(C205&gt;$C$7,0,IF(ROUND(E205,0)&gt;0,IF(C205=0,0,IF(MOD(C205,$C$3)&gt;0,0,$C$8)),0))</f>
        <v>0</v>
      </c>
      <c r="G205" s="2">
        <f t="shared" ref="G205:G211" ca="1" si="36">IF(C205&gt;$C$7,G204,E205-F205)</f>
        <v>0.78231442883424052</v>
      </c>
      <c r="H205" s="2">
        <f t="shared" si="31"/>
        <v>0</v>
      </c>
      <c r="I205" s="2">
        <f t="shared" ca="1" si="32"/>
        <v>0</v>
      </c>
    </row>
    <row r="206" spans="2:9" x14ac:dyDescent="0.2">
      <c r="B206" s="4">
        <f t="shared" ca="1" si="33"/>
        <v>44243</v>
      </c>
      <c r="C206">
        <f t="shared" si="33"/>
        <v>195</v>
      </c>
      <c r="D206">
        <f t="shared" ca="1" si="30"/>
        <v>3</v>
      </c>
      <c r="E206" s="2">
        <f t="shared" si="34"/>
        <v>0</v>
      </c>
      <c r="F206" s="2">
        <f t="shared" si="35"/>
        <v>0</v>
      </c>
      <c r="G206" s="2">
        <f t="shared" ca="1" si="36"/>
        <v>0.78231442883424052</v>
      </c>
      <c r="H206" s="2">
        <f t="shared" si="31"/>
        <v>0</v>
      </c>
      <c r="I206" s="2">
        <f t="shared" ca="1" si="32"/>
        <v>0</v>
      </c>
    </row>
    <row r="207" spans="2:9" x14ac:dyDescent="0.2">
      <c r="B207" s="4">
        <f t="shared" ca="1" si="33"/>
        <v>44244</v>
      </c>
      <c r="C207">
        <f t="shared" si="33"/>
        <v>196</v>
      </c>
      <c r="D207">
        <f t="shared" ca="1" si="30"/>
        <v>4</v>
      </c>
      <c r="E207" s="2">
        <f t="shared" si="34"/>
        <v>0</v>
      </c>
      <c r="F207" s="2">
        <f t="shared" si="35"/>
        <v>0</v>
      </c>
      <c r="G207" s="2">
        <f t="shared" ca="1" si="36"/>
        <v>0.78231442883424052</v>
      </c>
      <c r="H207" s="2">
        <f t="shared" si="31"/>
        <v>0</v>
      </c>
      <c r="I207" s="2">
        <f t="shared" ca="1" si="32"/>
        <v>0</v>
      </c>
    </row>
    <row r="208" spans="2:9" x14ac:dyDescent="0.2">
      <c r="B208" s="4">
        <f t="shared" ca="1" si="33"/>
        <v>44245</v>
      </c>
      <c r="C208">
        <f t="shared" si="33"/>
        <v>197</v>
      </c>
      <c r="D208">
        <f t="shared" ca="1" si="30"/>
        <v>5</v>
      </c>
      <c r="E208" s="2">
        <f t="shared" si="34"/>
        <v>0</v>
      </c>
      <c r="F208" s="2">
        <f t="shared" si="35"/>
        <v>0</v>
      </c>
      <c r="G208" s="2">
        <f t="shared" ca="1" si="36"/>
        <v>0.78231442883424052</v>
      </c>
      <c r="H208" s="2">
        <f t="shared" si="31"/>
        <v>0</v>
      </c>
      <c r="I208" s="2">
        <f t="shared" ca="1" si="32"/>
        <v>0</v>
      </c>
    </row>
    <row r="209" spans="2:9" x14ac:dyDescent="0.2">
      <c r="B209" s="4">
        <f t="shared" ca="1" si="33"/>
        <v>44246</v>
      </c>
      <c r="C209">
        <f t="shared" si="33"/>
        <v>198</v>
      </c>
      <c r="D209">
        <f t="shared" ca="1" si="30"/>
        <v>6</v>
      </c>
      <c r="E209" s="2">
        <f t="shared" si="34"/>
        <v>0</v>
      </c>
      <c r="F209" s="2">
        <f t="shared" si="35"/>
        <v>0</v>
      </c>
      <c r="G209" s="2">
        <f t="shared" ca="1" si="36"/>
        <v>0.78231442883424052</v>
      </c>
      <c r="H209" s="2">
        <f t="shared" si="31"/>
        <v>0</v>
      </c>
      <c r="I209" s="2">
        <f t="shared" ca="1" si="32"/>
        <v>0</v>
      </c>
    </row>
    <row r="210" spans="2:9" x14ac:dyDescent="0.2">
      <c r="B210" s="4">
        <f t="shared" ca="1" si="33"/>
        <v>44247</v>
      </c>
      <c r="C210">
        <f t="shared" si="33"/>
        <v>199</v>
      </c>
      <c r="D210">
        <f t="shared" ca="1" si="30"/>
        <v>7</v>
      </c>
      <c r="E210" s="2">
        <f t="shared" si="34"/>
        <v>0</v>
      </c>
      <c r="F210" s="2">
        <f t="shared" si="35"/>
        <v>0</v>
      </c>
      <c r="G210" s="2">
        <f t="shared" ca="1" si="36"/>
        <v>0.78231442883424052</v>
      </c>
      <c r="H210" s="2">
        <f t="shared" si="31"/>
        <v>0</v>
      </c>
      <c r="I210" s="2">
        <f t="shared" ca="1" si="32"/>
        <v>0</v>
      </c>
    </row>
    <row r="211" spans="2:9" x14ac:dyDescent="0.2">
      <c r="B211" s="4">
        <f t="shared" ca="1" si="33"/>
        <v>44248</v>
      </c>
      <c r="C211">
        <f t="shared" si="33"/>
        <v>200</v>
      </c>
      <c r="D211">
        <f t="shared" ca="1" si="30"/>
        <v>1</v>
      </c>
      <c r="E211" s="2">
        <f t="shared" si="34"/>
        <v>0</v>
      </c>
      <c r="F211" s="2">
        <f t="shared" si="35"/>
        <v>0</v>
      </c>
      <c r="G211" s="2">
        <f t="shared" ca="1" si="36"/>
        <v>0.78231442883424052</v>
      </c>
      <c r="H211" s="2">
        <f t="shared" si="31"/>
        <v>0</v>
      </c>
      <c r="I211" s="2">
        <f t="shared" ca="1" si="32"/>
        <v>0</v>
      </c>
    </row>
  </sheetData>
  <mergeCells count="2">
    <mergeCell ref="H2:I4"/>
    <mergeCell ref="E7:F8"/>
  </mergeCells>
  <conditionalFormatting sqref="B11:I211">
    <cfRule type="expression" dxfId="33" priority="3">
      <formula>$C11=$C$7</formula>
    </cfRule>
    <cfRule type="expression" dxfId="32" priority="4">
      <formula>$C11&gt;$C$7</formula>
    </cfRule>
  </conditionalFormatting>
  <conditionalFormatting sqref="E7">
    <cfRule type="cellIs" dxfId="31" priority="1" operator="equal">
      <formula>"No RESET Required"</formula>
    </cfRule>
    <cfRule type="cellIs" dxfId="30" priority="2" operator="equal">
      <formula>"RESET"</formula>
    </cfRule>
  </conditionalFormatting>
  <hyperlinks>
    <hyperlink ref="H2:I4" location="Summary!A1" display="Return to Home" xr:uid="{C07488A0-5B77-4726-BD68-F43A0DCF321B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215900</xdr:colOff>
                    <xdr:row>5</xdr:row>
                    <xdr:rowOff>63500</xdr:rowOff>
                  </from>
                  <to>
                    <xdr:col>8</xdr:col>
                    <xdr:colOff>1562100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DCCB-60A4-4204-9963-4FC7AB713CA5}">
  <sheetPr codeName="Sheet17">
    <tabColor rgb="FF00B050"/>
  </sheetPr>
  <dimension ref="B2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3.1640625" bestFit="1" customWidth="1"/>
    <col min="8" max="8" width="14.5" bestFit="1" customWidth="1"/>
    <col min="9" max="9" width="25" bestFit="1" customWidth="1"/>
  </cols>
  <sheetData>
    <row r="2" spans="2:9" x14ac:dyDescent="0.2">
      <c r="B2" s="1" t="s">
        <v>0</v>
      </c>
      <c r="C2" s="13">
        <v>500</v>
      </c>
      <c r="E2" s="1" t="s">
        <v>1</v>
      </c>
      <c r="F2" s="16">
        <f ca="1">TODAY()-1</f>
        <v>44048</v>
      </c>
      <c r="H2" s="1" t="s">
        <v>16</v>
      </c>
      <c r="I2" s="10">
        <f ca="1">COUNTIF($F$12:$F$211,"&gt;0")</f>
        <v>4</v>
      </c>
    </row>
    <row r="3" spans="2:9" ht="16" thickBot="1" x14ac:dyDescent="0.25">
      <c r="B3" s="1" t="s">
        <v>2</v>
      </c>
      <c r="C3" s="14">
        <f ca="1">C7/I2</f>
        <v>30.5</v>
      </c>
      <c r="E3" s="1" t="s">
        <v>3</v>
      </c>
      <c r="F3" s="15">
        <f ca="1">SUM(H11:H211)</f>
        <v>23.166690618639429</v>
      </c>
    </row>
    <row r="4" spans="2:9" x14ac:dyDescent="0.2">
      <c r="B4" s="1" t="s">
        <v>17</v>
      </c>
      <c r="C4" s="11">
        <v>122</v>
      </c>
      <c r="E4" s="1" t="s">
        <v>5</v>
      </c>
      <c r="F4" s="15">
        <f ca="1">SUM(I11:I211)</f>
        <v>340</v>
      </c>
      <c r="H4" s="23" t="s">
        <v>34</v>
      </c>
      <c r="I4" s="24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862.84671694613701</v>
      </c>
      <c r="H5" s="25"/>
      <c r="I5" s="26"/>
    </row>
    <row r="6" spans="2:9" ht="16" thickBot="1" x14ac:dyDescent="0.25">
      <c r="B6" s="1" t="s">
        <v>8</v>
      </c>
      <c r="C6" s="13">
        <v>20</v>
      </c>
      <c r="H6" s="27"/>
      <c r="I6" s="28"/>
    </row>
    <row r="7" spans="2:9" ht="15" customHeight="1" x14ac:dyDescent="0.2">
      <c r="B7" s="1" t="s">
        <v>9</v>
      </c>
      <c r="C7" s="10">
        <f ca="1">DATE(YEAR($F$2+$C$4),MONTH($F$2+$C$4),DAY($F$2)) - $F$2</f>
        <v>122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215.71167923653425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500</v>
      </c>
      <c r="H11" s="2">
        <f ca="1">IF(C11&gt;$C$7,0,(G11)*$C$5/365)</f>
        <v>0.26027397260273971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500.26027397260276</v>
      </c>
      <c r="F12" s="2">
        <f t="shared" ref="F12:F34" ca="1" si="1">IF(C12&gt;$C$7,0,IF(ROUND(E12,0)&gt;0,IF(C12=0,0,IF(DAY($F$2)&lt;&gt;DAY(B12),0,$C$8)),0))</f>
        <v>0</v>
      </c>
      <c r="G12" s="2">
        <f ca="1">IF(C12&gt;$C$7,G11,E12-F12)</f>
        <v>500.26027397260276</v>
      </c>
      <c r="H12" s="2">
        <f t="shared" ref="H12:H75" ca="1" si="2">IF(C12&gt;$C$7,0,(G12)*$C$5/365)</f>
        <v>0.26040945768436857</v>
      </c>
      <c r="I12" s="2">
        <f t="shared" ref="I12:I75" ca="1" si="3">IF(AND(C12=0,D12=7),$C$6,IF(C12=$C$7,0,IF(C12&lt;$C$7,IF(D12=7,$C$6,0),0)))</f>
        <v>0</v>
      </c>
    </row>
    <row r="13" spans="2:9" x14ac:dyDescent="0.2">
      <c r="B13" s="4">
        <f t="shared" ref="B13:C28" ca="1" si="4">B12+1</f>
        <v>44050</v>
      </c>
      <c r="C13">
        <f t="shared" si="4"/>
        <v>2</v>
      </c>
      <c r="D13">
        <f t="shared" ca="1" si="0"/>
        <v>6</v>
      </c>
      <c r="E13" s="2">
        <f t="shared" ref="E13:E76" ca="1" si="5">IF(C13&gt;$C$7,0,G12+H12+I12)</f>
        <v>500.52068343028714</v>
      </c>
      <c r="F13" s="2">
        <f t="shared" ca="1" si="1"/>
        <v>0</v>
      </c>
      <c r="G13" s="2">
        <f t="shared" ref="G13:G76" ca="1" si="6">IF(C13&gt;$C$7,G12,E13-F13)</f>
        <v>500.52068343028714</v>
      </c>
      <c r="H13" s="2">
        <f t="shared" ca="1" si="2"/>
        <v>0.26054501329247826</v>
      </c>
      <c r="I13" s="2">
        <f t="shared" ca="1" si="3"/>
        <v>0</v>
      </c>
    </row>
    <row r="14" spans="2:9" x14ac:dyDescent="0.2">
      <c r="B14" s="4">
        <f t="shared" ca="1" si="4"/>
        <v>44051</v>
      </c>
      <c r="C14">
        <f t="shared" si="4"/>
        <v>3</v>
      </c>
      <c r="D14">
        <f t="shared" ca="1" si="0"/>
        <v>7</v>
      </c>
      <c r="E14" s="2">
        <f t="shared" ca="1" si="5"/>
        <v>500.78122844357961</v>
      </c>
      <c r="F14" s="2">
        <f t="shared" ca="1" si="1"/>
        <v>0</v>
      </c>
      <c r="G14" s="2">
        <f t="shared" ca="1" si="6"/>
        <v>500.78122844357961</v>
      </c>
      <c r="H14" s="2">
        <f t="shared" ca="1" si="2"/>
        <v>0.26068063946378117</v>
      </c>
      <c r="I14" s="2">
        <f t="shared" ca="1" si="3"/>
        <v>20</v>
      </c>
    </row>
    <row r="15" spans="2:9" x14ac:dyDescent="0.2">
      <c r="B15" s="4">
        <f t="shared" ca="1" si="4"/>
        <v>44052</v>
      </c>
      <c r="C15">
        <f t="shared" si="4"/>
        <v>4</v>
      </c>
      <c r="D15">
        <f t="shared" ca="1" si="0"/>
        <v>1</v>
      </c>
      <c r="E15" s="2">
        <f t="shared" ca="1" si="5"/>
        <v>521.04190908304338</v>
      </c>
      <c r="F15" s="2">
        <f t="shared" ca="1" si="1"/>
        <v>0</v>
      </c>
      <c r="G15" s="2">
        <f t="shared" ca="1" si="6"/>
        <v>521.04190908304338</v>
      </c>
      <c r="H15" s="2">
        <f t="shared" ca="1" si="2"/>
        <v>0.27122729513911847</v>
      </c>
      <c r="I15" s="2">
        <f t="shared" ca="1" si="3"/>
        <v>0</v>
      </c>
    </row>
    <row r="16" spans="2:9" x14ac:dyDescent="0.2">
      <c r="B16" s="4">
        <f t="shared" ca="1" si="4"/>
        <v>44053</v>
      </c>
      <c r="C16">
        <f t="shared" si="4"/>
        <v>5</v>
      </c>
      <c r="D16">
        <f t="shared" ca="1" si="0"/>
        <v>2</v>
      </c>
      <c r="E16" s="2">
        <f t="shared" ca="1" si="5"/>
        <v>521.31313637818255</v>
      </c>
      <c r="F16" s="2">
        <f t="shared" ca="1" si="1"/>
        <v>0</v>
      </c>
      <c r="G16" s="2">
        <f t="shared" ca="1" si="6"/>
        <v>521.31313637818255</v>
      </c>
      <c r="H16" s="2">
        <f t="shared" ca="1" si="2"/>
        <v>0.27136848195028684</v>
      </c>
      <c r="I16" s="2">
        <f t="shared" ca="1" si="3"/>
        <v>0</v>
      </c>
    </row>
    <row r="17" spans="2:9" x14ac:dyDescent="0.2">
      <c r="B17" s="4">
        <f t="shared" ca="1" si="4"/>
        <v>44054</v>
      </c>
      <c r="C17">
        <f t="shared" si="4"/>
        <v>6</v>
      </c>
      <c r="D17">
        <f t="shared" ca="1" si="0"/>
        <v>3</v>
      </c>
      <c r="E17" s="2">
        <f t="shared" ca="1" si="5"/>
        <v>521.58450486013282</v>
      </c>
      <c r="F17" s="2">
        <f t="shared" ca="1" si="1"/>
        <v>0</v>
      </c>
      <c r="G17" s="2">
        <f t="shared" ca="1" si="6"/>
        <v>521.58450486013282</v>
      </c>
      <c r="H17" s="2">
        <f t="shared" ca="1" si="2"/>
        <v>0.27150974225595953</v>
      </c>
      <c r="I17" s="2">
        <f t="shared" ca="1" si="3"/>
        <v>0</v>
      </c>
    </row>
    <row r="18" spans="2:9" x14ac:dyDescent="0.2">
      <c r="B18" s="4">
        <f t="shared" ca="1" si="4"/>
        <v>44055</v>
      </c>
      <c r="C18">
        <f t="shared" si="4"/>
        <v>7</v>
      </c>
      <c r="D18">
        <f t="shared" ca="1" si="0"/>
        <v>4</v>
      </c>
      <c r="E18" s="2">
        <f t="shared" ca="1" si="5"/>
        <v>521.85601460238877</v>
      </c>
      <c r="F18" s="2">
        <f t="shared" ca="1" si="1"/>
        <v>0</v>
      </c>
      <c r="G18" s="2">
        <f t="shared" ca="1" si="6"/>
        <v>521.85601460238877</v>
      </c>
      <c r="H18" s="2">
        <f t="shared" ca="1" si="2"/>
        <v>0.27165107609439415</v>
      </c>
      <c r="I18" s="2">
        <f t="shared" ca="1" si="3"/>
        <v>0</v>
      </c>
    </row>
    <row r="19" spans="2:9" x14ac:dyDescent="0.2">
      <c r="B19" s="4">
        <f t="shared" ca="1" si="4"/>
        <v>44056</v>
      </c>
      <c r="C19">
        <f t="shared" si="4"/>
        <v>8</v>
      </c>
      <c r="D19">
        <f t="shared" ca="1" si="0"/>
        <v>5</v>
      </c>
      <c r="E19" s="2">
        <f t="shared" ca="1" si="5"/>
        <v>522.12766567848314</v>
      </c>
      <c r="F19" s="2">
        <f t="shared" ca="1" si="1"/>
        <v>0</v>
      </c>
      <c r="G19" s="2">
        <f t="shared" ca="1" si="6"/>
        <v>522.12766567848314</v>
      </c>
      <c r="H19" s="2">
        <f t="shared" ca="1" si="2"/>
        <v>0.27179248350386798</v>
      </c>
      <c r="I19" s="2">
        <f t="shared" ca="1" si="3"/>
        <v>0</v>
      </c>
    </row>
    <row r="20" spans="2:9" x14ac:dyDescent="0.2">
      <c r="B20" s="4">
        <f t="shared" ca="1" si="4"/>
        <v>44057</v>
      </c>
      <c r="C20">
        <f t="shared" si="4"/>
        <v>9</v>
      </c>
      <c r="D20">
        <f t="shared" ca="1" si="0"/>
        <v>6</v>
      </c>
      <c r="E20" s="2">
        <f t="shared" ca="1" si="5"/>
        <v>522.39945816198701</v>
      </c>
      <c r="F20" s="2">
        <f t="shared" ca="1" si="1"/>
        <v>0</v>
      </c>
      <c r="G20" s="2">
        <f t="shared" ca="1" si="6"/>
        <v>522.39945816198701</v>
      </c>
      <c r="H20" s="2">
        <f t="shared" ca="1" si="2"/>
        <v>0.27193396452267815</v>
      </c>
      <c r="I20" s="2">
        <f t="shared" ca="1" si="3"/>
        <v>0</v>
      </c>
    </row>
    <row r="21" spans="2:9" x14ac:dyDescent="0.2">
      <c r="B21" s="4">
        <f t="shared" ca="1" si="4"/>
        <v>44058</v>
      </c>
      <c r="C21">
        <f t="shared" si="4"/>
        <v>10</v>
      </c>
      <c r="D21">
        <f t="shared" ca="1" si="0"/>
        <v>7</v>
      </c>
      <c r="E21" s="2">
        <f t="shared" ca="1" si="5"/>
        <v>522.67139212650966</v>
      </c>
      <c r="F21" s="2">
        <f t="shared" ca="1" si="1"/>
        <v>0</v>
      </c>
      <c r="G21" s="2">
        <f t="shared" ca="1" si="6"/>
        <v>522.67139212650966</v>
      </c>
      <c r="H21" s="2">
        <f t="shared" ca="1" si="2"/>
        <v>0.27207551918914202</v>
      </c>
      <c r="I21" s="2">
        <f t="shared" ca="1" si="3"/>
        <v>20</v>
      </c>
    </row>
    <row r="22" spans="2:9" x14ac:dyDescent="0.2">
      <c r="B22" s="4">
        <f t="shared" ca="1" si="4"/>
        <v>44059</v>
      </c>
      <c r="C22">
        <f t="shared" si="4"/>
        <v>11</v>
      </c>
      <c r="D22">
        <f t="shared" ca="1" si="0"/>
        <v>1</v>
      </c>
      <c r="E22" s="2">
        <f t="shared" ca="1" si="5"/>
        <v>542.94346764569877</v>
      </c>
      <c r="F22" s="2">
        <f t="shared" ca="1" si="1"/>
        <v>0</v>
      </c>
      <c r="G22" s="2">
        <f t="shared" ca="1" si="6"/>
        <v>542.94346764569877</v>
      </c>
      <c r="H22" s="2">
        <f t="shared" ca="1" si="2"/>
        <v>0.28262810644570624</v>
      </c>
      <c r="I22" s="2">
        <f t="shared" ca="1" si="3"/>
        <v>0</v>
      </c>
    </row>
    <row r="23" spans="2:9" x14ac:dyDescent="0.2">
      <c r="B23" s="4">
        <f t="shared" ca="1" si="4"/>
        <v>44060</v>
      </c>
      <c r="C23">
        <f t="shared" si="4"/>
        <v>12</v>
      </c>
      <c r="D23">
        <f t="shared" ca="1" si="0"/>
        <v>2</v>
      </c>
      <c r="E23" s="2">
        <f t="shared" ca="1" si="5"/>
        <v>543.22609575214449</v>
      </c>
      <c r="F23" s="2">
        <f t="shared" ca="1" si="1"/>
        <v>0</v>
      </c>
      <c r="G23" s="2">
        <f t="shared" ca="1" si="6"/>
        <v>543.22609575214449</v>
      </c>
      <c r="H23" s="2">
        <f t="shared" ca="1" si="2"/>
        <v>0.28277522792577386</v>
      </c>
      <c r="I23" s="2">
        <f t="shared" ca="1" si="3"/>
        <v>0</v>
      </c>
    </row>
    <row r="24" spans="2:9" x14ac:dyDescent="0.2">
      <c r="B24" s="4">
        <f t="shared" ca="1" si="4"/>
        <v>44061</v>
      </c>
      <c r="C24">
        <f t="shared" si="4"/>
        <v>13</v>
      </c>
      <c r="D24">
        <f t="shared" ca="1" si="0"/>
        <v>3</v>
      </c>
      <c r="E24" s="2">
        <f t="shared" ca="1" si="5"/>
        <v>543.50887098007024</v>
      </c>
      <c r="F24" s="2">
        <f t="shared" ca="1" si="1"/>
        <v>0</v>
      </c>
      <c r="G24" s="2">
        <f t="shared" ca="1" si="6"/>
        <v>543.50887098007024</v>
      </c>
      <c r="H24" s="2">
        <f t="shared" ca="1" si="2"/>
        <v>0.28292242598962564</v>
      </c>
      <c r="I24" s="2">
        <f t="shared" ca="1" si="3"/>
        <v>0</v>
      </c>
    </row>
    <row r="25" spans="2:9" x14ac:dyDescent="0.2">
      <c r="B25" s="4">
        <f t="shared" ca="1" si="4"/>
        <v>44062</v>
      </c>
      <c r="C25">
        <f t="shared" si="4"/>
        <v>14</v>
      </c>
      <c r="D25">
        <f t="shared" ca="1" si="0"/>
        <v>4</v>
      </c>
      <c r="E25" s="2">
        <f t="shared" ca="1" si="5"/>
        <v>543.79179340605992</v>
      </c>
      <c r="F25" s="2">
        <f t="shared" ca="1" si="1"/>
        <v>0</v>
      </c>
      <c r="G25" s="2">
        <f t="shared" ca="1" si="6"/>
        <v>543.79179340605992</v>
      </c>
      <c r="H25" s="2">
        <f t="shared" ca="1" si="2"/>
        <v>0.28306970067712706</v>
      </c>
      <c r="I25" s="2">
        <f t="shared" ca="1" si="3"/>
        <v>0</v>
      </c>
    </row>
    <row r="26" spans="2:9" x14ac:dyDescent="0.2">
      <c r="B26" s="4">
        <f t="shared" ca="1" si="4"/>
        <v>44063</v>
      </c>
      <c r="C26">
        <f t="shared" si="4"/>
        <v>15</v>
      </c>
      <c r="D26">
        <f t="shared" ca="1" si="0"/>
        <v>5</v>
      </c>
      <c r="E26" s="2">
        <f t="shared" ca="1" si="5"/>
        <v>544.0748631067371</v>
      </c>
      <c r="F26" s="2">
        <f t="shared" ca="1" si="1"/>
        <v>0</v>
      </c>
      <c r="G26" s="2">
        <f t="shared" ca="1" si="6"/>
        <v>544.0748631067371</v>
      </c>
      <c r="H26" s="2">
        <f t="shared" ca="1" si="2"/>
        <v>0.2832170520281645</v>
      </c>
      <c r="I26" s="2">
        <f t="shared" ca="1" si="3"/>
        <v>0</v>
      </c>
    </row>
    <row r="27" spans="2:9" x14ac:dyDescent="0.2">
      <c r="B27" s="4">
        <f t="shared" ca="1" si="4"/>
        <v>44064</v>
      </c>
      <c r="C27">
        <f t="shared" si="4"/>
        <v>16</v>
      </c>
      <c r="D27">
        <f t="shared" ca="1" si="0"/>
        <v>6</v>
      </c>
      <c r="E27" s="2">
        <f t="shared" ca="1" si="5"/>
        <v>544.35808015876523</v>
      </c>
      <c r="F27" s="2">
        <f t="shared" ca="1" si="1"/>
        <v>0</v>
      </c>
      <c r="G27" s="2">
        <f t="shared" ca="1" si="6"/>
        <v>544.35808015876523</v>
      </c>
      <c r="H27" s="2">
        <f t="shared" ca="1" si="2"/>
        <v>0.28336448008264492</v>
      </c>
      <c r="I27" s="2">
        <f t="shared" ca="1" si="3"/>
        <v>0</v>
      </c>
    </row>
    <row r="28" spans="2:9" x14ac:dyDescent="0.2">
      <c r="B28" s="4">
        <f t="shared" ca="1" si="4"/>
        <v>44065</v>
      </c>
      <c r="C28">
        <f t="shared" si="4"/>
        <v>17</v>
      </c>
      <c r="D28">
        <f t="shared" ca="1" si="0"/>
        <v>7</v>
      </c>
      <c r="E28" s="2">
        <f t="shared" ca="1" si="5"/>
        <v>544.64144463884793</v>
      </c>
      <c r="F28" s="2">
        <f t="shared" ca="1" si="1"/>
        <v>0</v>
      </c>
      <c r="G28" s="2">
        <f t="shared" ca="1" si="6"/>
        <v>544.64144463884793</v>
      </c>
      <c r="H28" s="2">
        <f t="shared" ca="1" si="2"/>
        <v>0.28351198488049617</v>
      </c>
      <c r="I28" s="2">
        <f t="shared" ca="1" si="3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5"/>
        <v>564.92495662372846</v>
      </c>
      <c r="F29" s="2">
        <f t="shared" ca="1" si="1"/>
        <v>0</v>
      </c>
      <c r="G29" s="2">
        <f t="shared" ca="1" si="6"/>
        <v>564.92495662372846</v>
      </c>
      <c r="H29" s="2">
        <f t="shared" ca="1" si="2"/>
        <v>0.29407052536577644</v>
      </c>
      <c r="I29" s="2">
        <f t="shared" ca="1" si="3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5"/>
        <v>565.21902714909425</v>
      </c>
      <c r="F30" s="2">
        <f t="shared" ca="1" si="1"/>
        <v>0</v>
      </c>
      <c r="G30" s="2">
        <f t="shared" ca="1" si="6"/>
        <v>565.21902714909425</v>
      </c>
      <c r="H30" s="2">
        <f t="shared" ca="1" si="2"/>
        <v>0.2942236031735011</v>
      </c>
      <c r="I30" s="2">
        <f t="shared" ca="1" si="3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5"/>
        <v>565.51325075226771</v>
      </c>
      <c r="F31" s="2">
        <f t="shared" ca="1" si="1"/>
        <v>0</v>
      </c>
      <c r="G31" s="2">
        <f t="shared" ca="1" si="6"/>
        <v>565.51325075226771</v>
      </c>
      <c r="H31" s="2">
        <f t="shared" ca="1" si="2"/>
        <v>0.29437676066556401</v>
      </c>
      <c r="I31" s="2">
        <f t="shared" ca="1" si="3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5"/>
        <v>565.80762751293332</v>
      </c>
      <c r="F32" s="2">
        <f t="shared" ca="1" si="1"/>
        <v>0</v>
      </c>
      <c r="G32" s="2">
        <f t="shared" ca="1" si="6"/>
        <v>565.80762751293332</v>
      </c>
      <c r="H32" s="2">
        <f t="shared" ca="1" si="2"/>
        <v>0.29452999788344475</v>
      </c>
      <c r="I32" s="2">
        <f t="shared" ca="1" si="3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5"/>
        <v>566.10215751081682</v>
      </c>
      <c r="F33" s="2">
        <f t="shared" ca="1" si="1"/>
        <v>0</v>
      </c>
      <c r="G33" s="2">
        <f t="shared" ca="1" si="6"/>
        <v>566.10215751081682</v>
      </c>
      <c r="H33" s="2">
        <f t="shared" ca="1" si="2"/>
        <v>0.29468331486864441</v>
      </c>
      <c r="I33" s="2">
        <f t="shared" ca="1" si="3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5"/>
        <v>566.39684082568544</v>
      </c>
      <c r="F34" s="2">
        <f t="shared" ca="1" si="1"/>
        <v>0</v>
      </c>
      <c r="G34" s="2">
        <f t="shared" ca="1" si="6"/>
        <v>566.39684082568544</v>
      </c>
      <c r="H34" s="2">
        <f t="shared" ca="1" si="2"/>
        <v>0.2948367116626856</v>
      </c>
      <c r="I34" s="2">
        <f t="shared" ca="1" si="3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5"/>
        <v>566.69167753734814</v>
      </c>
      <c r="F35" s="2">
        <f ca="1">IF(C35&gt;$C$7,0,IF(ROUND(E35,0)&gt;0,IF(C35=0,0,IF(DAY($F$2)&lt;&gt;DAY(B35),0,$C$8)),0))</f>
        <v>0</v>
      </c>
      <c r="G35" s="2">
        <f t="shared" ca="1" si="6"/>
        <v>566.69167753734814</v>
      </c>
      <c r="H35" s="2">
        <f t="shared" ca="1" si="2"/>
        <v>0.29499018830711271</v>
      </c>
      <c r="I35" s="2">
        <f t="shared" ca="1" si="3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5"/>
        <v>586.98666772565525</v>
      </c>
      <c r="F36" s="2">
        <f t="shared" ref="F36:F99" ca="1" si="8">IF(C36&gt;$C$7,0,IF(ROUND(E36,0)&gt;0,IF(C36=0,0,IF(DAY($F$2)&lt;&gt;DAY(B36),0,$C$8)),0))</f>
        <v>0</v>
      </c>
      <c r="G36" s="2">
        <f t="shared" ca="1" si="6"/>
        <v>586.98666772565525</v>
      </c>
      <c r="H36" s="2">
        <f t="shared" ca="1" si="2"/>
        <v>0.30555470374760135</v>
      </c>
      <c r="I36" s="2">
        <f t="shared" ca="1" si="3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5"/>
        <v>587.29222242940284</v>
      </c>
      <c r="F37" s="2">
        <f t="shared" ca="1" si="8"/>
        <v>0</v>
      </c>
      <c r="G37" s="2">
        <f t="shared" ca="1" si="6"/>
        <v>587.29222242940284</v>
      </c>
      <c r="H37" s="2">
        <f t="shared" ca="1" si="2"/>
        <v>0.30571375962078506</v>
      </c>
      <c r="I37" s="2">
        <f t="shared" ca="1" si="3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5"/>
        <v>587.59793618902359</v>
      </c>
      <c r="F38" s="2">
        <f t="shared" ca="1" si="8"/>
        <v>0</v>
      </c>
      <c r="G38" s="2">
        <f t="shared" ca="1" si="6"/>
        <v>587.59793618902359</v>
      </c>
      <c r="H38" s="2">
        <f t="shared" ca="1" si="2"/>
        <v>0.30587289829017666</v>
      </c>
      <c r="I38" s="2">
        <f t="shared" ca="1" si="3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5"/>
        <v>587.90380908731379</v>
      </c>
      <c r="F39" s="2">
        <f t="shared" ca="1" si="8"/>
        <v>0</v>
      </c>
      <c r="G39" s="2">
        <f t="shared" ca="1" si="6"/>
        <v>587.90380908731379</v>
      </c>
      <c r="H39" s="2">
        <f t="shared" ca="1" si="2"/>
        <v>0.30603211979887568</v>
      </c>
      <c r="I39" s="2">
        <f t="shared" ca="1" si="3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5"/>
        <v>588.20984120711262</v>
      </c>
      <c r="F40" s="2">
        <f t="shared" ca="1" si="8"/>
        <v>0</v>
      </c>
      <c r="G40" s="2">
        <f t="shared" ca="1" si="6"/>
        <v>588.20984120711262</v>
      </c>
      <c r="H40" s="2">
        <f t="shared" ca="1" si="2"/>
        <v>0.30619142419000384</v>
      </c>
      <c r="I40" s="2">
        <f t="shared" ca="1" si="3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5"/>
        <v>588.51603263130266</v>
      </c>
      <c r="F41" s="2">
        <f t="shared" ca="1" si="8"/>
        <v>0</v>
      </c>
      <c r="G41" s="2">
        <f t="shared" ca="1" si="6"/>
        <v>588.51603263130266</v>
      </c>
      <c r="H41" s="2">
        <f t="shared" ca="1" si="2"/>
        <v>0.30635081150670551</v>
      </c>
      <c r="I41" s="2">
        <f t="shared" ca="1" si="3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5"/>
        <v>588.82238344280938</v>
      </c>
      <c r="F42" s="2">
        <f t="shared" ca="1" si="8"/>
        <v>215.71167923653425</v>
      </c>
      <c r="G42" s="2">
        <f t="shared" ca="1" si="6"/>
        <v>373.11070420627516</v>
      </c>
      <c r="H42" s="2">
        <f t="shared" ca="1" si="2"/>
        <v>0.19422201040874598</v>
      </c>
      <c r="I42" s="2">
        <f t="shared" ca="1" si="3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5"/>
        <v>393.3049262166839</v>
      </c>
      <c r="F43" s="2">
        <f t="shared" ca="1" si="8"/>
        <v>0</v>
      </c>
      <c r="G43" s="2">
        <f t="shared" ca="1" si="6"/>
        <v>393.3049262166839</v>
      </c>
      <c r="H43" s="2">
        <f t="shared" ca="1" si="2"/>
        <v>0.2047340711812875</v>
      </c>
      <c r="I43" s="2">
        <f t="shared" ca="1" si="3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5"/>
        <v>393.50966028786519</v>
      </c>
      <c r="F44" s="2">
        <f t="shared" ca="1" si="8"/>
        <v>0</v>
      </c>
      <c r="G44" s="2">
        <f t="shared" ca="1" si="6"/>
        <v>393.50966028786519</v>
      </c>
      <c r="H44" s="2">
        <f t="shared" ca="1" si="2"/>
        <v>0.20484064508135449</v>
      </c>
      <c r="I44" s="2">
        <f t="shared" ca="1" si="3"/>
        <v>0</v>
      </c>
    </row>
    <row r="45" spans="2:9" x14ac:dyDescent="0.2">
      <c r="B45" s="4">
        <f t="shared" ref="B45:C60" ca="1" si="9">B44+1</f>
        <v>44082</v>
      </c>
      <c r="C45">
        <f t="shared" si="9"/>
        <v>34</v>
      </c>
      <c r="D45">
        <f t="shared" ca="1" si="0"/>
        <v>3</v>
      </c>
      <c r="E45" s="2">
        <f t="shared" ca="1" si="5"/>
        <v>393.71450093294652</v>
      </c>
      <c r="F45" s="2">
        <f t="shared" ca="1" si="8"/>
        <v>0</v>
      </c>
      <c r="G45" s="2">
        <f t="shared" ca="1" si="6"/>
        <v>393.71450093294652</v>
      </c>
      <c r="H45" s="2">
        <f t="shared" ca="1" si="2"/>
        <v>0.20494727445824615</v>
      </c>
      <c r="I45" s="2">
        <f t="shared" ca="1" si="3"/>
        <v>0</v>
      </c>
    </row>
    <row r="46" spans="2:9" x14ac:dyDescent="0.2">
      <c r="B46" s="4">
        <f t="shared" ca="1" si="9"/>
        <v>44083</v>
      </c>
      <c r="C46">
        <f t="shared" si="9"/>
        <v>35</v>
      </c>
      <c r="D46">
        <f t="shared" ca="1" si="0"/>
        <v>4</v>
      </c>
      <c r="E46" s="2">
        <f t="shared" ca="1" si="5"/>
        <v>393.91944820740474</v>
      </c>
      <c r="F46" s="2">
        <f t="shared" ca="1" si="8"/>
        <v>0</v>
      </c>
      <c r="G46" s="2">
        <f t="shared" ca="1" si="6"/>
        <v>393.91944820740474</v>
      </c>
      <c r="H46" s="2">
        <f t="shared" ca="1" si="2"/>
        <v>0.20505395934084081</v>
      </c>
      <c r="I46" s="2">
        <f t="shared" ca="1" si="3"/>
        <v>0</v>
      </c>
    </row>
    <row r="47" spans="2:9" x14ac:dyDescent="0.2">
      <c r="B47" s="4">
        <f t="shared" ca="1" si="9"/>
        <v>44084</v>
      </c>
      <c r="C47">
        <f t="shared" si="9"/>
        <v>36</v>
      </c>
      <c r="D47">
        <f t="shared" ca="1" si="0"/>
        <v>5</v>
      </c>
      <c r="E47" s="2">
        <f t="shared" ca="1" si="5"/>
        <v>394.12450216674557</v>
      </c>
      <c r="F47" s="2">
        <f t="shared" ca="1" si="8"/>
        <v>0</v>
      </c>
      <c r="G47" s="2">
        <f t="shared" ca="1" si="6"/>
        <v>394.12450216674557</v>
      </c>
      <c r="H47" s="2">
        <f t="shared" ca="1" si="2"/>
        <v>0.20516069975803194</v>
      </c>
      <c r="I47" s="2">
        <f t="shared" ca="1" si="3"/>
        <v>0</v>
      </c>
    </row>
    <row r="48" spans="2:9" x14ac:dyDescent="0.2">
      <c r="B48" s="4">
        <f t="shared" ca="1" si="9"/>
        <v>44085</v>
      </c>
      <c r="C48">
        <f t="shared" si="9"/>
        <v>37</v>
      </c>
      <c r="D48">
        <f t="shared" ca="1" si="0"/>
        <v>6</v>
      </c>
      <c r="E48" s="2">
        <f t="shared" ca="1" si="5"/>
        <v>394.32966286650361</v>
      </c>
      <c r="F48" s="2">
        <f t="shared" ca="1" si="8"/>
        <v>0</v>
      </c>
      <c r="G48" s="2">
        <f t="shared" ca="1" si="6"/>
        <v>394.32966286650361</v>
      </c>
      <c r="H48" s="2">
        <f t="shared" ca="1" si="2"/>
        <v>0.20526749573872791</v>
      </c>
      <c r="I48" s="2">
        <f t="shared" ca="1" si="3"/>
        <v>0</v>
      </c>
    </row>
    <row r="49" spans="2:9" x14ac:dyDescent="0.2">
      <c r="B49" s="4">
        <f t="shared" ca="1" si="9"/>
        <v>44086</v>
      </c>
      <c r="C49">
        <f t="shared" si="9"/>
        <v>38</v>
      </c>
      <c r="D49">
        <f t="shared" ca="1" si="0"/>
        <v>7</v>
      </c>
      <c r="E49" s="2">
        <f t="shared" ca="1" si="5"/>
        <v>394.53493036224233</v>
      </c>
      <c r="F49" s="2">
        <f t="shared" ca="1" si="8"/>
        <v>0</v>
      </c>
      <c r="G49" s="2">
        <f t="shared" ca="1" si="6"/>
        <v>394.53493036224233</v>
      </c>
      <c r="H49" s="2">
        <f t="shared" ca="1" si="2"/>
        <v>0.20537434731185217</v>
      </c>
      <c r="I49" s="2">
        <f t="shared" ca="1" si="3"/>
        <v>20</v>
      </c>
    </row>
    <row r="50" spans="2:9" x14ac:dyDescent="0.2">
      <c r="B50" s="4">
        <f t="shared" ca="1" si="9"/>
        <v>44087</v>
      </c>
      <c r="C50">
        <f t="shared" si="9"/>
        <v>39</v>
      </c>
      <c r="D50">
        <f t="shared" ca="1" si="0"/>
        <v>1</v>
      </c>
      <c r="E50" s="2">
        <f t="shared" ca="1" si="5"/>
        <v>414.74030470955421</v>
      </c>
      <c r="F50" s="2">
        <f t="shared" ca="1" si="8"/>
        <v>0</v>
      </c>
      <c r="G50" s="2">
        <f t="shared" ca="1" si="6"/>
        <v>414.74030470955421</v>
      </c>
      <c r="H50" s="2">
        <f t="shared" ca="1" si="2"/>
        <v>0.21589221341045289</v>
      </c>
      <c r="I50" s="2">
        <f t="shared" ca="1" si="3"/>
        <v>0</v>
      </c>
    </row>
    <row r="51" spans="2:9" x14ac:dyDescent="0.2">
      <c r="B51" s="4">
        <f t="shared" ca="1" si="9"/>
        <v>44088</v>
      </c>
      <c r="C51">
        <f t="shared" si="9"/>
        <v>40</v>
      </c>
      <c r="D51">
        <f t="shared" ca="1" si="0"/>
        <v>2</v>
      </c>
      <c r="E51" s="2">
        <f t="shared" ca="1" si="5"/>
        <v>414.95619692296464</v>
      </c>
      <c r="F51" s="2">
        <f t="shared" ca="1" si="8"/>
        <v>0</v>
      </c>
      <c r="G51" s="2">
        <f t="shared" ca="1" si="6"/>
        <v>414.95619692296464</v>
      </c>
      <c r="H51" s="2">
        <f t="shared" ca="1" si="2"/>
        <v>0.21600459565852953</v>
      </c>
      <c r="I51" s="2">
        <f t="shared" ca="1" si="3"/>
        <v>0</v>
      </c>
    </row>
    <row r="52" spans="2:9" x14ac:dyDescent="0.2">
      <c r="B52" s="4">
        <f t="shared" ca="1" si="9"/>
        <v>44089</v>
      </c>
      <c r="C52">
        <f t="shared" si="9"/>
        <v>41</v>
      </c>
      <c r="D52">
        <f t="shared" ca="1" si="0"/>
        <v>3</v>
      </c>
      <c r="E52" s="2">
        <f t="shared" ca="1" si="5"/>
        <v>415.17220151862318</v>
      </c>
      <c r="F52" s="2">
        <f t="shared" ca="1" si="8"/>
        <v>0</v>
      </c>
      <c r="G52" s="2">
        <f t="shared" ca="1" si="6"/>
        <v>415.17220151862318</v>
      </c>
      <c r="H52" s="2">
        <f t="shared" ca="1" si="2"/>
        <v>0.21611703640695451</v>
      </c>
      <c r="I52" s="2">
        <f t="shared" ca="1" si="3"/>
        <v>0</v>
      </c>
    </row>
    <row r="53" spans="2:9" x14ac:dyDescent="0.2">
      <c r="B53" s="4">
        <f t="shared" ca="1" si="9"/>
        <v>44090</v>
      </c>
      <c r="C53">
        <f t="shared" si="9"/>
        <v>42</v>
      </c>
      <c r="D53">
        <f t="shared" ca="1" si="0"/>
        <v>4</v>
      </c>
      <c r="E53" s="2">
        <f t="shared" ca="1" si="5"/>
        <v>415.38831855503014</v>
      </c>
      <c r="F53" s="2">
        <f t="shared" ca="1" si="8"/>
        <v>0</v>
      </c>
      <c r="G53" s="2">
        <f t="shared" ca="1" si="6"/>
        <v>415.38831855503014</v>
      </c>
      <c r="H53" s="2">
        <f t="shared" ca="1" si="2"/>
        <v>0.21622953568618006</v>
      </c>
      <c r="I53" s="2">
        <f t="shared" ca="1" si="3"/>
        <v>0</v>
      </c>
    </row>
    <row r="54" spans="2:9" x14ac:dyDescent="0.2">
      <c r="B54" s="4">
        <f t="shared" ca="1" si="9"/>
        <v>44091</v>
      </c>
      <c r="C54">
        <f t="shared" si="9"/>
        <v>43</v>
      </c>
      <c r="D54">
        <f t="shared" ca="1" si="0"/>
        <v>5</v>
      </c>
      <c r="E54" s="2">
        <f t="shared" ca="1" si="5"/>
        <v>415.60454809071632</v>
      </c>
      <c r="F54" s="2">
        <f t="shared" ca="1" si="8"/>
        <v>0</v>
      </c>
      <c r="G54" s="2">
        <f t="shared" ca="1" si="6"/>
        <v>415.60454809071632</v>
      </c>
      <c r="H54" s="2">
        <f t="shared" ca="1" si="2"/>
        <v>0.21634209352667427</v>
      </c>
      <c r="I54" s="2">
        <f t="shared" ca="1" si="3"/>
        <v>0</v>
      </c>
    </row>
    <row r="55" spans="2:9" x14ac:dyDescent="0.2">
      <c r="B55" s="4">
        <f t="shared" ca="1" si="9"/>
        <v>44092</v>
      </c>
      <c r="C55">
        <f t="shared" si="9"/>
        <v>44</v>
      </c>
      <c r="D55">
        <f t="shared" ca="1" si="0"/>
        <v>6</v>
      </c>
      <c r="E55" s="2">
        <f t="shared" ca="1" si="5"/>
        <v>415.82089018424301</v>
      </c>
      <c r="F55" s="2">
        <f t="shared" ca="1" si="8"/>
        <v>0</v>
      </c>
      <c r="G55" s="2">
        <f t="shared" ca="1" si="6"/>
        <v>415.82089018424301</v>
      </c>
      <c r="H55" s="2">
        <f t="shared" ca="1" si="2"/>
        <v>0.21645470995892102</v>
      </c>
      <c r="I55" s="2">
        <f t="shared" ca="1" si="3"/>
        <v>0</v>
      </c>
    </row>
    <row r="56" spans="2:9" x14ac:dyDescent="0.2">
      <c r="B56" s="4">
        <f t="shared" ca="1" si="9"/>
        <v>44093</v>
      </c>
      <c r="C56">
        <f t="shared" si="9"/>
        <v>45</v>
      </c>
      <c r="D56">
        <f t="shared" ca="1" si="0"/>
        <v>7</v>
      </c>
      <c r="E56" s="2">
        <f t="shared" ca="1" si="5"/>
        <v>416.03734489420191</v>
      </c>
      <c r="F56" s="2">
        <f t="shared" ca="1" si="8"/>
        <v>0</v>
      </c>
      <c r="G56" s="2">
        <f t="shared" ca="1" si="6"/>
        <v>416.03734489420191</v>
      </c>
      <c r="H56" s="2">
        <f t="shared" ca="1" si="2"/>
        <v>0.21656738501342016</v>
      </c>
      <c r="I56" s="2">
        <f t="shared" ca="1" si="3"/>
        <v>20</v>
      </c>
    </row>
    <row r="57" spans="2:9" x14ac:dyDescent="0.2">
      <c r="B57" s="4">
        <f t="shared" ca="1" si="9"/>
        <v>44094</v>
      </c>
      <c r="C57">
        <f t="shared" si="9"/>
        <v>46</v>
      </c>
      <c r="D57">
        <f t="shared" ca="1" si="0"/>
        <v>1</v>
      </c>
      <c r="E57" s="2">
        <f t="shared" ca="1" si="5"/>
        <v>436.25391227921534</v>
      </c>
      <c r="F57" s="2">
        <f t="shared" ca="1" si="8"/>
        <v>0</v>
      </c>
      <c r="G57" s="2">
        <f t="shared" ca="1" si="6"/>
        <v>436.25391227921534</v>
      </c>
      <c r="H57" s="2">
        <f t="shared" ca="1" si="2"/>
        <v>0.22709107762479705</v>
      </c>
      <c r="I57" s="2">
        <f t="shared" ca="1" si="3"/>
        <v>0</v>
      </c>
    </row>
    <row r="58" spans="2:9" x14ac:dyDescent="0.2">
      <c r="B58" s="4">
        <f t="shared" ca="1" si="9"/>
        <v>44095</v>
      </c>
      <c r="C58">
        <f t="shared" si="9"/>
        <v>47</v>
      </c>
      <c r="D58">
        <f t="shared" ca="1" si="0"/>
        <v>2</v>
      </c>
      <c r="E58" s="2">
        <f t="shared" ca="1" si="5"/>
        <v>436.48100335684012</v>
      </c>
      <c r="F58" s="2">
        <f t="shared" ca="1" si="8"/>
        <v>0</v>
      </c>
      <c r="G58" s="2">
        <f t="shared" ca="1" si="6"/>
        <v>436.48100335684012</v>
      </c>
      <c r="H58" s="2">
        <f t="shared" ca="1" si="2"/>
        <v>0.22720928941862911</v>
      </c>
      <c r="I58" s="2">
        <f t="shared" ca="1" si="3"/>
        <v>0</v>
      </c>
    </row>
    <row r="59" spans="2:9" x14ac:dyDescent="0.2">
      <c r="B59" s="4">
        <f t="shared" ca="1" si="9"/>
        <v>44096</v>
      </c>
      <c r="C59">
        <f t="shared" si="9"/>
        <v>48</v>
      </c>
      <c r="D59">
        <f t="shared" ca="1" si="0"/>
        <v>3</v>
      </c>
      <c r="E59" s="2">
        <f t="shared" ca="1" si="5"/>
        <v>436.70821264625874</v>
      </c>
      <c r="F59" s="2">
        <f t="shared" ca="1" si="8"/>
        <v>0</v>
      </c>
      <c r="G59" s="2">
        <f t="shared" ca="1" si="6"/>
        <v>436.70821264625874</v>
      </c>
      <c r="H59" s="2">
        <f t="shared" ca="1" si="2"/>
        <v>0.22732756274736757</v>
      </c>
      <c r="I59" s="2">
        <f t="shared" ca="1" si="3"/>
        <v>0</v>
      </c>
    </row>
    <row r="60" spans="2:9" x14ac:dyDescent="0.2">
      <c r="B60" s="4">
        <f t="shared" ca="1" si="9"/>
        <v>44097</v>
      </c>
      <c r="C60">
        <f t="shared" si="9"/>
        <v>49</v>
      </c>
      <c r="D60">
        <f t="shared" ca="1" si="0"/>
        <v>4</v>
      </c>
      <c r="E60" s="2">
        <f t="shared" ca="1" si="5"/>
        <v>436.93554020900609</v>
      </c>
      <c r="F60" s="2">
        <f t="shared" ca="1" si="8"/>
        <v>0</v>
      </c>
      <c r="G60" s="2">
        <f t="shared" ca="1" si="6"/>
        <v>436.93554020900609</v>
      </c>
      <c r="H60" s="2">
        <f t="shared" ca="1" si="2"/>
        <v>0.22744589764304429</v>
      </c>
      <c r="I60" s="2">
        <f t="shared" ca="1" si="3"/>
        <v>0</v>
      </c>
    </row>
    <row r="61" spans="2:9" x14ac:dyDescent="0.2">
      <c r="B61" s="4">
        <f t="shared" ref="B61:C76" ca="1" si="10">B60+1</f>
        <v>44098</v>
      </c>
      <c r="C61">
        <f t="shared" si="10"/>
        <v>50</v>
      </c>
      <c r="D61">
        <f t="shared" ca="1" si="0"/>
        <v>5</v>
      </c>
      <c r="E61" s="2">
        <f t="shared" ca="1" si="5"/>
        <v>437.16298610664916</v>
      </c>
      <c r="F61" s="2">
        <f t="shared" ca="1" si="8"/>
        <v>0</v>
      </c>
      <c r="G61" s="2">
        <f t="shared" ca="1" si="6"/>
        <v>437.16298610664916</v>
      </c>
      <c r="H61" s="2">
        <f t="shared" ca="1" si="2"/>
        <v>0.22756429413770779</v>
      </c>
      <c r="I61" s="2">
        <f t="shared" ca="1" si="3"/>
        <v>0</v>
      </c>
    </row>
    <row r="62" spans="2:9" x14ac:dyDescent="0.2">
      <c r="B62" s="4">
        <f t="shared" ca="1" si="10"/>
        <v>44099</v>
      </c>
      <c r="C62">
        <f t="shared" si="10"/>
        <v>51</v>
      </c>
      <c r="D62">
        <f t="shared" ca="1" si="0"/>
        <v>6</v>
      </c>
      <c r="E62" s="2">
        <f t="shared" ca="1" si="5"/>
        <v>437.39055040078688</v>
      </c>
      <c r="F62" s="2">
        <f t="shared" ca="1" si="8"/>
        <v>0</v>
      </c>
      <c r="G62" s="2">
        <f t="shared" ca="1" si="6"/>
        <v>437.39055040078688</v>
      </c>
      <c r="H62" s="2">
        <f t="shared" ca="1" si="2"/>
        <v>0.22768275226342333</v>
      </c>
      <c r="I62" s="2">
        <f t="shared" ca="1" si="3"/>
        <v>0</v>
      </c>
    </row>
    <row r="63" spans="2:9" x14ac:dyDescent="0.2">
      <c r="B63" s="4">
        <f t="shared" ca="1" si="10"/>
        <v>44100</v>
      </c>
      <c r="C63">
        <f t="shared" si="10"/>
        <v>52</v>
      </c>
      <c r="D63">
        <f t="shared" ca="1" si="0"/>
        <v>7</v>
      </c>
      <c r="E63" s="2">
        <f t="shared" ca="1" si="5"/>
        <v>437.61823315305031</v>
      </c>
      <c r="F63" s="2">
        <f t="shared" ca="1" si="8"/>
        <v>0</v>
      </c>
      <c r="G63" s="2">
        <f t="shared" ca="1" si="6"/>
        <v>437.61823315305031</v>
      </c>
      <c r="H63" s="2">
        <f t="shared" ca="1" si="2"/>
        <v>0.22780127205227277</v>
      </c>
      <c r="I63" s="2">
        <f t="shared" ca="1" si="3"/>
        <v>20</v>
      </c>
    </row>
    <row r="64" spans="2:9" x14ac:dyDescent="0.2">
      <c r="B64" s="4">
        <f t="shared" ca="1" si="10"/>
        <v>44101</v>
      </c>
      <c r="C64">
        <f t="shared" si="10"/>
        <v>53</v>
      </c>
      <c r="D64">
        <f t="shared" ca="1" si="0"/>
        <v>1</v>
      </c>
      <c r="E64" s="2">
        <f t="shared" ca="1" si="5"/>
        <v>457.84603442510257</v>
      </c>
      <c r="F64" s="2">
        <f t="shared" ca="1" si="8"/>
        <v>0</v>
      </c>
      <c r="G64" s="2">
        <f t="shared" ca="1" si="6"/>
        <v>457.84603442510257</v>
      </c>
      <c r="H64" s="2">
        <f t="shared" ca="1" si="2"/>
        <v>0.23833081244046436</v>
      </c>
      <c r="I64" s="2">
        <f t="shared" ca="1" si="3"/>
        <v>0</v>
      </c>
    </row>
    <row r="65" spans="2:9" x14ac:dyDescent="0.2">
      <c r="B65" s="4">
        <f t="shared" ca="1" si="10"/>
        <v>44102</v>
      </c>
      <c r="C65">
        <f t="shared" si="10"/>
        <v>54</v>
      </c>
      <c r="D65">
        <f t="shared" ca="1" si="0"/>
        <v>2</v>
      </c>
      <c r="E65" s="2">
        <f t="shared" ca="1" si="5"/>
        <v>458.08436523754301</v>
      </c>
      <c r="F65" s="2">
        <f t="shared" ca="1" si="8"/>
        <v>0</v>
      </c>
      <c r="G65" s="2">
        <f t="shared" ca="1" si="6"/>
        <v>458.08436523754301</v>
      </c>
      <c r="H65" s="2">
        <f t="shared" ca="1" si="2"/>
        <v>0.23845487505515936</v>
      </c>
      <c r="I65" s="2">
        <f t="shared" ca="1" si="3"/>
        <v>0</v>
      </c>
    </row>
    <row r="66" spans="2:9" x14ac:dyDescent="0.2">
      <c r="B66" s="4">
        <f t="shared" ca="1" si="10"/>
        <v>44103</v>
      </c>
      <c r="C66">
        <f t="shared" si="10"/>
        <v>55</v>
      </c>
      <c r="D66">
        <f t="shared" ca="1" si="0"/>
        <v>3</v>
      </c>
      <c r="E66" s="2">
        <f t="shared" ca="1" si="5"/>
        <v>458.32282011259815</v>
      </c>
      <c r="F66" s="2">
        <f t="shared" ca="1" si="8"/>
        <v>0</v>
      </c>
      <c r="G66" s="2">
        <f t="shared" ca="1" si="6"/>
        <v>458.32282011259815</v>
      </c>
      <c r="H66" s="2">
        <f t="shared" ca="1" si="2"/>
        <v>0.23857900225039355</v>
      </c>
      <c r="I66" s="2">
        <f t="shared" ca="1" si="3"/>
        <v>0</v>
      </c>
    </row>
    <row r="67" spans="2:9" x14ac:dyDescent="0.2">
      <c r="B67" s="4">
        <f t="shared" ca="1" si="10"/>
        <v>44104</v>
      </c>
      <c r="C67">
        <f t="shared" si="10"/>
        <v>56</v>
      </c>
      <c r="D67">
        <f t="shared" ca="1" si="0"/>
        <v>4</v>
      </c>
      <c r="E67" s="2">
        <f t="shared" ca="1" si="5"/>
        <v>458.56139911484854</v>
      </c>
      <c r="F67" s="2">
        <f t="shared" ca="1" si="8"/>
        <v>0</v>
      </c>
      <c r="G67" s="2">
        <f t="shared" ca="1" si="6"/>
        <v>458.56139911484854</v>
      </c>
      <c r="H67" s="2">
        <f t="shared" ca="1" si="2"/>
        <v>0.23870319405978419</v>
      </c>
      <c r="I67" s="2">
        <f t="shared" ca="1" si="3"/>
        <v>0</v>
      </c>
    </row>
    <row r="68" spans="2:9" x14ac:dyDescent="0.2">
      <c r="B68" s="4">
        <f t="shared" ca="1" si="10"/>
        <v>44105</v>
      </c>
      <c r="C68">
        <f t="shared" si="10"/>
        <v>57</v>
      </c>
      <c r="D68">
        <f t="shared" ca="1" si="0"/>
        <v>5</v>
      </c>
      <c r="E68" s="2">
        <f t="shared" ca="1" si="5"/>
        <v>458.80010230890832</v>
      </c>
      <c r="F68" s="2">
        <f t="shared" ca="1" si="8"/>
        <v>0</v>
      </c>
      <c r="G68" s="2">
        <f t="shared" ca="1" si="6"/>
        <v>458.80010230890832</v>
      </c>
      <c r="H68" s="2">
        <f t="shared" ca="1" si="2"/>
        <v>0.23882745051696599</v>
      </c>
      <c r="I68" s="2">
        <f t="shared" ca="1" si="3"/>
        <v>0</v>
      </c>
    </row>
    <row r="69" spans="2:9" x14ac:dyDescent="0.2">
      <c r="B69" s="4">
        <f t="shared" ca="1" si="10"/>
        <v>44106</v>
      </c>
      <c r="C69">
        <f t="shared" si="10"/>
        <v>58</v>
      </c>
      <c r="D69">
        <f t="shared" ca="1" si="0"/>
        <v>6</v>
      </c>
      <c r="E69" s="2">
        <f t="shared" ca="1" si="5"/>
        <v>459.03892975942529</v>
      </c>
      <c r="F69" s="2">
        <f t="shared" ca="1" si="8"/>
        <v>0</v>
      </c>
      <c r="G69" s="2">
        <f t="shared" ca="1" si="6"/>
        <v>459.03892975942529</v>
      </c>
      <c r="H69" s="2">
        <f t="shared" ca="1" si="2"/>
        <v>0.23895177165559126</v>
      </c>
      <c r="I69" s="2">
        <f t="shared" ca="1" si="3"/>
        <v>0</v>
      </c>
    </row>
    <row r="70" spans="2:9" x14ac:dyDescent="0.2">
      <c r="B70" s="4">
        <f t="shared" ca="1" si="10"/>
        <v>44107</v>
      </c>
      <c r="C70">
        <f t="shared" si="10"/>
        <v>59</v>
      </c>
      <c r="D70">
        <f t="shared" ca="1" si="0"/>
        <v>7</v>
      </c>
      <c r="E70" s="2">
        <f t="shared" ca="1" si="5"/>
        <v>459.27788153108088</v>
      </c>
      <c r="F70" s="2">
        <f t="shared" ca="1" si="8"/>
        <v>0</v>
      </c>
      <c r="G70" s="2">
        <f t="shared" ca="1" si="6"/>
        <v>459.27788153108088</v>
      </c>
      <c r="H70" s="2">
        <f t="shared" ca="1" si="2"/>
        <v>0.23907615750932978</v>
      </c>
      <c r="I70" s="2">
        <f t="shared" ca="1" si="3"/>
        <v>20</v>
      </c>
    </row>
    <row r="71" spans="2:9" x14ac:dyDescent="0.2">
      <c r="B71" s="4">
        <f t="shared" ca="1" si="10"/>
        <v>44108</v>
      </c>
      <c r="C71">
        <f t="shared" si="10"/>
        <v>60</v>
      </c>
      <c r="D71">
        <f t="shared" ca="1" si="0"/>
        <v>1</v>
      </c>
      <c r="E71" s="2">
        <f t="shared" ca="1" si="5"/>
        <v>479.5169576885902</v>
      </c>
      <c r="F71" s="2">
        <f t="shared" ca="1" si="8"/>
        <v>0</v>
      </c>
      <c r="G71" s="2">
        <f t="shared" ca="1" si="6"/>
        <v>479.5169576885902</v>
      </c>
      <c r="H71" s="2">
        <f t="shared" ca="1" si="2"/>
        <v>0.24961156701597847</v>
      </c>
      <c r="I71" s="2">
        <f t="shared" ca="1" si="3"/>
        <v>0</v>
      </c>
    </row>
    <row r="72" spans="2:9" x14ac:dyDescent="0.2">
      <c r="B72" s="4">
        <f t="shared" ca="1" si="10"/>
        <v>44109</v>
      </c>
      <c r="C72">
        <f t="shared" si="10"/>
        <v>61</v>
      </c>
      <c r="D72">
        <f t="shared" ca="1" si="0"/>
        <v>2</v>
      </c>
      <c r="E72" s="2">
        <f t="shared" ca="1" si="5"/>
        <v>479.76656925560616</v>
      </c>
      <c r="F72" s="2">
        <f t="shared" ca="1" si="8"/>
        <v>215.71167923653425</v>
      </c>
      <c r="G72" s="2">
        <f t="shared" ca="1" si="6"/>
        <v>264.05489001907188</v>
      </c>
      <c r="H72" s="2">
        <f t="shared" ca="1" si="2"/>
        <v>0.13745323042088672</v>
      </c>
      <c r="I72" s="2">
        <f t="shared" ca="1" si="3"/>
        <v>0</v>
      </c>
    </row>
    <row r="73" spans="2:9" x14ac:dyDescent="0.2">
      <c r="B73" s="4">
        <f t="shared" ca="1" si="10"/>
        <v>44110</v>
      </c>
      <c r="C73">
        <f t="shared" si="10"/>
        <v>62</v>
      </c>
      <c r="D73">
        <f t="shared" ca="1" si="0"/>
        <v>3</v>
      </c>
      <c r="E73" s="2">
        <f t="shared" ca="1" si="5"/>
        <v>264.19234324949275</v>
      </c>
      <c r="F73" s="2">
        <f t="shared" ca="1" si="8"/>
        <v>0</v>
      </c>
      <c r="G73" s="2">
        <f t="shared" ca="1" si="6"/>
        <v>264.19234324949275</v>
      </c>
      <c r="H73" s="2">
        <f t="shared" ca="1" si="2"/>
        <v>0.13752478141754418</v>
      </c>
      <c r="I73" s="2">
        <f t="shared" ca="1" si="3"/>
        <v>0</v>
      </c>
    </row>
    <row r="74" spans="2:9" x14ac:dyDescent="0.2">
      <c r="B74" s="4">
        <f t="shared" ca="1" si="10"/>
        <v>44111</v>
      </c>
      <c r="C74">
        <f t="shared" si="10"/>
        <v>63</v>
      </c>
      <c r="D74">
        <f t="shared" ca="1" si="0"/>
        <v>4</v>
      </c>
      <c r="E74" s="2">
        <f t="shared" ca="1" si="5"/>
        <v>264.32986803091029</v>
      </c>
      <c r="F74" s="2">
        <f t="shared" ca="1" si="8"/>
        <v>0</v>
      </c>
      <c r="G74" s="2">
        <f t="shared" ca="1" si="6"/>
        <v>264.32986803091029</v>
      </c>
      <c r="H74" s="2">
        <f t="shared" ca="1" si="2"/>
        <v>0.13759636965992592</v>
      </c>
      <c r="I74" s="2">
        <f t="shared" ca="1" si="3"/>
        <v>0</v>
      </c>
    </row>
    <row r="75" spans="2:9" x14ac:dyDescent="0.2">
      <c r="B75" s="4">
        <f t="shared" ca="1" si="10"/>
        <v>44112</v>
      </c>
      <c r="C75">
        <f t="shared" si="10"/>
        <v>64</v>
      </c>
      <c r="D75">
        <f t="shared" ca="1" si="0"/>
        <v>5</v>
      </c>
      <c r="E75" s="2">
        <f t="shared" ca="1" si="5"/>
        <v>264.46746440057024</v>
      </c>
      <c r="F75" s="2">
        <f t="shared" ca="1" si="8"/>
        <v>0</v>
      </c>
      <c r="G75" s="2">
        <f t="shared" ca="1" si="6"/>
        <v>264.46746440057024</v>
      </c>
      <c r="H75" s="2">
        <f t="shared" ca="1" si="2"/>
        <v>0.13766799516742012</v>
      </c>
      <c r="I75" s="2">
        <f t="shared" ca="1" si="3"/>
        <v>0</v>
      </c>
    </row>
    <row r="76" spans="2:9" x14ac:dyDescent="0.2">
      <c r="B76" s="4">
        <f t="shared" ca="1" si="10"/>
        <v>44113</v>
      </c>
      <c r="C76">
        <f t="shared" si="10"/>
        <v>65</v>
      </c>
      <c r="D76">
        <f t="shared" ref="D76:D139" ca="1" si="11">WEEKDAY(B76,1)</f>
        <v>6</v>
      </c>
      <c r="E76" s="2">
        <f t="shared" ca="1" si="5"/>
        <v>264.60513239573766</v>
      </c>
      <c r="F76" s="2">
        <f t="shared" ca="1" si="8"/>
        <v>0</v>
      </c>
      <c r="G76" s="2">
        <f t="shared" ca="1" si="6"/>
        <v>264.60513239573766</v>
      </c>
      <c r="H76" s="2">
        <f t="shared" ref="H76:H139" ca="1" si="12">IF(C76&gt;$C$7,0,(G76)*$C$5/365)</f>
        <v>0.13773965795942508</v>
      </c>
      <c r="I76" s="2">
        <f t="shared" ref="I76:I139" ca="1" si="13">IF(AND(C76=0,D76=7),$C$6,IF(C76=$C$7,0,IF(C76&lt;$C$7,IF(D76=7,$C$6,0),0)))</f>
        <v>0</v>
      </c>
    </row>
    <row r="77" spans="2:9" x14ac:dyDescent="0.2">
      <c r="B77" s="4">
        <f t="shared" ref="B77:C92" ca="1" si="14">B76+1</f>
        <v>44114</v>
      </c>
      <c r="C77">
        <f t="shared" si="14"/>
        <v>66</v>
      </c>
      <c r="D77">
        <f t="shared" ca="1" si="11"/>
        <v>7</v>
      </c>
      <c r="E77" s="2">
        <f t="shared" ref="E77:E140" ca="1" si="15">IF(C77&gt;$C$7,0,G76+H76+I76)</f>
        <v>264.74287205369706</v>
      </c>
      <c r="F77" s="2">
        <f t="shared" ca="1" si="8"/>
        <v>0</v>
      </c>
      <c r="G77" s="2">
        <f t="shared" ref="G77:G140" ca="1" si="16">IF(C77&gt;$C$7,G76,E77-F77)</f>
        <v>264.74287205369706</v>
      </c>
      <c r="H77" s="2">
        <f t="shared" ca="1" si="12"/>
        <v>0.13781135805534914</v>
      </c>
      <c r="I77" s="2">
        <f t="shared" ca="1" si="13"/>
        <v>20</v>
      </c>
    </row>
    <row r="78" spans="2:9" x14ac:dyDescent="0.2">
      <c r="B78" s="4">
        <f t="shared" ca="1" si="14"/>
        <v>44115</v>
      </c>
      <c r="C78">
        <f t="shared" si="14"/>
        <v>67</v>
      </c>
      <c r="D78">
        <f t="shared" ca="1" si="11"/>
        <v>1</v>
      </c>
      <c r="E78" s="2">
        <f t="shared" ca="1" si="15"/>
        <v>284.88068341175239</v>
      </c>
      <c r="F78" s="2">
        <f t="shared" ca="1" si="8"/>
        <v>0</v>
      </c>
      <c r="G78" s="2">
        <f t="shared" ca="1" si="16"/>
        <v>284.88068341175239</v>
      </c>
      <c r="H78" s="2">
        <f t="shared" ca="1" si="12"/>
        <v>0.14829405437872042</v>
      </c>
      <c r="I78" s="2">
        <f t="shared" ca="1" si="13"/>
        <v>0</v>
      </c>
    </row>
    <row r="79" spans="2:9" x14ac:dyDescent="0.2">
      <c r="B79" s="4">
        <f t="shared" ca="1" si="14"/>
        <v>44116</v>
      </c>
      <c r="C79">
        <f t="shared" si="14"/>
        <v>68</v>
      </c>
      <c r="D79">
        <f t="shared" ca="1" si="11"/>
        <v>2</v>
      </c>
      <c r="E79" s="2">
        <f t="shared" ca="1" si="15"/>
        <v>285.0289774661311</v>
      </c>
      <c r="F79" s="2">
        <f t="shared" ca="1" si="8"/>
        <v>0</v>
      </c>
      <c r="G79" s="2">
        <f t="shared" ca="1" si="16"/>
        <v>285.0289774661311</v>
      </c>
      <c r="H79" s="2">
        <f t="shared" ca="1" si="12"/>
        <v>0.14837124854401346</v>
      </c>
      <c r="I79" s="2">
        <f t="shared" ca="1" si="13"/>
        <v>0</v>
      </c>
    </row>
    <row r="80" spans="2:9" x14ac:dyDescent="0.2">
      <c r="B80" s="4">
        <f t="shared" ca="1" si="14"/>
        <v>44117</v>
      </c>
      <c r="C80">
        <f t="shared" si="14"/>
        <v>69</v>
      </c>
      <c r="D80">
        <f t="shared" ca="1" si="11"/>
        <v>3</v>
      </c>
      <c r="E80" s="2">
        <f t="shared" ca="1" si="15"/>
        <v>285.17734871467513</v>
      </c>
      <c r="F80" s="2">
        <f t="shared" ca="1" si="8"/>
        <v>0</v>
      </c>
      <c r="G80" s="2">
        <f t="shared" ca="1" si="16"/>
        <v>285.17734871467513</v>
      </c>
      <c r="H80" s="2">
        <f t="shared" ca="1" si="12"/>
        <v>0.14844848289257062</v>
      </c>
      <c r="I80" s="2">
        <f t="shared" ca="1" si="13"/>
        <v>0</v>
      </c>
    </row>
    <row r="81" spans="2:9" x14ac:dyDescent="0.2">
      <c r="B81" s="4">
        <f t="shared" ca="1" si="14"/>
        <v>44118</v>
      </c>
      <c r="C81">
        <f t="shared" si="14"/>
        <v>70</v>
      </c>
      <c r="D81">
        <f t="shared" ca="1" si="11"/>
        <v>4</v>
      </c>
      <c r="E81" s="2">
        <f t="shared" ca="1" si="15"/>
        <v>285.32579719756768</v>
      </c>
      <c r="F81" s="2">
        <f t="shared" ca="1" si="8"/>
        <v>0</v>
      </c>
      <c r="G81" s="2">
        <f t="shared" ca="1" si="16"/>
        <v>285.32579719756768</v>
      </c>
      <c r="H81" s="2">
        <f t="shared" ca="1" si="12"/>
        <v>0.14852575744530919</v>
      </c>
      <c r="I81" s="2">
        <f t="shared" ca="1" si="13"/>
        <v>0</v>
      </c>
    </row>
    <row r="82" spans="2:9" x14ac:dyDescent="0.2">
      <c r="B82" s="4">
        <f t="shared" ca="1" si="14"/>
        <v>44119</v>
      </c>
      <c r="C82">
        <f t="shared" si="14"/>
        <v>71</v>
      </c>
      <c r="D82">
        <f t="shared" ca="1" si="11"/>
        <v>5</v>
      </c>
      <c r="E82" s="2">
        <f t="shared" ca="1" si="15"/>
        <v>285.47432295501301</v>
      </c>
      <c r="F82" s="2">
        <f t="shared" ca="1" si="8"/>
        <v>0</v>
      </c>
      <c r="G82" s="2">
        <f t="shared" ca="1" si="16"/>
        <v>285.47432295501301</v>
      </c>
      <c r="H82" s="2">
        <f t="shared" ca="1" si="12"/>
        <v>0.14860307222315747</v>
      </c>
      <c r="I82" s="2">
        <f t="shared" ca="1" si="13"/>
        <v>0</v>
      </c>
    </row>
    <row r="83" spans="2:9" x14ac:dyDescent="0.2">
      <c r="B83" s="4">
        <f t="shared" ca="1" si="14"/>
        <v>44120</v>
      </c>
      <c r="C83">
        <f t="shared" si="14"/>
        <v>72</v>
      </c>
      <c r="D83">
        <f t="shared" ca="1" si="11"/>
        <v>6</v>
      </c>
      <c r="E83" s="2">
        <f t="shared" ca="1" si="15"/>
        <v>285.62292602723619</v>
      </c>
      <c r="F83" s="2">
        <f t="shared" ca="1" si="8"/>
        <v>0</v>
      </c>
      <c r="G83" s="2">
        <f t="shared" ca="1" si="16"/>
        <v>285.62292602723619</v>
      </c>
      <c r="H83" s="2">
        <f t="shared" ca="1" si="12"/>
        <v>0.14868042724705446</v>
      </c>
      <c r="I83" s="2">
        <f t="shared" ca="1" si="13"/>
        <v>0</v>
      </c>
    </row>
    <row r="84" spans="2:9" x14ac:dyDescent="0.2">
      <c r="B84" s="4">
        <f t="shared" ca="1" si="14"/>
        <v>44121</v>
      </c>
      <c r="C84">
        <f t="shared" si="14"/>
        <v>73</v>
      </c>
      <c r="D84">
        <f t="shared" ca="1" si="11"/>
        <v>7</v>
      </c>
      <c r="E84" s="2">
        <f t="shared" ca="1" si="15"/>
        <v>285.77160645448322</v>
      </c>
      <c r="F84" s="2">
        <f t="shared" ca="1" si="8"/>
        <v>0</v>
      </c>
      <c r="G84" s="2">
        <f t="shared" ca="1" si="16"/>
        <v>285.77160645448322</v>
      </c>
      <c r="H84" s="2">
        <f t="shared" ca="1" si="12"/>
        <v>0.14875782253795017</v>
      </c>
      <c r="I84" s="2">
        <f t="shared" ca="1" si="13"/>
        <v>20</v>
      </c>
    </row>
    <row r="85" spans="2:9" x14ac:dyDescent="0.2">
      <c r="B85" s="4">
        <f t="shared" ca="1" si="14"/>
        <v>44122</v>
      </c>
      <c r="C85">
        <f t="shared" si="14"/>
        <v>74</v>
      </c>
      <c r="D85">
        <f t="shared" ca="1" si="11"/>
        <v>1</v>
      </c>
      <c r="E85" s="2">
        <f t="shared" ca="1" si="15"/>
        <v>305.92036427702118</v>
      </c>
      <c r="F85" s="2">
        <f t="shared" ca="1" si="8"/>
        <v>0</v>
      </c>
      <c r="G85" s="2">
        <f t="shared" ca="1" si="16"/>
        <v>305.92036427702118</v>
      </c>
      <c r="H85" s="2">
        <f t="shared" ca="1" si="12"/>
        <v>0.15924621702091513</v>
      </c>
      <c r="I85" s="2">
        <f t="shared" ca="1" si="13"/>
        <v>0</v>
      </c>
    </row>
    <row r="86" spans="2:9" x14ac:dyDescent="0.2">
      <c r="B86" s="4">
        <f t="shared" ca="1" si="14"/>
        <v>44123</v>
      </c>
      <c r="C86">
        <f t="shared" si="14"/>
        <v>75</v>
      </c>
      <c r="D86">
        <f t="shared" ca="1" si="11"/>
        <v>2</v>
      </c>
      <c r="E86" s="2">
        <f t="shared" ca="1" si="15"/>
        <v>306.07961049404207</v>
      </c>
      <c r="F86" s="2">
        <f t="shared" ca="1" si="8"/>
        <v>0</v>
      </c>
      <c r="G86" s="2">
        <f t="shared" ca="1" si="16"/>
        <v>306.07961049404207</v>
      </c>
      <c r="H86" s="2">
        <f t="shared" ca="1" si="12"/>
        <v>0.15932911231196711</v>
      </c>
      <c r="I86" s="2">
        <f t="shared" ca="1" si="13"/>
        <v>0</v>
      </c>
    </row>
    <row r="87" spans="2:9" x14ac:dyDescent="0.2">
      <c r="B87" s="4">
        <f t="shared" ca="1" si="14"/>
        <v>44124</v>
      </c>
      <c r="C87">
        <f t="shared" si="14"/>
        <v>76</v>
      </c>
      <c r="D87">
        <f t="shared" ca="1" si="11"/>
        <v>3</v>
      </c>
      <c r="E87" s="2">
        <f t="shared" ca="1" si="15"/>
        <v>306.23893960635405</v>
      </c>
      <c r="F87" s="2">
        <f t="shared" ca="1" si="8"/>
        <v>0</v>
      </c>
      <c r="G87" s="2">
        <f t="shared" ca="1" si="16"/>
        <v>306.23893960635405</v>
      </c>
      <c r="H87" s="2">
        <f t="shared" ca="1" si="12"/>
        <v>0.15941205075399251</v>
      </c>
      <c r="I87" s="2">
        <f t="shared" ca="1" si="13"/>
        <v>0</v>
      </c>
    </row>
    <row r="88" spans="2:9" x14ac:dyDescent="0.2">
      <c r="B88" s="4">
        <f t="shared" ca="1" si="14"/>
        <v>44125</v>
      </c>
      <c r="C88">
        <f t="shared" si="14"/>
        <v>77</v>
      </c>
      <c r="D88">
        <f t="shared" ca="1" si="11"/>
        <v>4</v>
      </c>
      <c r="E88" s="2">
        <f t="shared" ca="1" si="15"/>
        <v>306.39835165710804</v>
      </c>
      <c r="F88" s="2">
        <f t="shared" ca="1" si="8"/>
        <v>0</v>
      </c>
      <c r="G88" s="2">
        <f t="shared" ca="1" si="16"/>
        <v>306.39835165710804</v>
      </c>
      <c r="H88" s="2">
        <f t="shared" ca="1" si="12"/>
        <v>0.1594950323694535</v>
      </c>
      <c r="I88" s="2">
        <f t="shared" ca="1" si="13"/>
        <v>0</v>
      </c>
    </row>
    <row r="89" spans="2:9" x14ac:dyDescent="0.2">
      <c r="B89" s="4">
        <f t="shared" ca="1" si="14"/>
        <v>44126</v>
      </c>
      <c r="C89">
        <f t="shared" si="14"/>
        <v>78</v>
      </c>
      <c r="D89">
        <f t="shared" ca="1" si="11"/>
        <v>5</v>
      </c>
      <c r="E89" s="2">
        <f t="shared" ca="1" si="15"/>
        <v>306.55784668947751</v>
      </c>
      <c r="F89" s="2">
        <f t="shared" ca="1" si="8"/>
        <v>0</v>
      </c>
      <c r="G89" s="2">
        <f t="shared" ca="1" si="16"/>
        <v>306.55784668947751</v>
      </c>
      <c r="H89" s="2">
        <f t="shared" ca="1" si="12"/>
        <v>0.15957805718082391</v>
      </c>
      <c r="I89" s="2">
        <f t="shared" ca="1" si="13"/>
        <v>0</v>
      </c>
    </row>
    <row r="90" spans="2:9" x14ac:dyDescent="0.2">
      <c r="B90" s="4">
        <f t="shared" ca="1" si="14"/>
        <v>44127</v>
      </c>
      <c r="C90">
        <f t="shared" si="14"/>
        <v>79</v>
      </c>
      <c r="D90">
        <f t="shared" ca="1" si="11"/>
        <v>6</v>
      </c>
      <c r="E90" s="2">
        <f t="shared" ca="1" si="15"/>
        <v>306.71742474665837</v>
      </c>
      <c r="F90" s="2">
        <f t="shared" ca="1" si="8"/>
        <v>0</v>
      </c>
      <c r="G90" s="2">
        <f t="shared" ca="1" si="16"/>
        <v>306.71742474665837</v>
      </c>
      <c r="H90" s="2">
        <f t="shared" ca="1" si="12"/>
        <v>0.15966112521058928</v>
      </c>
      <c r="I90" s="2">
        <f t="shared" ca="1" si="13"/>
        <v>0</v>
      </c>
    </row>
    <row r="91" spans="2:9" x14ac:dyDescent="0.2">
      <c r="B91" s="4">
        <f t="shared" ca="1" si="14"/>
        <v>44128</v>
      </c>
      <c r="C91">
        <f t="shared" si="14"/>
        <v>80</v>
      </c>
      <c r="D91">
        <f t="shared" ca="1" si="11"/>
        <v>7</v>
      </c>
      <c r="E91" s="2">
        <f t="shared" ca="1" si="15"/>
        <v>306.87708587186893</v>
      </c>
      <c r="F91" s="2">
        <f t="shared" ca="1" si="8"/>
        <v>0</v>
      </c>
      <c r="G91" s="2">
        <f t="shared" ca="1" si="16"/>
        <v>306.87708587186893</v>
      </c>
      <c r="H91" s="2">
        <f t="shared" ca="1" si="12"/>
        <v>0.15974423648124683</v>
      </c>
      <c r="I91" s="2">
        <f t="shared" ca="1" si="13"/>
        <v>20</v>
      </c>
    </row>
    <row r="92" spans="2:9" x14ac:dyDescent="0.2">
      <c r="B92" s="4">
        <f t="shared" ca="1" si="14"/>
        <v>44129</v>
      </c>
      <c r="C92">
        <f t="shared" si="14"/>
        <v>81</v>
      </c>
      <c r="D92">
        <f t="shared" ca="1" si="11"/>
        <v>1</v>
      </c>
      <c r="E92" s="2">
        <f t="shared" ca="1" si="15"/>
        <v>327.03683010835016</v>
      </c>
      <c r="F92" s="2">
        <f t="shared" ca="1" si="8"/>
        <v>0</v>
      </c>
      <c r="G92" s="2">
        <f t="shared" ca="1" si="16"/>
        <v>327.03683010835016</v>
      </c>
      <c r="H92" s="2">
        <f t="shared" ca="1" si="12"/>
        <v>0.17023834991941514</v>
      </c>
      <c r="I92" s="2">
        <f t="shared" ca="1" si="13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1"/>
        <v>2</v>
      </c>
      <c r="E93" s="2">
        <f t="shared" ca="1" si="15"/>
        <v>327.20706845826959</v>
      </c>
      <c r="F93" s="2">
        <f t="shared" ca="1" si="8"/>
        <v>0</v>
      </c>
      <c r="G93" s="2">
        <f t="shared" ca="1" si="16"/>
        <v>327.20706845826959</v>
      </c>
      <c r="H93" s="2">
        <f t="shared" ca="1" si="12"/>
        <v>0.17032696714266088</v>
      </c>
      <c r="I93" s="2">
        <f t="shared" ca="1" si="13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1"/>
        <v>3</v>
      </c>
      <c r="E94" s="2">
        <f t="shared" ca="1" si="15"/>
        <v>327.37739542541226</v>
      </c>
      <c r="F94" s="2">
        <f t="shared" ca="1" si="8"/>
        <v>0</v>
      </c>
      <c r="G94" s="2">
        <f t="shared" ca="1" si="16"/>
        <v>327.37739542541226</v>
      </c>
      <c r="H94" s="2">
        <f t="shared" ca="1" si="12"/>
        <v>0.17041563049542008</v>
      </c>
      <c r="I94" s="2">
        <f t="shared" ca="1" si="13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1"/>
        <v>4</v>
      </c>
      <c r="E95" s="2">
        <f t="shared" ca="1" si="15"/>
        <v>327.54781105590769</v>
      </c>
      <c r="F95" s="2">
        <f t="shared" ca="1" si="8"/>
        <v>0</v>
      </c>
      <c r="G95" s="2">
        <f t="shared" ca="1" si="16"/>
        <v>327.54781105590769</v>
      </c>
      <c r="H95" s="2">
        <f t="shared" ca="1" si="12"/>
        <v>0.17050434000170536</v>
      </c>
      <c r="I95" s="2">
        <f t="shared" ca="1" si="13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1"/>
        <v>5</v>
      </c>
      <c r="E96" s="2">
        <f t="shared" ca="1" si="15"/>
        <v>327.71831539590937</v>
      </c>
      <c r="F96" s="2">
        <f t="shared" ca="1" si="8"/>
        <v>0</v>
      </c>
      <c r="G96" s="2">
        <f t="shared" ca="1" si="16"/>
        <v>327.71831539590937</v>
      </c>
      <c r="H96" s="2">
        <f t="shared" ca="1" si="12"/>
        <v>0.17059309568554187</v>
      </c>
      <c r="I96" s="2">
        <f t="shared" ca="1" si="13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1"/>
        <v>6</v>
      </c>
      <c r="E97" s="2">
        <f t="shared" ca="1" si="15"/>
        <v>327.88890849159492</v>
      </c>
      <c r="F97" s="2">
        <f t="shared" ca="1" si="8"/>
        <v>0</v>
      </c>
      <c r="G97" s="2">
        <f t="shared" ca="1" si="16"/>
        <v>327.88890849159492</v>
      </c>
      <c r="H97" s="2">
        <f t="shared" ca="1" si="12"/>
        <v>0.17068189757096722</v>
      </c>
      <c r="I97" s="2">
        <f t="shared" ca="1" si="13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1"/>
        <v>7</v>
      </c>
      <c r="E98" s="2">
        <f t="shared" ca="1" si="15"/>
        <v>328.05959038916586</v>
      </c>
      <c r="F98" s="2">
        <f t="shared" ca="1" si="8"/>
        <v>0</v>
      </c>
      <c r="G98" s="2">
        <f t="shared" ca="1" si="16"/>
        <v>328.05959038916586</v>
      </c>
      <c r="H98" s="2">
        <f t="shared" ca="1" si="12"/>
        <v>0.17077074568203154</v>
      </c>
      <c r="I98" s="2">
        <f t="shared" ca="1" si="13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1"/>
        <v>1</v>
      </c>
      <c r="E99" s="2">
        <f t="shared" ca="1" si="15"/>
        <v>348.2303611348479</v>
      </c>
      <c r="F99" s="2">
        <f t="shared" ca="1" si="8"/>
        <v>0</v>
      </c>
      <c r="G99" s="2">
        <f t="shared" ca="1" si="16"/>
        <v>348.2303611348479</v>
      </c>
      <c r="H99" s="2">
        <f t="shared" ca="1" si="12"/>
        <v>0.18127059894690711</v>
      </c>
      <c r="I99" s="2">
        <f t="shared" ca="1" si="13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1"/>
        <v>2</v>
      </c>
      <c r="E100" s="2">
        <f t="shared" ca="1" si="15"/>
        <v>348.41163173379482</v>
      </c>
      <c r="F100" s="2">
        <f t="shared" ref="F100:F163" ca="1" si="18">IF(C100&gt;$C$7,0,IF(ROUND(E100,0)&gt;0,IF(C100=0,0,IF(DAY($F$2)&lt;&gt;DAY(B100),0,$C$8)),0))</f>
        <v>0</v>
      </c>
      <c r="G100" s="2">
        <f t="shared" ca="1" si="16"/>
        <v>348.41163173379482</v>
      </c>
      <c r="H100" s="2">
        <f t="shared" ca="1" si="12"/>
        <v>0.18136495898471514</v>
      </c>
      <c r="I100" s="2">
        <f t="shared" ca="1" si="13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1"/>
        <v>3</v>
      </c>
      <c r="E101" s="2">
        <f t="shared" ca="1" si="15"/>
        <v>348.59299669277954</v>
      </c>
      <c r="F101" s="2">
        <f t="shared" ca="1" si="18"/>
        <v>0</v>
      </c>
      <c r="G101" s="2">
        <f t="shared" ca="1" si="16"/>
        <v>348.59299669277954</v>
      </c>
      <c r="H101" s="2">
        <f t="shared" ca="1" si="12"/>
        <v>0.18145936814144686</v>
      </c>
      <c r="I101" s="2">
        <f t="shared" ca="1" si="13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1"/>
        <v>4</v>
      </c>
      <c r="E102" s="2">
        <f t="shared" ca="1" si="15"/>
        <v>348.77445606092101</v>
      </c>
      <c r="F102" s="2">
        <f t="shared" ca="1" si="18"/>
        <v>0</v>
      </c>
      <c r="G102" s="2">
        <f t="shared" ca="1" si="16"/>
        <v>348.77445606092101</v>
      </c>
      <c r="H102" s="2">
        <f t="shared" ca="1" si="12"/>
        <v>0.18155382644267121</v>
      </c>
      <c r="I102" s="2">
        <f t="shared" ca="1" si="13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1"/>
        <v>5</v>
      </c>
      <c r="E103" s="2">
        <f t="shared" ca="1" si="15"/>
        <v>348.95600988736368</v>
      </c>
      <c r="F103" s="2">
        <f t="shared" ca="1" si="18"/>
        <v>215.71167923653425</v>
      </c>
      <c r="G103" s="2">
        <f t="shared" ca="1" si="16"/>
        <v>133.24433065082943</v>
      </c>
      <c r="H103" s="2">
        <f t="shared" ca="1" si="12"/>
        <v>6.9360062530568742E-2</v>
      </c>
      <c r="I103" s="2">
        <f t="shared" ca="1" si="13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1"/>
        <v>6</v>
      </c>
      <c r="E104" s="2">
        <f t="shared" ca="1" si="15"/>
        <v>133.31369071335999</v>
      </c>
      <c r="F104" s="2">
        <f t="shared" ca="1" si="18"/>
        <v>0</v>
      </c>
      <c r="G104" s="2">
        <f t="shared" ca="1" si="16"/>
        <v>133.31369071335999</v>
      </c>
      <c r="H104" s="2">
        <f t="shared" ca="1" si="12"/>
        <v>6.9396167768598346E-2</v>
      </c>
      <c r="I104" s="2">
        <f t="shared" ca="1" si="13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1"/>
        <v>7</v>
      </c>
      <c r="E105" s="2">
        <f t="shared" ca="1" si="15"/>
        <v>133.38308688112858</v>
      </c>
      <c r="F105" s="2">
        <f t="shared" ca="1" si="18"/>
        <v>0</v>
      </c>
      <c r="G105" s="2">
        <f t="shared" ca="1" si="16"/>
        <v>133.38308688112858</v>
      </c>
      <c r="H105" s="2">
        <f t="shared" ca="1" si="12"/>
        <v>6.9432291801135429E-2</v>
      </c>
      <c r="I105" s="2">
        <f t="shared" ca="1" si="13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1"/>
        <v>1</v>
      </c>
      <c r="E106" s="2">
        <f t="shared" ca="1" si="15"/>
        <v>153.45251917292973</v>
      </c>
      <c r="F106" s="2">
        <f t="shared" ca="1" si="18"/>
        <v>0</v>
      </c>
      <c r="G106" s="2">
        <f t="shared" ca="1" si="16"/>
        <v>153.45251917292973</v>
      </c>
      <c r="H106" s="2">
        <f t="shared" ca="1" si="12"/>
        <v>7.9879393542073004E-2</v>
      </c>
      <c r="I106" s="2">
        <f t="shared" ca="1" si="13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1"/>
        <v>2</v>
      </c>
      <c r="E107" s="2">
        <f t="shared" ca="1" si="15"/>
        <v>153.53239856647181</v>
      </c>
      <c r="F107" s="2">
        <f t="shared" ca="1" si="18"/>
        <v>0</v>
      </c>
      <c r="G107" s="2">
        <f t="shared" ca="1" si="16"/>
        <v>153.53239856647181</v>
      </c>
      <c r="H107" s="2">
        <f t="shared" ca="1" si="12"/>
        <v>7.99209745962456E-2</v>
      </c>
      <c r="I107" s="2">
        <f t="shared" ca="1" si="13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1"/>
        <v>3</v>
      </c>
      <c r="E108" s="2">
        <f t="shared" ca="1" si="15"/>
        <v>153.61231954106805</v>
      </c>
      <c r="F108" s="2">
        <f t="shared" ca="1" si="18"/>
        <v>0</v>
      </c>
      <c r="G108" s="2">
        <f t="shared" ca="1" si="16"/>
        <v>153.61231954106805</v>
      </c>
      <c r="H108" s="2">
        <f t="shared" ca="1" si="12"/>
        <v>7.9962577295350501E-2</v>
      </c>
      <c r="I108" s="2">
        <f t="shared" ca="1" si="13"/>
        <v>0</v>
      </c>
    </row>
    <row r="109" spans="2:9" x14ac:dyDescent="0.2">
      <c r="B109" s="4">
        <f t="shared" ref="B109:C124" ca="1" si="19">B108+1</f>
        <v>44146</v>
      </c>
      <c r="C109">
        <f t="shared" si="19"/>
        <v>98</v>
      </c>
      <c r="D109">
        <f t="shared" ca="1" si="11"/>
        <v>4</v>
      </c>
      <c r="E109" s="2">
        <f t="shared" ca="1" si="15"/>
        <v>153.69228211836341</v>
      </c>
      <c r="F109" s="2">
        <f t="shared" ca="1" si="18"/>
        <v>0</v>
      </c>
      <c r="G109" s="2">
        <f t="shared" ca="1" si="16"/>
        <v>153.69228211836341</v>
      </c>
      <c r="H109" s="2">
        <f t="shared" ca="1" si="12"/>
        <v>8.0004201650654916E-2</v>
      </c>
      <c r="I109" s="2">
        <f t="shared" ca="1" si="13"/>
        <v>0</v>
      </c>
    </row>
    <row r="110" spans="2:9" x14ac:dyDescent="0.2">
      <c r="B110" s="4">
        <f t="shared" ca="1" si="19"/>
        <v>44147</v>
      </c>
      <c r="C110">
        <f t="shared" si="19"/>
        <v>99</v>
      </c>
      <c r="D110">
        <f t="shared" ca="1" si="11"/>
        <v>5</v>
      </c>
      <c r="E110" s="2">
        <f t="shared" ca="1" si="15"/>
        <v>153.77228632001408</v>
      </c>
      <c r="F110" s="2">
        <f t="shared" ca="1" si="18"/>
        <v>0</v>
      </c>
      <c r="G110" s="2">
        <f t="shared" ca="1" si="16"/>
        <v>153.77228632001408</v>
      </c>
      <c r="H110" s="2">
        <f t="shared" ca="1" si="12"/>
        <v>8.004584767343198E-2</v>
      </c>
      <c r="I110" s="2">
        <f t="shared" ca="1" si="13"/>
        <v>0</v>
      </c>
    </row>
    <row r="111" spans="2:9" x14ac:dyDescent="0.2">
      <c r="B111" s="4">
        <f t="shared" ca="1" si="19"/>
        <v>44148</v>
      </c>
      <c r="C111">
        <f t="shared" si="19"/>
        <v>100</v>
      </c>
      <c r="D111">
        <f t="shared" ca="1" si="11"/>
        <v>6</v>
      </c>
      <c r="E111" s="2">
        <f t="shared" ca="1" si="15"/>
        <v>153.85233216768751</v>
      </c>
      <c r="F111" s="2">
        <f t="shared" ca="1" si="18"/>
        <v>0</v>
      </c>
      <c r="G111" s="2">
        <f t="shared" ca="1" si="16"/>
        <v>153.85233216768751</v>
      </c>
      <c r="H111" s="2">
        <f t="shared" ca="1" si="12"/>
        <v>8.0087515374960616E-2</v>
      </c>
      <c r="I111" s="2">
        <f t="shared" ca="1" si="13"/>
        <v>0</v>
      </c>
    </row>
    <row r="112" spans="2:9" x14ac:dyDescent="0.2">
      <c r="B112" s="4">
        <f t="shared" ca="1" si="19"/>
        <v>44149</v>
      </c>
      <c r="C112">
        <f t="shared" si="19"/>
        <v>101</v>
      </c>
      <c r="D112">
        <f t="shared" ca="1" si="11"/>
        <v>7</v>
      </c>
      <c r="E112" s="2">
        <f t="shared" ca="1" si="15"/>
        <v>153.93241968306248</v>
      </c>
      <c r="F112" s="2">
        <f t="shared" ca="1" si="18"/>
        <v>0</v>
      </c>
      <c r="G112" s="2">
        <f t="shared" ca="1" si="16"/>
        <v>153.93241968306248</v>
      </c>
      <c r="H112" s="2">
        <f t="shared" ca="1" si="12"/>
        <v>8.0129204766525672E-2</v>
      </c>
      <c r="I112" s="2">
        <f t="shared" ca="1" si="13"/>
        <v>20</v>
      </c>
    </row>
    <row r="113" spans="2:9" x14ac:dyDescent="0.2">
      <c r="B113" s="4">
        <f t="shared" ca="1" si="19"/>
        <v>44150</v>
      </c>
      <c r="C113">
        <f t="shared" si="19"/>
        <v>102</v>
      </c>
      <c r="D113">
        <f t="shared" ca="1" si="11"/>
        <v>1</v>
      </c>
      <c r="E113" s="2">
        <f t="shared" ca="1" si="15"/>
        <v>174.01254888782901</v>
      </c>
      <c r="F113" s="2">
        <f t="shared" ca="1" si="18"/>
        <v>0</v>
      </c>
      <c r="G113" s="2">
        <f t="shared" ca="1" si="16"/>
        <v>174.01254888782901</v>
      </c>
      <c r="H113" s="2">
        <f t="shared" ca="1" si="12"/>
        <v>9.0581874763527429E-2</v>
      </c>
      <c r="I113" s="2">
        <f t="shared" ca="1" si="13"/>
        <v>0</v>
      </c>
    </row>
    <row r="114" spans="2:9" x14ac:dyDescent="0.2">
      <c r="B114" s="4">
        <f t="shared" ca="1" si="19"/>
        <v>44151</v>
      </c>
      <c r="C114">
        <f t="shared" si="19"/>
        <v>103</v>
      </c>
      <c r="D114">
        <f t="shared" ca="1" si="11"/>
        <v>2</v>
      </c>
      <c r="E114" s="2">
        <f t="shared" ca="1" si="15"/>
        <v>174.10313076259254</v>
      </c>
      <c r="F114" s="2">
        <f t="shared" ca="1" si="18"/>
        <v>0</v>
      </c>
      <c r="G114" s="2">
        <f t="shared" ca="1" si="16"/>
        <v>174.10313076259254</v>
      </c>
      <c r="H114" s="2">
        <f t="shared" ca="1" si="12"/>
        <v>9.0629026972308444E-2</v>
      </c>
      <c r="I114" s="2">
        <f t="shared" ca="1" si="13"/>
        <v>0</v>
      </c>
    </row>
    <row r="115" spans="2:9" x14ac:dyDescent="0.2">
      <c r="B115" s="4">
        <f t="shared" ca="1" si="19"/>
        <v>44152</v>
      </c>
      <c r="C115">
        <f t="shared" si="19"/>
        <v>104</v>
      </c>
      <c r="D115">
        <f t="shared" ca="1" si="11"/>
        <v>3</v>
      </c>
      <c r="E115" s="2">
        <f t="shared" ca="1" si="15"/>
        <v>174.19375978956484</v>
      </c>
      <c r="F115" s="2">
        <f t="shared" ca="1" si="18"/>
        <v>0</v>
      </c>
      <c r="G115" s="2">
        <f t="shared" ca="1" si="16"/>
        <v>174.19375978956484</v>
      </c>
      <c r="H115" s="2">
        <f t="shared" ca="1" si="12"/>
        <v>9.067620372607485E-2</v>
      </c>
      <c r="I115" s="2">
        <f t="shared" ca="1" si="13"/>
        <v>0</v>
      </c>
    </row>
    <row r="116" spans="2:9" x14ac:dyDescent="0.2">
      <c r="B116" s="4">
        <f t="shared" ca="1" si="19"/>
        <v>44153</v>
      </c>
      <c r="C116">
        <f t="shared" si="19"/>
        <v>105</v>
      </c>
      <c r="D116">
        <f t="shared" ca="1" si="11"/>
        <v>4</v>
      </c>
      <c r="E116" s="2">
        <f t="shared" ca="1" si="15"/>
        <v>174.28443599329091</v>
      </c>
      <c r="F116" s="2">
        <f t="shared" ca="1" si="18"/>
        <v>0</v>
      </c>
      <c r="G116" s="2">
        <f t="shared" ca="1" si="16"/>
        <v>174.28443599329091</v>
      </c>
      <c r="H116" s="2">
        <f t="shared" ca="1" si="12"/>
        <v>9.0723405037603497E-2</v>
      </c>
      <c r="I116" s="2">
        <f t="shared" ca="1" si="13"/>
        <v>0</v>
      </c>
    </row>
    <row r="117" spans="2:9" x14ac:dyDescent="0.2">
      <c r="B117" s="4">
        <f t="shared" ca="1" si="19"/>
        <v>44154</v>
      </c>
      <c r="C117">
        <f t="shared" si="19"/>
        <v>106</v>
      </c>
      <c r="D117">
        <f t="shared" ca="1" si="11"/>
        <v>5</v>
      </c>
      <c r="E117" s="2">
        <f t="shared" ca="1" si="15"/>
        <v>174.37515939832852</v>
      </c>
      <c r="F117" s="2">
        <f t="shared" ca="1" si="18"/>
        <v>0</v>
      </c>
      <c r="G117" s="2">
        <f t="shared" ca="1" si="16"/>
        <v>174.37515939832852</v>
      </c>
      <c r="H117" s="2">
        <f t="shared" ca="1" si="12"/>
        <v>9.0770630919677867E-2</v>
      </c>
      <c r="I117" s="2">
        <f t="shared" ca="1" si="13"/>
        <v>0</v>
      </c>
    </row>
    <row r="118" spans="2:9" x14ac:dyDescent="0.2">
      <c r="B118" s="4">
        <f t="shared" ca="1" si="19"/>
        <v>44155</v>
      </c>
      <c r="C118">
        <f t="shared" si="19"/>
        <v>107</v>
      </c>
      <c r="D118">
        <f t="shared" ca="1" si="11"/>
        <v>6</v>
      </c>
      <c r="E118" s="2">
        <f t="shared" ca="1" si="15"/>
        <v>174.4659300292482</v>
      </c>
      <c r="F118" s="2">
        <f t="shared" ca="1" si="18"/>
        <v>0</v>
      </c>
      <c r="G118" s="2">
        <f t="shared" ca="1" si="16"/>
        <v>174.4659300292482</v>
      </c>
      <c r="H118" s="2">
        <f t="shared" ca="1" si="12"/>
        <v>9.0817881385088103E-2</v>
      </c>
      <c r="I118" s="2">
        <f t="shared" ca="1" si="13"/>
        <v>0</v>
      </c>
    </row>
    <row r="119" spans="2:9" x14ac:dyDescent="0.2">
      <c r="B119" s="4">
        <f t="shared" ca="1" si="19"/>
        <v>44156</v>
      </c>
      <c r="C119">
        <f t="shared" si="19"/>
        <v>108</v>
      </c>
      <c r="D119">
        <f t="shared" ca="1" si="11"/>
        <v>7</v>
      </c>
      <c r="E119" s="2">
        <f t="shared" ca="1" si="15"/>
        <v>174.55674791063328</v>
      </c>
      <c r="F119" s="2">
        <f t="shared" ca="1" si="18"/>
        <v>0</v>
      </c>
      <c r="G119" s="2">
        <f t="shared" ca="1" si="16"/>
        <v>174.55674791063328</v>
      </c>
      <c r="H119" s="2">
        <f t="shared" ca="1" si="12"/>
        <v>9.0865156446631012E-2</v>
      </c>
      <c r="I119" s="2">
        <f t="shared" ca="1" si="13"/>
        <v>20</v>
      </c>
    </row>
    <row r="120" spans="2:9" x14ac:dyDescent="0.2">
      <c r="B120" s="4">
        <f t="shared" ca="1" si="19"/>
        <v>44157</v>
      </c>
      <c r="C120">
        <f t="shared" si="19"/>
        <v>109</v>
      </c>
      <c r="D120">
        <f t="shared" ca="1" si="11"/>
        <v>1</v>
      </c>
      <c r="E120" s="2">
        <f t="shared" ca="1" si="15"/>
        <v>194.6476130670799</v>
      </c>
      <c r="F120" s="2">
        <f t="shared" ca="1" si="18"/>
        <v>0</v>
      </c>
      <c r="G120" s="2">
        <f t="shared" ca="1" si="16"/>
        <v>194.6476130670799</v>
      </c>
      <c r="H120" s="2">
        <f t="shared" ca="1" si="12"/>
        <v>0.10132341502121968</v>
      </c>
      <c r="I120" s="2">
        <f t="shared" ca="1" si="13"/>
        <v>0</v>
      </c>
    </row>
    <row r="121" spans="2:9" x14ac:dyDescent="0.2">
      <c r="B121" s="4">
        <f t="shared" ca="1" si="19"/>
        <v>44158</v>
      </c>
      <c r="C121">
        <f t="shared" si="19"/>
        <v>110</v>
      </c>
      <c r="D121">
        <f t="shared" ca="1" si="11"/>
        <v>2</v>
      </c>
      <c r="E121" s="2">
        <f t="shared" ca="1" si="15"/>
        <v>194.74893648210113</v>
      </c>
      <c r="F121" s="2">
        <f t="shared" ca="1" si="18"/>
        <v>0</v>
      </c>
      <c r="G121" s="2">
        <f t="shared" ca="1" si="16"/>
        <v>194.74893648210113</v>
      </c>
      <c r="H121" s="2">
        <f t="shared" ca="1" si="12"/>
        <v>0.10137615871671019</v>
      </c>
      <c r="I121" s="2">
        <f t="shared" ca="1" si="13"/>
        <v>0</v>
      </c>
    </row>
    <row r="122" spans="2:9" x14ac:dyDescent="0.2">
      <c r="B122" s="4">
        <f t="shared" ca="1" si="19"/>
        <v>44159</v>
      </c>
      <c r="C122">
        <f t="shared" si="19"/>
        <v>111</v>
      </c>
      <c r="D122">
        <f t="shared" ca="1" si="11"/>
        <v>3</v>
      </c>
      <c r="E122" s="2">
        <f t="shared" ca="1" si="15"/>
        <v>194.85031264081783</v>
      </c>
      <c r="F122" s="2">
        <f t="shared" ca="1" si="18"/>
        <v>0</v>
      </c>
      <c r="G122" s="2">
        <f t="shared" ca="1" si="16"/>
        <v>194.85031264081783</v>
      </c>
      <c r="H122" s="2">
        <f t="shared" ca="1" si="12"/>
        <v>0.10142892986782298</v>
      </c>
      <c r="I122" s="2">
        <f t="shared" ca="1" si="13"/>
        <v>0</v>
      </c>
    </row>
    <row r="123" spans="2:9" x14ac:dyDescent="0.2">
      <c r="B123" s="4">
        <f t="shared" ca="1" si="19"/>
        <v>44160</v>
      </c>
      <c r="C123">
        <f t="shared" si="19"/>
        <v>112</v>
      </c>
      <c r="D123">
        <f t="shared" ca="1" si="11"/>
        <v>4</v>
      </c>
      <c r="E123" s="2">
        <f t="shared" ca="1" si="15"/>
        <v>194.95174157068567</v>
      </c>
      <c r="F123" s="2">
        <f t="shared" ca="1" si="18"/>
        <v>0</v>
      </c>
      <c r="G123" s="2">
        <f t="shared" ca="1" si="16"/>
        <v>194.95174157068567</v>
      </c>
      <c r="H123" s="2">
        <f t="shared" ca="1" si="12"/>
        <v>0.10148172848885008</v>
      </c>
      <c r="I123" s="2">
        <f t="shared" ca="1" si="13"/>
        <v>0</v>
      </c>
    </row>
    <row r="124" spans="2:9" x14ac:dyDescent="0.2">
      <c r="B124" s="4">
        <f t="shared" ca="1" si="19"/>
        <v>44161</v>
      </c>
      <c r="C124">
        <f t="shared" si="19"/>
        <v>113</v>
      </c>
      <c r="D124">
        <f t="shared" ca="1" si="11"/>
        <v>5</v>
      </c>
      <c r="E124" s="2">
        <f t="shared" ca="1" si="15"/>
        <v>195.05322329917453</v>
      </c>
      <c r="F124" s="2">
        <f t="shared" ca="1" si="18"/>
        <v>0</v>
      </c>
      <c r="G124" s="2">
        <f t="shared" ca="1" si="16"/>
        <v>195.05322329917453</v>
      </c>
      <c r="H124" s="2">
        <f t="shared" ca="1" si="12"/>
        <v>0.10153455459409086</v>
      </c>
      <c r="I124" s="2">
        <f t="shared" ca="1" si="13"/>
        <v>0</v>
      </c>
    </row>
    <row r="125" spans="2:9" x14ac:dyDescent="0.2">
      <c r="B125" s="4">
        <f t="shared" ref="B125:C140" ca="1" si="20">B124+1</f>
        <v>44162</v>
      </c>
      <c r="C125">
        <f t="shared" si="20"/>
        <v>114</v>
      </c>
      <c r="D125">
        <f t="shared" ca="1" si="11"/>
        <v>6</v>
      </c>
      <c r="E125" s="2">
        <f t="shared" ca="1" si="15"/>
        <v>195.15475785376861</v>
      </c>
      <c r="F125" s="2">
        <f t="shared" ca="1" si="18"/>
        <v>0</v>
      </c>
      <c r="G125" s="2">
        <f t="shared" ca="1" si="16"/>
        <v>195.15475785376861</v>
      </c>
      <c r="H125" s="2">
        <f t="shared" ca="1" si="12"/>
        <v>0.10158740819785216</v>
      </c>
      <c r="I125" s="2">
        <f t="shared" ca="1" si="13"/>
        <v>0</v>
      </c>
    </row>
    <row r="126" spans="2:9" x14ac:dyDescent="0.2">
      <c r="B126" s="4">
        <f t="shared" ca="1" si="20"/>
        <v>44163</v>
      </c>
      <c r="C126">
        <f t="shared" si="20"/>
        <v>115</v>
      </c>
      <c r="D126">
        <f t="shared" ca="1" si="11"/>
        <v>7</v>
      </c>
      <c r="E126" s="2">
        <f t="shared" ca="1" si="15"/>
        <v>195.25634526196646</v>
      </c>
      <c r="F126" s="2">
        <f t="shared" ca="1" si="18"/>
        <v>0</v>
      </c>
      <c r="G126" s="2">
        <f t="shared" ca="1" si="16"/>
        <v>195.25634526196646</v>
      </c>
      <c r="H126" s="2">
        <f t="shared" ca="1" si="12"/>
        <v>0.10164028931444831</v>
      </c>
      <c r="I126" s="2">
        <f t="shared" ca="1" si="13"/>
        <v>20</v>
      </c>
    </row>
    <row r="127" spans="2:9" x14ac:dyDescent="0.2">
      <c r="B127" s="4">
        <f t="shared" ca="1" si="20"/>
        <v>44164</v>
      </c>
      <c r="C127">
        <f t="shared" si="20"/>
        <v>116</v>
      </c>
      <c r="D127">
        <f t="shared" ca="1" si="11"/>
        <v>1</v>
      </c>
      <c r="E127" s="2">
        <f t="shared" ca="1" si="15"/>
        <v>215.3579855512809</v>
      </c>
      <c r="F127" s="2">
        <f t="shared" ca="1" si="18"/>
        <v>0</v>
      </c>
      <c r="G127" s="2">
        <f t="shared" ca="1" si="16"/>
        <v>215.3579855512809</v>
      </c>
      <c r="H127" s="2">
        <f t="shared" ca="1" si="12"/>
        <v>0.11210415686231062</v>
      </c>
      <c r="I127" s="2">
        <f t="shared" ca="1" si="13"/>
        <v>0</v>
      </c>
    </row>
    <row r="128" spans="2:9" x14ac:dyDescent="0.2">
      <c r="B128" s="4">
        <f t="shared" ca="1" si="20"/>
        <v>44165</v>
      </c>
      <c r="C128">
        <f t="shared" si="20"/>
        <v>117</v>
      </c>
      <c r="D128">
        <f t="shared" ca="1" si="11"/>
        <v>2</v>
      </c>
      <c r="E128" s="2">
        <f t="shared" ca="1" si="15"/>
        <v>215.47008970814321</v>
      </c>
      <c r="F128" s="2">
        <f t="shared" ca="1" si="18"/>
        <v>0</v>
      </c>
      <c r="G128" s="2">
        <f t="shared" ca="1" si="16"/>
        <v>215.47008970814321</v>
      </c>
      <c r="H128" s="2">
        <f t="shared" ca="1" si="12"/>
        <v>0.11216251245081427</v>
      </c>
      <c r="I128" s="2">
        <f t="shared" ca="1" si="13"/>
        <v>0</v>
      </c>
    </row>
    <row r="129" spans="2:9" x14ac:dyDescent="0.2">
      <c r="B129" s="4">
        <f t="shared" ca="1" si="20"/>
        <v>44166</v>
      </c>
      <c r="C129">
        <f t="shared" si="20"/>
        <v>118</v>
      </c>
      <c r="D129">
        <f t="shared" ca="1" si="11"/>
        <v>3</v>
      </c>
      <c r="E129" s="2">
        <f t="shared" ca="1" si="15"/>
        <v>215.58225222059403</v>
      </c>
      <c r="F129" s="2">
        <f t="shared" ca="1" si="18"/>
        <v>0</v>
      </c>
      <c r="G129" s="2">
        <f t="shared" ca="1" si="16"/>
        <v>215.58225222059403</v>
      </c>
      <c r="H129" s="2">
        <f t="shared" ca="1" si="12"/>
        <v>0.11222089841619963</v>
      </c>
      <c r="I129" s="2">
        <f t="shared" ca="1" si="13"/>
        <v>0</v>
      </c>
    </row>
    <row r="130" spans="2:9" x14ac:dyDescent="0.2">
      <c r="B130" s="4">
        <f t="shared" ca="1" si="20"/>
        <v>44167</v>
      </c>
      <c r="C130">
        <f t="shared" si="20"/>
        <v>119</v>
      </c>
      <c r="D130">
        <f t="shared" ca="1" si="11"/>
        <v>4</v>
      </c>
      <c r="E130" s="2">
        <f t="shared" ca="1" si="15"/>
        <v>215.69447311901024</v>
      </c>
      <c r="F130" s="2">
        <f t="shared" ca="1" si="18"/>
        <v>0</v>
      </c>
      <c r="G130" s="2">
        <f t="shared" ca="1" si="16"/>
        <v>215.69447311901024</v>
      </c>
      <c r="H130" s="2">
        <f t="shared" ca="1" si="12"/>
        <v>0.1122793147742793</v>
      </c>
      <c r="I130" s="2">
        <f t="shared" ca="1" si="13"/>
        <v>0</v>
      </c>
    </row>
    <row r="131" spans="2:9" x14ac:dyDescent="0.2">
      <c r="B131" s="4">
        <f t="shared" ca="1" si="20"/>
        <v>44168</v>
      </c>
      <c r="C131">
        <f t="shared" si="20"/>
        <v>120</v>
      </c>
      <c r="D131">
        <f t="shared" ca="1" si="11"/>
        <v>5</v>
      </c>
      <c r="E131" s="2">
        <f t="shared" ca="1" si="15"/>
        <v>215.80675243378451</v>
      </c>
      <c r="F131" s="2">
        <f t="shared" ca="1" si="18"/>
        <v>0</v>
      </c>
      <c r="G131" s="2">
        <f t="shared" ca="1" si="16"/>
        <v>215.80675243378451</v>
      </c>
      <c r="H131" s="2">
        <f t="shared" ca="1" si="12"/>
        <v>0.11233776154087413</v>
      </c>
      <c r="I131" s="2">
        <f t="shared" ca="1" si="13"/>
        <v>0</v>
      </c>
    </row>
    <row r="132" spans="2:9" x14ac:dyDescent="0.2">
      <c r="B132" s="4">
        <f t="shared" ca="1" si="20"/>
        <v>44169</v>
      </c>
      <c r="C132">
        <f t="shared" si="20"/>
        <v>121</v>
      </c>
      <c r="D132">
        <f t="shared" ca="1" si="11"/>
        <v>6</v>
      </c>
      <c r="E132" s="2">
        <f t="shared" ca="1" si="15"/>
        <v>215.9190901953254</v>
      </c>
      <c r="F132" s="2">
        <f t="shared" ca="1" si="18"/>
        <v>0</v>
      </c>
      <c r="G132" s="2">
        <f t="shared" ca="1" si="16"/>
        <v>215.9190901953254</v>
      </c>
      <c r="H132" s="2">
        <f t="shared" ca="1" si="12"/>
        <v>0.11239623873181323</v>
      </c>
      <c r="I132" s="2">
        <f t="shared" ca="1" si="13"/>
        <v>0</v>
      </c>
    </row>
    <row r="133" spans="2:9" x14ac:dyDescent="0.2">
      <c r="B133" s="4">
        <f t="shared" ca="1" si="20"/>
        <v>44170</v>
      </c>
      <c r="C133">
        <f t="shared" si="20"/>
        <v>122</v>
      </c>
      <c r="D133">
        <f t="shared" ca="1" si="11"/>
        <v>7</v>
      </c>
      <c r="E133" s="2">
        <f t="shared" ca="1" si="15"/>
        <v>216.0314864340572</v>
      </c>
      <c r="F133" s="2">
        <f t="shared" ca="1" si="18"/>
        <v>215.71167923653425</v>
      </c>
      <c r="G133" s="2">
        <f t="shared" ca="1" si="16"/>
        <v>0.31980719752294817</v>
      </c>
      <c r="H133" s="2">
        <f t="shared" ca="1" si="12"/>
        <v>1.6647497953249356E-4</v>
      </c>
      <c r="I133" s="2">
        <f t="shared" ca="1" si="13"/>
        <v>0</v>
      </c>
    </row>
    <row r="134" spans="2:9" x14ac:dyDescent="0.2">
      <c r="B134" s="4">
        <f t="shared" ca="1" si="20"/>
        <v>44171</v>
      </c>
      <c r="C134">
        <f t="shared" si="20"/>
        <v>123</v>
      </c>
      <c r="D134">
        <f t="shared" ca="1" si="11"/>
        <v>1</v>
      </c>
      <c r="E134" s="2">
        <f t="shared" ca="1" si="15"/>
        <v>0</v>
      </c>
      <c r="F134" s="2">
        <f t="shared" ca="1" si="18"/>
        <v>0</v>
      </c>
      <c r="G134" s="2">
        <f t="shared" ca="1" si="16"/>
        <v>0.31980719752294817</v>
      </c>
      <c r="H134" s="2">
        <f t="shared" ca="1" si="12"/>
        <v>0</v>
      </c>
      <c r="I134" s="2">
        <f t="shared" ca="1" si="13"/>
        <v>0</v>
      </c>
    </row>
    <row r="135" spans="2:9" x14ac:dyDescent="0.2">
      <c r="B135" s="4">
        <f t="shared" ca="1" si="20"/>
        <v>44172</v>
      </c>
      <c r="C135">
        <f t="shared" si="20"/>
        <v>124</v>
      </c>
      <c r="D135">
        <f t="shared" ca="1" si="11"/>
        <v>2</v>
      </c>
      <c r="E135" s="2">
        <f t="shared" ca="1" si="15"/>
        <v>0</v>
      </c>
      <c r="F135" s="2">
        <f t="shared" ca="1" si="18"/>
        <v>0</v>
      </c>
      <c r="G135" s="2">
        <f t="shared" ca="1" si="16"/>
        <v>0.31980719752294817</v>
      </c>
      <c r="H135" s="2">
        <f t="shared" ca="1" si="12"/>
        <v>0</v>
      </c>
      <c r="I135" s="2">
        <f t="shared" ca="1" si="13"/>
        <v>0</v>
      </c>
    </row>
    <row r="136" spans="2:9" x14ac:dyDescent="0.2">
      <c r="B136" s="4">
        <f t="shared" ca="1" si="20"/>
        <v>44173</v>
      </c>
      <c r="C136">
        <f t="shared" si="20"/>
        <v>125</v>
      </c>
      <c r="D136">
        <f t="shared" ca="1" si="11"/>
        <v>3</v>
      </c>
      <c r="E136" s="2">
        <f t="shared" ca="1" si="15"/>
        <v>0</v>
      </c>
      <c r="F136" s="2">
        <f t="shared" ca="1" si="18"/>
        <v>0</v>
      </c>
      <c r="G136" s="2">
        <f t="shared" ca="1" si="16"/>
        <v>0.31980719752294817</v>
      </c>
      <c r="H136" s="2">
        <f t="shared" ca="1" si="12"/>
        <v>0</v>
      </c>
      <c r="I136" s="2">
        <f t="shared" ca="1" si="13"/>
        <v>0</v>
      </c>
    </row>
    <row r="137" spans="2:9" x14ac:dyDescent="0.2">
      <c r="B137" s="4">
        <f t="shared" ca="1" si="20"/>
        <v>44174</v>
      </c>
      <c r="C137">
        <f t="shared" si="20"/>
        <v>126</v>
      </c>
      <c r="D137">
        <f t="shared" ca="1" si="11"/>
        <v>4</v>
      </c>
      <c r="E137" s="2">
        <f t="shared" ca="1" si="15"/>
        <v>0</v>
      </c>
      <c r="F137" s="2">
        <f t="shared" ca="1" si="18"/>
        <v>0</v>
      </c>
      <c r="G137" s="2">
        <f t="shared" ca="1" si="16"/>
        <v>0.31980719752294817</v>
      </c>
      <c r="H137" s="2">
        <f t="shared" ca="1" si="12"/>
        <v>0</v>
      </c>
      <c r="I137" s="2">
        <f t="shared" ca="1" si="13"/>
        <v>0</v>
      </c>
    </row>
    <row r="138" spans="2:9" x14ac:dyDescent="0.2">
      <c r="B138" s="4">
        <f t="shared" ca="1" si="20"/>
        <v>44175</v>
      </c>
      <c r="C138">
        <f t="shared" si="20"/>
        <v>127</v>
      </c>
      <c r="D138">
        <f t="shared" ca="1" si="11"/>
        <v>5</v>
      </c>
      <c r="E138" s="2">
        <f t="shared" ca="1" si="15"/>
        <v>0</v>
      </c>
      <c r="F138" s="2">
        <f t="shared" ca="1" si="18"/>
        <v>0</v>
      </c>
      <c r="G138" s="2">
        <f t="shared" ca="1" si="16"/>
        <v>0.31980719752294817</v>
      </c>
      <c r="H138" s="2">
        <f t="shared" ca="1" si="12"/>
        <v>0</v>
      </c>
      <c r="I138" s="2">
        <f t="shared" ca="1" si="13"/>
        <v>0</v>
      </c>
    </row>
    <row r="139" spans="2:9" x14ac:dyDescent="0.2">
      <c r="B139" s="4">
        <f t="shared" ca="1" si="20"/>
        <v>44176</v>
      </c>
      <c r="C139">
        <f t="shared" si="20"/>
        <v>128</v>
      </c>
      <c r="D139">
        <f t="shared" ca="1" si="11"/>
        <v>6</v>
      </c>
      <c r="E139" s="2">
        <f t="shared" ca="1" si="15"/>
        <v>0</v>
      </c>
      <c r="F139" s="2">
        <f t="shared" ca="1" si="18"/>
        <v>0</v>
      </c>
      <c r="G139" s="2">
        <f t="shared" ca="1" si="16"/>
        <v>0.31980719752294817</v>
      </c>
      <c r="H139" s="2">
        <f t="shared" ca="1" si="12"/>
        <v>0</v>
      </c>
      <c r="I139" s="2">
        <f t="shared" ca="1" si="13"/>
        <v>0</v>
      </c>
    </row>
    <row r="140" spans="2:9" x14ac:dyDescent="0.2">
      <c r="B140" s="4">
        <f t="shared" ca="1" si="20"/>
        <v>44177</v>
      </c>
      <c r="C140">
        <f t="shared" si="20"/>
        <v>129</v>
      </c>
      <c r="D140">
        <f t="shared" ref="D140:D203" ca="1" si="21">WEEKDAY(B140,1)</f>
        <v>7</v>
      </c>
      <c r="E140" s="2">
        <f t="shared" ca="1" si="15"/>
        <v>0</v>
      </c>
      <c r="F140" s="2">
        <f t="shared" ca="1" si="18"/>
        <v>0</v>
      </c>
      <c r="G140" s="2">
        <f t="shared" ca="1" si="16"/>
        <v>0.31980719752294817</v>
      </c>
      <c r="H140" s="2">
        <f t="shared" ref="H140:H203" ca="1" si="22">IF(C140&gt;$C$7,0,(G140)*$C$5/365)</f>
        <v>0</v>
      </c>
      <c r="I140" s="2">
        <f t="shared" ref="I140:I203" ca="1" si="23">IF(AND(C140=0,D140=7),$C$6,IF(C140=$C$7,0,IF(C140&lt;$C$7,IF(D140=7,$C$6,0),0)))</f>
        <v>0</v>
      </c>
    </row>
    <row r="141" spans="2:9" x14ac:dyDescent="0.2">
      <c r="B141" s="4">
        <f t="shared" ref="B141:C156" ca="1" si="24">B140+1</f>
        <v>44178</v>
      </c>
      <c r="C141">
        <f t="shared" si="24"/>
        <v>130</v>
      </c>
      <c r="D141">
        <f t="shared" ca="1" si="21"/>
        <v>1</v>
      </c>
      <c r="E141" s="2">
        <f t="shared" ref="E141:E204" ca="1" si="25">IF(C141&gt;$C$7,0,G140+H140+I140)</f>
        <v>0</v>
      </c>
      <c r="F141" s="2">
        <f t="shared" ca="1" si="18"/>
        <v>0</v>
      </c>
      <c r="G141" s="2">
        <f t="shared" ref="G141:G204" ca="1" si="26">IF(C141&gt;$C$7,G140,E141-F141)</f>
        <v>0.31980719752294817</v>
      </c>
      <c r="H141" s="2">
        <f t="shared" ca="1" si="22"/>
        <v>0</v>
      </c>
      <c r="I141" s="2">
        <f t="shared" ca="1" si="23"/>
        <v>0</v>
      </c>
    </row>
    <row r="142" spans="2:9" x14ac:dyDescent="0.2">
      <c r="B142" s="4">
        <f t="shared" ca="1" si="24"/>
        <v>44179</v>
      </c>
      <c r="C142">
        <f t="shared" si="24"/>
        <v>131</v>
      </c>
      <c r="D142">
        <f t="shared" ca="1" si="21"/>
        <v>2</v>
      </c>
      <c r="E142" s="2">
        <f t="shared" ca="1" si="25"/>
        <v>0</v>
      </c>
      <c r="F142" s="2">
        <f t="shared" ca="1" si="18"/>
        <v>0</v>
      </c>
      <c r="G142" s="2">
        <f t="shared" ca="1" si="26"/>
        <v>0.31980719752294817</v>
      </c>
      <c r="H142" s="2">
        <f t="shared" ca="1" si="22"/>
        <v>0</v>
      </c>
      <c r="I142" s="2">
        <f t="shared" ca="1" si="23"/>
        <v>0</v>
      </c>
    </row>
    <row r="143" spans="2:9" x14ac:dyDescent="0.2">
      <c r="B143" s="4">
        <f t="shared" ca="1" si="24"/>
        <v>44180</v>
      </c>
      <c r="C143">
        <f t="shared" si="24"/>
        <v>132</v>
      </c>
      <c r="D143">
        <f t="shared" ca="1" si="21"/>
        <v>3</v>
      </c>
      <c r="E143" s="2">
        <f t="shared" ca="1" si="25"/>
        <v>0</v>
      </c>
      <c r="F143" s="2">
        <f t="shared" ca="1" si="18"/>
        <v>0</v>
      </c>
      <c r="G143" s="2">
        <f t="shared" ca="1" si="26"/>
        <v>0.31980719752294817</v>
      </c>
      <c r="H143" s="2">
        <f t="shared" ca="1" si="22"/>
        <v>0</v>
      </c>
      <c r="I143" s="2">
        <f t="shared" ca="1" si="23"/>
        <v>0</v>
      </c>
    </row>
    <row r="144" spans="2:9" x14ac:dyDescent="0.2">
      <c r="B144" s="4">
        <f t="shared" ca="1" si="24"/>
        <v>44181</v>
      </c>
      <c r="C144">
        <f t="shared" si="24"/>
        <v>133</v>
      </c>
      <c r="D144">
        <f t="shared" ca="1" si="21"/>
        <v>4</v>
      </c>
      <c r="E144" s="2">
        <f t="shared" ca="1" si="25"/>
        <v>0</v>
      </c>
      <c r="F144" s="2">
        <f t="shared" ca="1" si="18"/>
        <v>0</v>
      </c>
      <c r="G144" s="2">
        <f t="shared" ca="1" si="26"/>
        <v>0.31980719752294817</v>
      </c>
      <c r="H144" s="2">
        <f t="shared" ca="1" si="22"/>
        <v>0</v>
      </c>
      <c r="I144" s="2">
        <f t="shared" ca="1" si="23"/>
        <v>0</v>
      </c>
    </row>
    <row r="145" spans="2:9" x14ac:dyDescent="0.2">
      <c r="B145" s="4">
        <f t="shared" ca="1" si="24"/>
        <v>44182</v>
      </c>
      <c r="C145">
        <f t="shared" si="24"/>
        <v>134</v>
      </c>
      <c r="D145">
        <f t="shared" ca="1" si="21"/>
        <v>5</v>
      </c>
      <c r="E145" s="2">
        <f t="shared" ca="1" si="25"/>
        <v>0</v>
      </c>
      <c r="F145" s="2">
        <f t="shared" ca="1" si="18"/>
        <v>0</v>
      </c>
      <c r="G145" s="2">
        <f t="shared" ca="1" si="26"/>
        <v>0.31980719752294817</v>
      </c>
      <c r="H145" s="2">
        <f t="shared" ca="1" si="22"/>
        <v>0</v>
      </c>
      <c r="I145" s="2">
        <f t="shared" ca="1" si="23"/>
        <v>0</v>
      </c>
    </row>
    <row r="146" spans="2:9" x14ac:dyDescent="0.2">
      <c r="B146" s="4">
        <f t="shared" ca="1" si="24"/>
        <v>44183</v>
      </c>
      <c r="C146">
        <f t="shared" si="24"/>
        <v>135</v>
      </c>
      <c r="D146">
        <f t="shared" ca="1" si="21"/>
        <v>6</v>
      </c>
      <c r="E146" s="2">
        <f t="shared" ca="1" si="25"/>
        <v>0</v>
      </c>
      <c r="F146" s="2">
        <f t="shared" ca="1" si="18"/>
        <v>0</v>
      </c>
      <c r="G146" s="2">
        <f t="shared" ca="1" si="26"/>
        <v>0.31980719752294817</v>
      </c>
      <c r="H146" s="2">
        <f t="shared" ca="1" si="22"/>
        <v>0</v>
      </c>
      <c r="I146" s="2">
        <f t="shared" ca="1" si="23"/>
        <v>0</v>
      </c>
    </row>
    <row r="147" spans="2:9" x14ac:dyDescent="0.2">
      <c r="B147" s="4">
        <f t="shared" ca="1" si="24"/>
        <v>44184</v>
      </c>
      <c r="C147">
        <f t="shared" si="24"/>
        <v>136</v>
      </c>
      <c r="D147">
        <f t="shared" ca="1" si="21"/>
        <v>7</v>
      </c>
      <c r="E147" s="2">
        <f t="shared" ca="1" si="25"/>
        <v>0</v>
      </c>
      <c r="F147" s="2">
        <f t="shared" ca="1" si="18"/>
        <v>0</v>
      </c>
      <c r="G147" s="2">
        <f t="shared" ca="1" si="26"/>
        <v>0.31980719752294817</v>
      </c>
      <c r="H147" s="2">
        <f t="shared" ca="1" si="22"/>
        <v>0</v>
      </c>
      <c r="I147" s="2">
        <f t="shared" ca="1" si="23"/>
        <v>0</v>
      </c>
    </row>
    <row r="148" spans="2:9" x14ac:dyDescent="0.2">
      <c r="B148" s="4">
        <f t="shared" ca="1" si="24"/>
        <v>44185</v>
      </c>
      <c r="C148">
        <f t="shared" si="24"/>
        <v>137</v>
      </c>
      <c r="D148">
        <f t="shared" ca="1" si="21"/>
        <v>1</v>
      </c>
      <c r="E148" s="2">
        <f t="shared" ca="1" si="25"/>
        <v>0</v>
      </c>
      <c r="F148" s="2">
        <f t="shared" ca="1" si="18"/>
        <v>0</v>
      </c>
      <c r="G148" s="2">
        <f t="shared" ca="1" si="26"/>
        <v>0.31980719752294817</v>
      </c>
      <c r="H148" s="2">
        <f t="shared" ca="1" si="22"/>
        <v>0</v>
      </c>
      <c r="I148" s="2">
        <f t="shared" ca="1" si="23"/>
        <v>0</v>
      </c>
    </row>
    <row r="149" spans="2:9" x14ac:dyDescent="0.2">
      <c r="B149" s="4">
        <f t="shared" ca="1" si="24"/>
        <v>44186</v>
      </c>
      <c r="C149">
        <f t="shared" si="24"/>
        <v>138</v>
      </c>
      <c r="D149">
        <f t="shared" ca="1" si="21"/>
        <v>2</v>
      </c>
      <c r="E149" s="2">
        <f t="shared" ca="1" si="25"/>
        <v>0</v>
      </c>
      <c r="F149" s="2">
        <f t="shared" ca="1" si="18"/>
        <v>0</v>
      </c>
      <c r="G149" s="2">
        <f t="shared" ca="1" si="26"/>
        <v>0.31980719752294817</v>
      </c>
      <c r="H149" s="2">
        <f t="shared" ca="1" si="22"/>
        <v>0</v>
      </c>
      <c r="I149" s="2">
        <f t="shared" ca="1" si="23"/>
        <v>0</v>
      </c>
    </row>
    <row r="150" spans="2:9" x14ac:dyDescent="0.2">
      <c r="B150" s="4">
        <f t="shared" ca="1" si="24"/>
        <v>44187</v>
      </c>
      <c r="C150">
        <f t="shared" si="24"/>
        <v>139</v>
      </c>
      <c r="D150">
        <f t="shared" ca="1" si="21"/>
        <v>3</v>
      </c>
      <c r="E150" s="2">
        <f t="shared" ca="1" si="25"/>
        <v>0</v>
      </c>
      <c r="F150" s="2">
        <f t="shared" ca="1" si="18"/>
        <v>0</v>
      </c>
      <c r="G150" s="2">
        <f t="shared" ca="1" si="26"/>
        <v>0.31980719752294817</v>
      </c>
      <c r="H150" s="2">
        <f t="shared" ca="1" si="22"/>
        <v>0</v>
      </c>
      <c r="I150" s="2">
        <f t="shared" ca="1" si="23"/>
        <v>0</v>
      </c>
    </row>
    <row r="151" spans="2:9" x14ac:dyDescent="0.2">
      <c r="B151" s="4">
        <f t="shared" ca="1" si="24"/>
        <v>44188</v>
      </c>
      <c r="C151">
        <f t="shared" si="24"/>
        <v>140</v>
      </c>
      <c r="D151">
        <f t="shared" ca="1" si="21"/>
        <v>4</v>
      </c>
      <c r="E151" s="2">
        <f t="shared" ca="1" si="25"/>
        <v>0</v>
      </c>
      <c r="F151" s="2">
        <f t="shared" ca="1" si="18"/>
        <v>0</v>
      </c>
      <c r="G151" s="2">
        <f t="shared" ca="1" si="26"/>
        <v>0.31980719752294817</v>
      </c>
      <c r="H151" s="2">
        <f t="shared" ca="1" si="22"/>
        <v>0</v>
      </c>
      <c r="I151" s="2">
        <f t="shared" ca="1" si="23"/>
        <v>0</v>
      </c>
    </row>
    <row r="152" spans="2:9" x14ac:dyDescent="0.2">
      <c r="B152" s="4">
        <f t="shared" ca="1" si="24"/>
        <v>44189</v>
      </c>
      <c r="C152">
        <f t="shared" si="24"/>
        <v>141</v>
      </c>
      <c r="D152">
        <f t="shared" ca="1" si="21"/>
        <v>5</v>
      </c>
      <c r="E152" s="2">
        <f t="shared" ca="1" si="25"/>
        <v>0</v>
      </c>
      <c r="F152" s="2">
        <f t="shared" ca="1" si="18"/>
        <v>0</v>
      </c>
      <c r="G152" s="2">
        <f t="shared" ca="1" si="26"/>
        <v>0.31980719752294817</v>
      </c>
      <c r="H152" s="2">
        <f t="shared" ca="1" si="22"/>
        <v>0</v>
      </c>
      <c r="I152" s="2">
        <f t="shared" ca="1" si="23"/>
        <v>0</v>
      </c>
    </row>
    <row r="153" spans="2:9" x14ac:dyDescent="0.2">
      <c r="B153" s="4">
        <f t="shared" ca="1" si="24"/>
        <v>44190</v>
      </c>
      <c r="C153">
        <f t="shared" si="24"/>
        <v>142</v>
      </c>
      <c r="D153">
        <f t="shared" ca="1" si="21"/>
        <v>6</v>
      </c>
      <c r="E153" s="2">
        <f t="shared" ca="1" si="25"/>
        <v>0</v>
      </c>
      <c r="F153" s="2">
        <f t="shared" ca="1" si="18"/>
        <v>0</v>
      </c>
      <c r="G153" s="2">
        <f t="shared" ca="1" si="26"/>
        <v>0.31980719752294817</v>
      </c>
      <c r="H153" s="2">
        <f t="shared" ca="1" si="22"/>
        <v>0</v>
      </c>
      <c r="I153" s="2">
        <f t="shared" ca="1" si="23"/>
        <v>0</v>
      </c>
    </row>
    <row r="154" spans="2:9" x14ac:dyDescent="0.2">
      <c r="B154" s="4">
        <f t="shared" ca="1" si="24"/>
        <v>44191</v>
      </c>
      <c r="C154">
        <f t="shared" si="24"/>
        <v>143</v>
      </c>
      <c r="D154">
        <f t="shared" ca="1" si="21"/>
        <v>7</v>
      </c>
      <c r="E154" s="2">
        <f t="shared" ca="1" si="25"/>
        <v>0</v>
      </c>
      <c r="F154" s="2">
        <f t="shared" ca="1" si="18"/>
        <v>0</v>
      </c>
      <c r="G154" s="2">
        <f t="shared" ca="1" si="26"/>
        <v>0.31980719752294817</v>
      </c>
      <c r="H154" s="2">
        <f t="shared" ca="1" si="22"/>
        <v>0</v>
      </c>
      <c r="I154" s="2">
        <f t="shared" ca="1" si="23"/>
        <v>0</v>
      </c>
    </row>
    <row r="155" spans="2:9" x14ac:dyDescent="0.2">
      <c r="B155" s="4">
        <f t="shared" ca="1" si="24"/>
        <v>44192</v>
      </c>
      <c r="C155">
        <f t="shared" si="24"/>
        <v>144</v>
      </c>
      <c r="D155">
        <f t="shared" ca="1" si="21"/>
        <v>1</v>
      </c>
      <c r="E155" s="2">
        <f t="shared" ca="1" si="25"/>
        <v>0</v>
      </c>
      <c r="F155" s="2">
        <f t="shared" ca="1" si="18"/>
        <v>0</v>
      </c>
      <c r="G155" s="2">
        <f t="shared" ca="1" si="26"/>
        <v>0.31980719752294817</v>
      </c>
      <c r="H155" s="2">
        <f t="shared" ca="1" si="22"/>
        <v>0</v>
      </c>
      <c r="I155" s="2">
        <f t="shared" ca="1" si="23"/>
        <v>0</v>
      </c>
    </row>
    <row r="156" spans="2:9" x14ac:dyDescent="0.2">
      <c r="B156" s="4">
        <f t="shared" ca="1" si="24"/>
        <v>44193</v>
      </c>
      <c r="C156">
        <f t="shared" si="24"/>
        <v>145</v>
      </c>
      <c r="D156">
        <f t="shared" ca="1" si="21"/>
        <v>2</v>
      </c>
      <c r="E156" s="2">
        <f t="shared" ca="1" si="25"/>
        <v>0</v>
      </c>
      <c r="F156" s="2">
        <f t="shared" ca="1" si="18"/>
        <v>0</v>
      </c>
      <c r="G156" s="2">
        <f t="shared" ca="1" si="26"/>
        <v>0.31980719752294817</v>
      </c>
      <c r="H156" s="2">
        <f t="shared" ca="1" si="22"/>
        <v>0</v>
      </c>
      <c r="I156" s="2">
        <f t="shared" ca="1" si="23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1"/>
        <v>3</v>
      </c>
      <c r="E157" s="2">
        <f t="shared" ca="1" si="25"/>
        <v>0</v>
      </c>
      <c r="F157" s="2">
        <f t="shared" ca="1" si="18"/>
        <v>0</v>
      </c>
      <c r="G157" s="2">
        <f t="shared" ca="1" si="26"/>
        <v>0.31980719752294817</v>
      </c>
      <c r="H157" s="2">
        <f t="shared" ca="1" si="22"/>
        <v>0</v>
      </c>
      <c r="I157" s="2">
        <f t="shared" ca="1" si="23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1"/>
        <v>4</v>
      </c>
      <c r="E158" s="2">
        <f t="shared" ca="1" si="25"/>
        <v>0</v>
      </c>
      <c r="F158" s="2">
        <f t="shared" ca="1" si="18"/>
        <v>0</v>
      </c>
      <c r="G158" s="2">
        <f t="shared" ca="1" si="26"/>
        <v>0.31980719752294817</v>
      </c>
      <c r="H158" s="2">
        <f t="shared" ca="1" si="22"/>
        <v>0</v>
      </c>
      <c r="I158" s="2">
        <f t="shared" ca="1" si="23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1"/>
        <v>5</v>
      </c>
      <c r="E159" s="2">
        <f t="shared" ca="1" si="25"/>
        <v>0</v>
      </c>
      <c r="F159" s="2">
        <f t="shared" ca="1" si="18"/>
        <v>0</v>
      </c>
      <c r="G159" s="2">
        <f t="shared" ca="1" si="26"/>
        <v>0.31980719752294817</v>
      </c>
      <c r="H159" s="2">
        <f t="shared" ca="1" si="22"/>
        <v>0</v>
      </c>
      <c r="I159" s="2">
        <f t="shared" ca="1" si="23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1"/>
        <v>6</v>
      </c>
      <c r="E160" s="2">
        <f t="shared" ca="1" si="25"/>
        <v>0</v>
      </c>
      <c r="F160" s="2">
        <f t="shared" ca="1" si="18"/>
        <v>0</v>
      </c>
      <c r="G160" s="2">
        <f t="shared" ca="1" si="26"/>
        <v>0.31980719752294817</v>
      </c>
      <c r="H160" s="2">
        <f t="shared" ca="1" si="22"/>
        <v>0</v>
      </c>
      <c r="I160" s="2">
        <f t="shared" ca="1" si="23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1"/>
        <v>7</v>
      </c>
      <c r="E161" s="2">
        <f t="shared" ca="1" si="25"/>
        <v>0</v>
      </c>
      <c r="F161" s="2">
        <f t="shared" ca="1" si="18"/>
        <v>0</v>
      </c>
      <c r="G161" s="2">
        <f t="shared" ca="1" si="26"/>
        <v>0.31980719752294817</v>
      </c>
      <c r="H161" s="2">
        <f t="shared" ca="1" si="22"/>
        <v>0</v>
      </c>
      <c r="I161" s="2">
        <f t="shared" ca="1" si="23"/>
        <v>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1"/>
        <v>1</v>
      </c>
      <c r="E162" s="2">
        <f t="shared" ca="1" si="25"/>
        <v>0</v>
      </c>
      <c r="F162" s="2">
        <f t="shared" ca="1" si="18"/>
        <v>0</v>
      </c>
      <c r="G162" s="2">
        <f t="shared" ca="1" si="26"/>
        <v>0.31980719752294817</v>
      </c>
      <c r="H162" s="2">
        <f t="shared" ca="1" si="22"/>
        <v>0</v>
      </c>
      <c r="I162" s="2">
        <f t="shared" ca="1" si="23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1"/>
        <v>2</v>
      </c>
      <c r="E163" s="2">
        <f t="shared" ca="1" si="25"/>
        <v>0</v>
      </c>
      <c r="F163" s="2">
        <f t="shared" ca="1" si="18"/>
        <v>0</v>
      </c>
      <c r="G163" s="2">
        <f t="shared" ca="1" si="26"/>
        <v>0.31980719752294817</v>
      </c>
      <c r="H163" s="2">
        <f t="shared" ca="1" si="22"/>
        <v>0</v>
      </c>
      <c r="I163" s="2">
        <f t="shared" ca="1" si="23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1"/>
        <v>3</v>
      </c>
      <c r="E164" s="2">
        <f t="shared" ca="1" si="25"/>
        <v>0</v>
      </c>
      <c r="F164" s="2">
        <f t="shared" ref="F164:F211" ca="1" si="28">IF(C164&gt;$C$7,0,IF(ROUND(E164,0)&gt;0,IF(C164=0,0,IF(DAY($F$2)&lt;&gt;DAY(B164),0,$C$8)),0))</f>
        <v>0</v>
      </c>
      <c r="G164" s="2">
        <f t="shared" ca="1" si="26"/>
        <v>0.31980719752294817</v>
      </c>
      <c r="H164" s="2">
        <f t="shared" ca="1" si="22"/>
        <v>0</v>
      </c>
      <c r="I164" s="2">
        <f t="shared" ca="1" si="23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1"/>
        <v>4</v>
      </c>
      <c r="E165" s="2">
        <f t="shared" ca="1" si="25"/>
        <v>0</v>
      </c>
      <c r="F165" s="2">
        <f t="shared" ca="1" si="28"/>
        <v>0</v>
      </c>
      <c r="G165" s="2">
        <f t="shared" ca="1" si="26"/>
        <v>0.31980719752294817</v>
      </c>
      <c r="H165" s="2">
        <f t="shared" ca="1" si="22"/>
        <v>0</v>
      </c>
      <c r="I165" s="2">
        <f t="shared" ca="1" si="23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1"/>
        <v>5</v>
      </c>
      <c r="E166" s="2">
        <f t="shared" ca="1" si="25"/>
        <v>0</v>
      </c>
      <c r="F166" s="2">
        <f t="shared" ca="1" si="28"/>
        <v>0</v>
      </c>
      <c r="G166" s="2">
        <f t="shared" ca="1" si="26"/>
        <v>0.31980719752294817</v>
      </c>
      <c r="H166" s="2">
        <f t="shared" ca="1" si="22"/>
        <v>0</v>
      </c>
      <c r="I166" s="2">
        <f t="shared" ca="1" si="23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1"/>
        <v>6</v>
      </c>
      <c r="E167" s="2">
        <f t="shared" ca="1" si="25"/>
        <v>0</v>
      </c>
      <c r="F167" s="2">
        <f t="shared" ca="1" si="28"/>
        <v>0</v>
      </c>
      <c r="G167" s="2">
        <f t="shared" ca="1" si="26"/>
        <v>0.31980719752294817</v>
      </c>
      <c r="H167" s="2">
        <f t="shared" ca="1" si="22"/>
        <v>0</v>
      </c>
      <c r="I167" s="2">
        <f t="shared" ca="1" si="23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1"/>
        <v>7</v>
      </c>
      <c r="E168" s="2">
        <f t="shared" ca="1" si="25"/>
        <v>0</v>
      </c>
      <c r="F168" s="2">
        <f t="shared" ca="1" si="28"/>
        <v>0</v>
      </c>
      <c r="G168" s="2">
        <f t="shared" ca="1" si="26"/>
        <v>0.31980719752294817</v>
      </c>
      <c r="H168" s="2">
        <f t="shared" ca="1" si="22"/>
        <v>0</v>
      </c>
      <c r="I168" s="2">
        <f t="shared" ca="1" si="23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1"/>
        <v>1</v>
      </c>
      <c r="E169" s="2">
        <f t="shared" ca="1" si="25"/>
        <v>0</v>
      </c>
      <c r="F169" s="2">
        <f t="shared" ca="1" si="28"/>
        <v>0</v>
      </c>
      <c r="G169" s="2">
        <f t="shared" ca="1" si="26"/>
        <v>0.31980719752294817</v>
      </c>
      <c r="H169" s="2">
        <f t="shared" ca="1" si="22"/>
        <v>0</v>
      </c>
      <c r="I169" s="2">
        <f t="shared" ca="1" si="23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1"/>
        <v>2</v>
      </c>
      <c r="E170" s="2">
        <f t="shared" ca="1" si="25"/>
        <v>0</v>
      </c>
      <c r="F170" s="2">
        <f t="shared" ca="1" si="28"/>
        <v>0</v>
      </c>
      <c r="G170" s="2">
        <f t="shared" ca="1" si="26"/>
        <v>0.31980719752294817</v>
      </c>
      <c r="H170" s="2">
        <f t="shared" ca="1" si="22"/>
        <v>0</v>
      </c>
      <c r="I170" s="2">
        <f t="shared" ca="1" si="23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1"/>
        <v>3</v>
      </c>
      <c r="E171" s="2">
        <f t="shared" ca="1" si="25"/>
        <v>0</v>
      </c>
      <c r="F171" s="2">
        <f t="shared" ca="1" si="28"/>
        <v>0</v>
      </c>
      <c r="G171" s="2">
        <f t="shared" ca="1" si="26"/>
        <v>0.31980719752294817</v>
      </c>
      <c r="H171" s="2">
        <f t="shared" ca="1" si="22"/>
        <v>0</v>
      </c>
      <c r="I171" s="2">
        <f t="shared" ca="1" si="23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1"/>
        <v>4</v>
      </c>
      <c r="E172" s="2">
        <f t="shared" ca="1" si="25"/>
        <v>0</v>
      </c>
      <c r="F172" s="2">
        <f t="shared" ca="1" si="28"/>
        <v>0</v>
      </c>
      <c r="G172" s="2">
        <f t="shared" ca="1" si="26"/>
        <v>0.31980719752294817</v>
      </c>
      <c r="H172" s="2">
        <f t="shared" ca="1" si="22"/>
        <v>0</v>
      </c>
      <c r="I172" s="2">
        <f t="shared" ca="1" si="23"/>
        <v>0</v>
      </c>
    </row>
    <row r="173" spans="2:9" x14ac:dyDescent="0.2">
      <c r="B173" s="4">
        <f t="shared" ref="B173:C188" ca="1" si="29">B172+1</f>
        <v>44210</v>
      </c>
      <c r="C173">
        <f t="shared" si="29"/>
        <v>162</v>
      </c>
      <c r="D173">
        <f t="shared" ca="1" si="21"/>
        <v>5</v>
      </c>
      <c r="E173" s="2">
        <f t="shared" ca="1" si="25"/>
        <v>0</v>
      </c>
      <c r="F173" s="2">
        <f t="shared" ca="1" si="28"/>
        <v>0</v>
      </c>
      <c r="G173" s="2">
        <f t="shared" ca="1" si="26"/>
        <v>0.31980719752294817</v>
      </c>
      <c r="H173" s="2">
        <f t="shared" ca="1" si="22"/>
        <v>0</v>
      </c>
      <c r="I173" s="2">
        <f t="shared" ca="1" si="23"/>
        <v>0</v>
      </c>
    </row>
    <row r="174" spans="2:9" x14ac:dyDescent="0.2">
      <c r="B174" s="4">
        <f t="shared" ca="1" si="29"/>
        <v>44211</v>
      </c>
      <c r="C174">
        <f t="shared" si="29"/>
        <v>163</v>
      </c>
      <c r="D174">
        <f t="shared" ca="1" si="21"/>
        <v>6</v>
      </c>
      <c r="E174" s="2">
        <f t="shared" ca="1" si="25"/>
        <v>0</v>
      </c>
      <c r="F174" s="2">
        <f t="shared" ca="1" si="28"/>
        <v>0</v>
      </c>
      <c r="G174" s="2">
        <f t="shared" ca="1" si="26"/>
        <v>0.31980719752294817</v>
      </c>
      <c r="H174" s="2">
        <f t="shared" ca="1" si="22"/>
        <v>0</v>
      </c>
      <c r="I174" s="2">
        <f t="shared" ca="1" si="23"/>
        <v>0</v>
      </c>
    </row>
    <row r="175" spans="2:9" x14ac:dyDescent="0.2">
      <c r="B175" s="4">
        <f t="shared" ca="1" si="29"/>
        <v>44212</v>
      </c>
      <c r="C175">
        <f t="shared" si="29"/>
        <v>164</v>
      </c>
      <c r="D175">
        <f t="shared" ca="1" si="21"/>
        <v>7</v>
      </c>
      <c r="E175" s="2">
        <f t="shared" ca="1" si="25"/>
        <v>0</v>
      </c>
      <c r="F175" s="2">
        <f t="shared" ca="1" si="28"/>
        <v>0</v>
      </c>
      <c r="G175" s="2">
        <f t="shared" ca="1" si="26"/>
        <v>0.31980719752294817</v>
      </c>
      <c r="H175" s="2">
        <f t="shared" ca="1" si="22"/>
        <v>0</v>
      </c>
      <c r="I175" s="2">
        <f t="shared" ca="1" si="23"/>
        <v>0</v>
      </c>
    </row>
    <row r="176" spans="2:9" x14ac:dyDescent="0.2">
      <c r="B176" s="4">
        <f t="shared" ca="1" si="29"/>
        <v>44213</v>
      </c>
      <c r="C176">
        <f t="shared" si="29"/>
        <v>165</v>
      </c>
      <c r="D176">
        <f t="shared" ca="1" si="21"/>
        <v>1</v>
      </c>
      <c r="E176" s="2">
        <f t="shared" ca="1" si="25"/>
        <v>0</v>
      </c>
      <c r="F176" s="2">
        <f t="shared" ca="1" si="28"/>
        <v>0</v>
      </c>
      <c r="G176" s="2">
        <f t="shared" ca="1" si="26"/>
        <v>0.31980719752294817</v>
      </c>
      <c r="H176" s="2">
        <f t="shared" ca="1" si="22"/>
        <v>0</v>
      </c>
      <c r="I176" s="2">
        <f t="shared" ca="1" si="23"/>
        <v>0</v>
      </c>
    </row>
    <row r="177" spans="2:9" x14ac:dyDescent="0.2">
      <c r="B177" s="4">
        <f t="shared" ca="1" si="29"/>
        <v>44214</v>
      </c>
      <c r="C177">
        <f t="shared" si="29"/>
        <v>166</v>
      </c>
      <c r="D177">
        <f t="shared" ca="1" si="21"/>
        <v>2</v>
      </c>
      <c r="E177" s="2">
        <f t="shared" ca="1" si="25"/>
        <v>0</v>
      </c>
      <c r="F177" s="2">
        <f t="shared" ca="1" si="28"/>
        <v>0</v>
      </c>
      <c r="G177" s="2">
        <f t="shared" ca="1" si="26"/>
        <v>0.31980719752294817</v>
      </c>
      <c r="H177" s="2">
        <f t="shared" ca="1" si="22"/>
        <v>0</v>
      </c>
      <c r="I177" s="2">
        <f t="shared" ca="1" si="23"/>
        <v>0</v>
      </c>
    </row>
    <row r="178" spans="2:9" x14ac:dyDescent="0.2">
      <c r="B178" s="4">
        <f t="shared" ca="1" si="29"/>
        <v>44215</v>
      </c>
      <c r="C178">
        <f t="shared" si="29"/>
        <v>167</v>
      </c>
      <c r="D178">
        <f t="shared" ca="1" si="21"/>
        <v>3</v>
      </c>
      <c r="E178" s="2">
        <f t="shared" ca="1" si="25"/>
        <v>0</v>
      </c>
      <c r="F178" s="2">
        <f t="shared" ca="1" si="28"/>
        <v>0</v>
      </c>
      <c r="G178" s="2">
        <f t="shared" ca="1" si="26"/>
        <v>0.31980719752294817</v>
      </c>
      <c r="H178" s="2">
        <f t="shared" ca="1" si="22"/>
        <v>0</v>
      </c>
      <c r="I178" s="2">
        <f t="shared" ca="1" si="23"/>
        <v>0</v>
      </c>
    </row>
    <row r="179" spans="2:9" x14ac:dyDescent="0.2">
      <c r="B179" s="4">
        <f t="shared" ca="1" si="29"/>
        <v>44216</v>
      </c>
      <c r="C179">
        <f t="shared" si="29"/>
        <v>168</v>
      </c>
      <c r="D179">
        <f t="shared" ca="1" si="21"/>
        <v>4</v>
      </c>
      <c r="E179" s="2">
        <f t="shared" ca="1" si="25"/>
        <v>0</v>
      </c>
      <c r="F179" s="2">
        <f t="shared" ca="1" si="28"/>
        <v>0</v>
      </c>
      <c r="G179" s="2">
        <f t="shared" ca="1" si="26"/>
        <v>0.31980719752294817</v>
      </c>
      <c r="H179" s="2">
        <f t="shared" ca="1" si="22"/>
        <v>0</v>
      </c>
      <c r="I179" s="2">
        <f t="shared" ca="1" si="23"/>
        <v>0</v>
      </c>
    </row>
    <row r="180" spans="2:9" x14ac:dyDescent="0.2">
      <c r="B180" s="4">
        <f t="shared" ca="1" si="29"/>
        <v>44217</v>
      </c>
      <c r="C180">
        <f t="shared" si="29"/>
        <v>169</v>
      </c>
      <c r="D180">
        <f t="shared" ca="1" si="21"/>
        <v>5</v>
      </c>
      <c r="E180" s="2">
        <f t="shared" ca="1" si="25"/>
        <v>0</v>
      </c>
      <c r="F180" s="2">
        <f t="shared" ca="1" si="28"/>
        <v>0</v>
      </c>
      <c r="G180" s="2">
        <f t="shared" ca="1" si="26"/>
        <v>0.31980719752294817</v>
      </c>
      <c r="H180" s="2">
        <f t="shared" ca="1" si="22"/>
        <v>0</v>
      </c>
      <c r="I180" s="2">
        <f t="shared" ca="1" si="23"/>
        <v>0</v>
      </c>
    </row>
    <row r="181" spans="2:9" x14ac:dyDescent="0.2">
      <c r="B181" s="4">
        <f t="shared" ca="1" si="29"/>
        <v>44218</v>
      </c>
      <c r="C181">
        <f t="shared" si="29"/>
        <v>170</v>
      </c>
      <c r="D181">
        <f t="shared" ca="1" si="21"/>
        <v>6</v>
      </c>
      <c r="E181" s="2">
        <f t="shared" ca="1" si="25"/>
        <v>0</v>
      </c>
      <c r="F181" s="2">
        <f t="shared" ca="1" si="28"/>
        <v>0</v>
      </c>
      <c r="G181" s="2">
        <f t="shared" ca="1" si="26"/>
        <v>0.31980719752294817</v>
      </c>
      <c r="H181" s="2">
        <f t="shared" ca="1" si="22"/>
        <v>0</v>
      </c>
      <c r="I181" s="2">
        <f t="shared" ca="1" si="23"/>
        <v>0</v>
      </c>
    </row>
    <row r="182" spans="2:9" x14ac:dyDescent="0.2">
      <c r="B182" s="4">
        <f t="shared" ca="1" si="29"/>
        <v>44219</v>
      </c>
      <c r="C182">
        <f t="shared" si="29"/>
        <v>171</v>
      </c>
      <c r="D182">
        <f t="shared" ca="1" si="21"/>
        <v>7</v>
      </c>
      <c r="E182" s="2">
        <f t="shared" ca="1" si="25"/>
        <v>0</v>
      </c>
      <c r="F182" s="2">
        <f t="shared" ca="1" si="28"/>
        <v>0</v>
      </c>
      <c r="G182" s="2">
        <f t="shared" ca="1" si="26"/>
        <v>0.31980719752294817</v>
      </c>
      <c r="H182" s="2">
        <f t="shared" ca="1" si="22"/>
        <v>0</v>
      </c>
      <c r="I182" s="2">
        <f t="shared" ca="1" si="23"/>
        <v>0</v>
      </c>
    </row>
    <row r="183" spans="2:9" x14ac:dyDescent="0.2">
      <c r="B183" s="4">
        <f t="shared" ca="1" si="29"/>
        <v>44220</v>
      </c>
      <c r="C183">
        <f t="shared" si="29"/>
        <v>172</v>
      </c>
      <c r="D183">
        <f t="shared" ca="1" si="21"/>
        <v>1</v>
      </c>
      <c r="E183" s="2">
        <f t="shared" ca="1" si="25"/>
        <v>0</v>
      </c>
      <c r="F183" s="2">
        <f t="shared" ca="1" si="28"/>
        <v>0</v>
      </c>
      <c r="G183" s="2">
        <f t="shared" ca="1" si="26"/>
        <v>0.31980719752294817</v>
      </c>
      <c r="H183" s="2">
        <f t="shared" ca="1" si="22"/>
        <v>0</v>
      </c>
      <c r="I183" s="2">
        <f t="shared" ca="1" si="23"/>
        <v>0</v>
      </c>
    </row>
    <row r="184" spans="2:9" x14ac:dyDescent="0.2">
      <c r="B184" s="4">
        <f t="shared" ca="1" si="29"/>
        <v>44221</v>
      </c>
      <c r="C184">
        <f t="shared" si="29"/>
        <v>173</v>
      </c>
      <c r="D184">
        <f t="shared" ca="1" si="21"/>
        <v>2</v>
      </c>
      <c r="E184" s="2">
        <f t="shared" ca="1" si="25"/>
        <v>0</v>
      </c>
      <c r="F184" s="2">
        <f t="shared" ca="1" si="28"/>
        <v>0</v>
      </c>
      <c r="G184" s="2">
        <f t="shared" ca="1" si="26"/>
        <v>0.31980719752294817</v>
      </c>
      <c r="H184" s="2">
        <f t="shared" ca="1" si="22"/>
        <v>0</v>
      </c>
      <c r="I184" s="2">
        <f t="shared" ca="1" si="23"/>
        <v>0</v>
      </c>
    </row>
    <row r="185" spans="2:9" x14ac:dyDescent="0.2">
      <c r="B185" s="4">
        <f t="shared" ca="1" si="29"/>
        <v>44222</v>
      </c>
      <c r="C185">
        <f t="shared" si="29"/>
        <v>174</v>
      </c>
      <c r="D185">
        <f t="shared" ca="1" si="21"/>
        <v>3</v>
      </c>
      <c r="E185" s="2">
        <f t="shared" ca="1" si="25"/>
        <v>0</v>
      </c>
      <c r="F185" s="2">
        <f t="shared" ca="1" si="28"/>
        <v>0</v>
      </c>
      <c r="G185" s="2">
        <f t="shared" ca="1" si="26"/>
        <v>0.31980719752294817</v>
      </c>
      <c r="H185" s="2">
        <f t="shared" ca="1" si="22"/>
        <v>0</v>
      </c>
      <c r="I185" s="2">
        <f t="shared" ca="1" si="23"/>
        <v>0</v>
      </c>
    </row>
    <row r="186" spans="2:9" x14ac:dyDescent="0.2">
      <c r="B186" s="4">
        <f t="shared" ca="1" si="29"/>
        <v>44223</v>
      </c>
      <c r="C186">
        <f t="shared" si="29"/>
        <v>175</v>
      </c>
      <c r="D186">
        <f t="shared" ca="1" si="21"/>
        <v>4</v>
      </c>
      <c r="E186" s="2">
        <f t="shared" ca="1" si="25"/>
        <v>0</v>
      </c>
      <c r="F186" s="2">
        <f t="shared" ca="1" si="28"/>
        <v>0</v>
      </c>
      <c r="G186" s="2">
        <f t="shared" ca="1" si="26"/>
        <v>0.31980719752294817</v>
      </c>
      <c r="H186" s="2">
        <f t="shared" ca="1" si="22"/>
        <v>0</v>
      </c>
      <c r="I186" s="2">
        <f t="shared" ca="1" si="23"/>
        <v>0</v>
      </c>
    </row>
    <row r="187" spans="2:9" x14ac:dyDescent="0.2">
      <c r="B187" s="4">
        <f t="shared" ca="1" si="29"/>
        <v>44224</v>
      </c>
      <c r="C187">
        <f t="shared" si="29"/>
        <v>176</v>
      </c>
      <c r="D187">
        <f t="shared" ca="1" si="21"/>
        <v>5</v>
      </c>
      <c r="E187" s="2">
        <f t="shared" ca="1" si="25"/>
        <v>0</v>
      </c>
      <c r="F187" s="2">
        <f t="shared" ca="1" si="28"/>
        <v>0</v>
      </c>
      <c r="G187" s="2">
        <f t="shared" ca="1" si="26"/>
        <v>0.31980719752294817</v>
      </c>
      <c r="H187" s="2">
        <f t="shared" ca="1" si="22"/>
        <v>0</v>
      </c>
      <c r="I187" s="2">
        <f t="shared" ca="1" si="23"/>
        <v>0</v>
      </c>
    </row>
    <row r="188" spans="2:9" x14ac:dyDescent="0.2">
      <c r="B188" s="4">
        <f t="shared" ca="1" si="29"/>
        <v>44225</v>
      </c>
      <c r="C188">
        <f t="shared" si="29"/>
        <v>177</v>
      </c>
      <c r="D188">
        <f t="shared" ca="1" si="21"/>
        <v>6</v>
      </c>
      <c r="E188" s="2">
        <f t="shared" ca="1" si="25"/>
        <v>0</v>
      </c>
      <c r="F188" s="2">
        <f t="shared" ca="1" si="28"/>
        <v>0</v>
      </c>
      <c r="G188" s="2">
        <f t="shared" ca="1" si="26"/>
        <v>0.31980719752294817</v>
      </c>
      <c r="H188" s="2">
        <f t="shared" ca="1" si="22"/>
        <v>0</v>
      </c>
      <c r="I188" s="2">
        <f t="shared" ca="1" si="23"/>
        <v>0</v>
      </c>
    </row>
    <row r="189" spans="2:9" x14ac:dyDescent="0.2">
      <c r="B189" s="4">
        <f t="shared" ref="B189:C204" ca="1" si="30">B188+1</f>
        <v>44226</v>
      </c>
      <c r="C189">
        <f t="shared" si="30"/>
        <v>178</v>
      </c>
      <c r="D189">
        <f t="shared" ca="1" si="21"/>
        <v>7</v>
      </c>
      <c r="E189" s="2">
        <f t="shared" ca="1" si="25"/>
        <v>0</v>
      </c>
      <c r="F189" s="2">
        <f t="shared" ca="1" si="28"/>
        <v>0</v>
      </c>
      <c r="G189" s="2">
        <f t="shared" ca="1" si="26"/>
        <v>0.31980719752294817</v>
      </c>
      <c r="H189" s="2">
        <f t="shared" ca="1" si="22"/>
        <v>0</v>
      </c>
      <c r="I189" s="2">
        <f t="shared" ca="1" si="23"/>
        <v>0</v>
      </c>
    </row>
    <row r="190" spans="2:9" x14ac:dyDescent="0.2">
      <c r="B190" s="4">
        <f t="shared" ca="1" si="30"/>
        <v>44227</v>
      </c>
      <c r="C190">
        <f t="shared" si="30"/>
        <v>179</v>
      </c>
      <c r="D190">
        <f t="shared" ca="1" si="21"/>
        <v>1</v>
      </c>
      <c r="E190" s="2">
        <f t="shared" ca="1" si="25"/>
        <v>0</v>
      </c>
      <c r="F190" s="2">
        <f t="shared" ca="1" si="28"/>
        <v>0</v>
      </c>
      <c r="G190" s="2">
        <f t="shared" ca="1" si="26"/>
        <v>0.31980719752294817</v>
      </c>
      <c r="H190" s="2">
        <f t="shared" ca="1" si="22"/>
        <v>0</v>
      </c>
      <c r="I190" s="2">
        <f t="shared" ca="1" si="23"/>
        <v>0</v>
      </c>
    </row>
    <row r="191" spans="2:9" x14ac:dyDescent="0.2">
      <c r="B191" s="4">
        <f t="shared" ca="1" si="30"/>
        <v>44228</v>
      </c>
      <c r="C191">
        <f t="shared" si="30"/>
        <v>180</v>
      </c>
      <c r="D191">
        <f t="shared" ca="1" si="21"/>
        <v>2</v>
      </c>
      <c r="E191" s="2">
        <f t="shared" ca="1" si="25"/>
        <v>0</v>
      </c>
      <c r="F191" s="2">
        <f t="shared" ca="1" si="28"/>
        <v>0</v>
      </c>
      <c r="G191" s="2">
        <f t="shared" ca="1" si="26"/>
        <v>0.31980719752294817</v>
      </c>
      <c r="H191" s="2">
        <f t="shared" ca="1" si="22"/>
        <v>0</v>
      </c>
      <c r="I191" s="2">
        <f t="shared" ca="1" si="23"/>
        <v>0</v>
      </c>
    </row>
    <row r="192" spans="2:9" x14ac:dyDescent="0.2">
      <c r="B192" s="4">
        <f t="shared" ca="1" si="30"/>
        <v>44229</v>
      </c>
      <c r="C192">
        <f t="shared" si="30"/>
        <v>181</v>
      </c>
      <c r="D192">
        <f t="shared" ca="1" si="21"/>
        <v>3</v>
      </c>
      <c r="E192" s="2">
        <f t="shared" ca="1" si="25"/>
        <v>0</v>
      </c>
      <c r="F192" s="2">
        <f t="shared" ca="1" si="28"/>
        <v>0</v>
      </c>
      <c r="G192" s="2">
        <f t="shared" ca="1" si="26"/>
        <v>0.31980719752294817</v>
      </c>
      <c r="H192" s="2">
        <f t="shared" ca="1" si="22"/>
        <v>0</v>
      </c>
      <c r="I192" s="2">
        <f t="shared" ca="1" si="23"/>
        <v>0</v>
      </c>
    </row>
    <row r="193" spans="2:9" x14ac:dyDescent="0.2">
      <c r="B193" s="4">
        <f t="shared" ca="1" si="30"/>
        <v>44230</v>
      </c>
      <c r="C193">
        <f t="shared" si="30"/>
        <v>182</v>
      </c>
      <c r="D193">
        <f t="shared" ca="1" si="21"/>
        <v>4</v>
      </c>
      <c r="E193" s="2">
        <f t="shared" ca="1" si="25"/>
        <v>0</v>
      </c>
      <c r="F193" s="2">
        <f t="shared" ca="1" si="28"/>
        <v>0</v>
      </c>
      <c r="G193" s="2">
        <f t="shared" ca="1" si="26"/>
        <v>0.31980719752294817</v>
      </c>
      <c r="H193" s="2">
        <f t="shared" ca="1" si="22"/>
        <v>0</v>
      </c>
      <c r="I193" s="2">
        <f t="shared" ca="1" si="23"/>
        <v>0</v>
      </c>
    </row>
    <row r="194" spans="2:9" x14ac:dyDescent="0.2">
      <c r="B194" s="4">
        <f t="shared" ca="1" si="30"/>
        <v>44231</v>
      </c>
      <c r="C194">
        <f t="shared" si="30"/>
        <v>183</v>
      </c>
      <c r="D194">
        <f t="shared" ca="1" si="21"/>
        <v>5</v>
      </c>
      <c r="E194" s="2">
        <f t="shared" ca="1" si="25"/>
        <v>0</v>
      </c>
      <c r="F194" s="2">
        <f t="shared" ca="1" si="28"/>
        <v>0</v>
      </c>
      <c r="G194" s="2">
        <f t="shared" ca="1" si="26"/>
        <v>0.31980719752294817</v>
      </c>
      <c r="H194" s="2">
        <f t="shared" ca="1" si="22"/>
        <v>0</v>
      </c>
      <c r="I194" s="2">
        <f t="shared" ca="1" si="23"/>
        <v>0</v>
      </c>
    </row>
    <row r="195" spans="2:9" x14ac:dyDescent="0.2">
      <c r="B195" s="4">
        <f t="shared" ca="1" si="30"/>
        <v>44232</v>
      </c>
      <c r="C195">
        <f t="shared" si="30"/>
        <v>184</v>
      </c>
      <c r="D195">
        <f t="shared" ca="1" si="21"/>
        <v>6</v>
      </c>
      <c r="E195" s="2">
        <f t="shared" ca="1" si="25"/>
        <v>0</v>
      </c>
      <c r="F195" s="2">
        <f t="shared" ca="1" si="28"/>
        <v>0</v>
      </c>
      <c r="G195" s="2">
        <f t="shared" ca="1" si="26"/>
        <v>0.31980719752294817</v>
      </c>
      <c r="H195" s="2">
        <f t="shared" ca="1" si="22"/>
        <v>0</v>
      </c>
      <c r="I195" s="2">
        <f t="shared" ca="1" si="23"/>
        <v>0</v>
      </c>
    </row>
    <row r="196" spans="2:9" x14ac:dyDescent="0.2">
      <c r="B196" s="4">
        <f t="shared" ca="1" si="30"/>
        <v>44233</v>
      </c>
      <c r="C196">
        <f t="shared" si="30"/>
        <v>185</v>
      </c>
      <c r="D196">
        <f t="shared" ca="1" si="21"/>
        <v>7</v>
      </c>
      <c r="E196" s="2">
        <f t="shared" ca="1" si="25"/>
        <v>0</v>
      </c>
      <c r="F196" s="2">
        <f t="shared" ca="1" si="28"/>
        <v>0</v>
      </c>
      <c r="G196" s="2">
        <f t="shared" ca="1" si="26"/>
        <v>0.31980719752294817</v>
      </c>
      <c r="H196" s="2">
        <f t="shared" ca="1" si="22"/>
        <v>0</v>
      </c>
      <c r="I196" s="2">
        <f t="shared" ca="1" si="23"/>
        <v>0</v>
      </c>
    </row>
    <row r="197" spans="2:9" x14ac:dyDescent="0.2">
      <c r="B197" s="4">
        <f t="shared" ca="1" si="30"/>
        <v>44234</v>
      </c>
      <c r="C197">
        <f t="shared" si="30"/>
        <v>186</v>
      </c>
      <c r="D197">
        <f t="shared" ca="1" si="21"/>
        <v>1</v>
      </c>
      <c r="E197" s="2">
        <f t="shared" ca="1" si="25"/>
        <v>0</v>
      </c>
      <c r="F197" s="2">
        <f t="shared" ca="1" si="28"/>
        <v>0</v>
      </c>
      <c r="G197" s="2">
        <f t="shared" ca="1" si="26"/>
        <v>0.31980719752294817</v>
      </c>
      <c r="H197" s="2">
        <f t="shared" ca="1" si="22"/>
        <v>0</v>
      </c>
      <c r="I197" s="2">
        <f t="shared" ca="1" si="23"/>
        <v>0</v>
      </c>
    </row>
    <row r="198" spans="2:9" x14ac:dyDescent="0.2">
      <c r="B198" s="4">
        <f t="shared" ca="1" si="30"/>
        <v>44235</v>
      </c>
      <c r="C198">
        <f t="shared" si="30"/>
        <v>187</v>
      </c>
      <c r="D198">
        <f t="shared" ca="1" si="21"/>
        <v>2</v>
      </c>
      <c r="E198" s="2">
        <f t="shared" ca="1" si="25"/>
        <v>0</v>
      </c>
      <c r="F198" s="2">
        <f t="shared" ca="1" si="28"/>
        <v>0</v>
      </c>
      <c r="G198" s="2">
        <f t="shared" ca="1" si="26"/>
        <v>0.31980719752294817</v>
      </c>
      <c r="H198" s="2">
        <f t="shared" ca="1" si="22"/>
        <v>0</v>
      </c>
      <c r="I198" s="2">
        <f t="shared" ca="1" si="23"/>
        <v>0</v>
      </c>
    </row>
    <row r="199" spans="2:9" x14ac:dyDescent="0.2">
      <c r="B199" s="4">
        <f t="shared" ca="1" si="30"/>
        <v>44236</v>
      </c>
      <c r="C199">
        <f t="shared" si="30"/>
        <v>188</v>
      </c>
      <c r="D199">
        <f t="shared" ca="1" si="21"/>
        <v>3</v>
      </c>
      <c r="E199" s="2">
        <f t="shared" ca="1" si="25"/>
        <v>0</v>
      </c>
      <c r="F199" s="2">
        <f t="shared" ca="1" si="28"/>
        <v>0</v>
      </c>
      <c r="G199" s="2">
        <f t="shared" ca="1" si="26"/>
        <v>0.31980719752294817</v>
      </c>
      <c r="H199" s="2">
        <f t="shared" ca="1" si="22"/>
        <v>0</v>
      </c>
      <c r="I199" s="2">
        <f t="shared" ca="1" si="23"/>
        <v>0</v>
      </c>
    </row>
    <row r="200" spans="2:9" x14ac:dyDescent="0.2">
      <c r="B200" s="4">
        <f t="shared" ca="1" si="30"/>
        <v>44237</v>
      </c>
      <c r="C200">
        <f t="shared" si="30"/>
        <v>189</v>
      </c>
      <c r="D200">
        <f t="shared" ca="1" si="21"/>
        <v>4</v>
      </c>
      <c r="E200" s="2">
        <f t="shared" ca="1" si="25"/>
        <v>0</v>
      </c>
      <c r="F200" s="2">
        <f t="shared" ca="1" si="28"/>
        <v>0</v>
      </c>
      <c r="G200" s="2">
        <f t="shared" ca="1" si="26"/>
        <v>0.31980719752294817</v>
      </c>
      <c r="H200" s="2">
        <f t="shared" ca="1" si="22"/>
        <v>0</v>
      </c>
      <c r="I200" s="2">
        <f t="shared" ca="1" si="23"/>
        <v>0</v>
      </c>
    </row>
    <row r="201" spans="2:9" x14ac:dyDescent="0.2">
      <c r="B201" s="4">
        <f t="shared" ca="1" si="30"/>
        <v>44238</v>
      </c>
      <c r="C201">
        <f t="shared" si="30"/>
        <v>190</v>
      </c>
      <c r="D201">
        <f t="shared" ca="1" si="21"/>
        <v>5</v>
      </c>
      <c r="E201" s="2">
        <f t="shared" ca="1" si="25"/>
        <v>0</v>
      </c>
      <c r="F201" s="2">
        <f t="shared" ca="1" si="28"/>
        <v>0</v>
      </c>
      <c r="G201" s="2">
        <f t="shared" ca="1" si="26"/>
        <v>0.31980719752294817</v>
      </c>
      <c r="H201" s="2">
        <f t="shared" ca="1" si="22"/>
        <v>0</v>
      </c>
      <c r="I201" s="2">
        <f t="shared" ca="1" si="23"/>
        <v>0</v>
      </c>
    </row>
    <row r="202" spans="2:9" x14ac:dyDescent="0.2">
      <c r="B202" s="4">
        <f t="shared" ca="1" si="30"/>
        <v>44239</v>
      </c>
      <c r="C202">
        <f t="shared" si="30"/>
        <v>191</v>
      </c>
      <c r="D202">
        <f t="shared" ca="1" si="21"/>
        <v>6</v>
      </c>
      <c r="E202" s="2">
        <f t="shared" ca="1" si="25"/>
        <v>0</v>
      </c>
      <c r="F202" s="2">
        <f t="shared" ca="1" si="28"/>
        <v>0</v>
      </c>
      <c r="G202" s="2">
        <f t="shared" ca="1" si="26"/>
        <v>0.31980719752294817</v>
      </c>
      <c r="H202" s="2">
        <f t="shared" ca="1" si="22"/>
        <v>0</v>
      </c>
      <c r="I202" s="2">
        <f t="shared" ca="1" si="23"/>
        <v>0</v>
      </c>
    </row>
    <row r="203" spans="2:9" x14ac:dyDescent="0.2">
      <c r="B203" s="4">
        <f t="shared" ca="1" si="30"/>
        <v>44240</v>
      </c>
      <c r="C203">
        <f t="shared" si="30"/>
        <v>192</v>
      </c>
      <c r="D203">
        <f t="shared" ca="1" si="21"/>
        <v>7</v>
      </c>
      <c r="E203" s="2">
        <f t="shared" ca="1" si="25"/>
        <v>0</v>
      </c>
      <c r="F203" s="2">
        <f t="shared" ca="1" si="28"/>
        <v>0</v>
      </c>
      <c r="G203" s="2">
        <f t="shared" ca="1" si="26"/>
        <v>0.31980719752294817</v>
      </c>
      <c r="H203" s="2">
        <f t="shared" ca="1" si="22"/>
        <v>0</v>
      </c>
      <c r="I203" s="2">
        <f t="shared" ca="1" si="23"/>
        <v>0</v>
      </c>
    </row>
    <row r="204" spans="2:9" x14ac:dyDescent="0.2">
      <c r="B204" s="4">
        <f t="shared" ca="1" si="30"/>
        <v>44241</v>
      </c>
      <c r="C204">
        <f t="shared" si="30"/>
        <v>193</v>
      </c>
      <c r="D204">
        <f t="shared" ref="D204:D211" ca="1" si="31">WEEKDAY(B204,1)</f>
        <v>1</v>
      </c>
      <c r="E204" s="2">
        <f t="shared" ca="1" si="25"/>
        <v>0</v>
      </c>
      <c r="F204" s="2">
        <f t="shared" ca="1" si="28"/>
        <v>0</v>
      </c>
      <c r="G204" s="2">
        <f t="shared" ca="1" si="26"/>
        <v>0.31980719752294817</v>
      </c>
      <c r="H204" s="2">
        <f t="shared" ref="H204:H211" ca="1" si="32">IF(C204&gt;$C$7,0,(G204)*$C$5/365)</f>
        <v>0</v>
      </c>
      <c r="I204" s="2">
        <f t="shared" ref="I204:I211" ca="1" si="33">IF(AND(C204=0,D204=7),$C$6,IF(C204=$C$7,0,IF(C204&lt;$C$7,IF(D204=7,$C$6,0),0)))</f>
        <v>0</v>
      </c>
    </row>
    <row r="205" spans="2:9" x14ac:dyDescent="0.2">
      <c r="B205" s="4">
        <f t="shared" ref="B205:C211" ca="1" si="34">B204+1</f>
        <v>44242</v>
      </c>
      <c r="C205">
        <f t="shared" si="34"/>
        <v>194</v>
      </c>
      <c r="D205">
        <f t="shared" ca="1" si="31"/>
        <v>2</v>
      </c>
      <c r="E205" s="2">
        <f t="shared" ref="E205:E211" ca="1" si="35">IF(C205&gt;$C$7,0,G204+H204+I204)</f>
        <v>0</v>
      </c>
      <c r="F205" s="2">
        <f t="shared" ca="1" si="28"/>
        <v>0</v>
      </c>
      <c r="G205" s="2">
        <f t="shared" ref="G205:G211" ca="1" si="36">IF(C205&gt;$C$7,G204,E205-F205)</f>
        <v>0.31980719752294817</v>
      </c>
      <c r="H205" s="2">
        <f t="shared" ca="1" si="32"/>
        <v>0</v>
      </c>
      <c r="I205" s="2">
        <f t="shared" ca="1" si="33"/>
        <v>0</v>
      </c>
    </row>
    <row r="206" spans="2:9" x14ac:dyDescent="0.2">
      <c r="B206" s="4">
        <f t="shared" ca="1" si="34"/>
        <v>44243</v>
      </c>
      <c r="C206">
        <f t="shared" si="34"/>
        <v>195</v>
      </c>
      <c r="D206">
        <f t="shared" ca="1" si="31"/>
        <v>3</v>
      </c>
      <c r="E206" s="2">
        <f t="shared" ca="1" si="35"/>
        <v>0</v>
      </c>
      <c r="F206" s="2">
        <f t="shared" ca="1" si="28"/>
        <v>0</v>
      </c>
      <c r="G206" s="2">
        <f t="shared" ca="1" si="36"/>
        <v>0.31980719752294817</v>
      </c>
      <c r="H206" s="2">
        <f t="shared" ca="1" si="32"/>
        <v>0</v>
      </c>
      <c r="I206" s="2">
        <f t="shared" ca="1" si="33"/>
        <v>0</v>
      </c>
    </row>
    <row r="207" spans="2:9" x14ac:dyDescent="0.2">
      <c r="B207" s="4">
        <f t="shared" ca="1" si="34"/>
        <v>44244</v>
      </c>
      <c r="C207">
        <f t="shared" si="34"/>
        <v>196</v>
      </c>
      <c r="D207">
        <f t="shared" ca="1" si="31"/>
        <v>4</v>
      </c>
      <c r="E207" s="2">
        <f t="shared" ca="1" si="35"/>
        <v>0</v>
      </c>
      <c r="F207" s="2">
        <f t="shared" ca="1" si="28"/>
        <v>0</v>
      </c>
      <c r="G207" s="2">
        <f t="shared" ca="1" si="36"/>
        <v>0.31980719752294817</v>
      </c>
      <c r="H207" s="2">
        <f t="shared" ca="1" si="32"/>
        <v>0</v>
      </c>
      <c r="I207" s="2">
        <f t="shared" ca="1" si="33"/>
        <v>0</v>
      </c>
    </row>
    <row r="208" spans="2:9" x14ac:dyDescent="0.2">
      <c r="B208" s="4">
        <f t="shared" ca="1" si="34"/>
        <v>44245</v>
      </c>
      <c r="C208">
        <f t="shared" si="34"/>
        <v>197</v>
      </c>
      <c r="D208">
        <f t="shared" ca="1" si="31"/>
        <v>5</v>
      </c>
      <c r="E208" s="2">
        <f t="shared" ca="1" si="35"/>
        <v>0</v>
      </c>
      <c r="F208" s="2">
        <f t="shared" ca="1" si="28"/>
        <v>0</v>
      </c>
      <c r="G208" s="2">
        <f t="shared" ca="1" si="36"/>
        <v>0.31980719752294817</v>
      </c>
      <c r="H208" s="2">
        <f t="shared" ca="1" si="32"/>
        <v>0</v>
      </c>
      <c r="I208" s="2">
        <f t="shared" ca="1" si="33"/>
        <v>0</v>
      </c>
    </row>
    <row r="209" spans="2:9" x14ac:dyDescent="0.2">
      <c r="B209" s="4">
        <f t="shared" ca="1" si="34"/>
        <v>44246</v>
      </c>
      <c r="C209">
        <f t="shared" si="34"/>
        <v>198</v>
      </c>
      <c r="D209">
        <f t="shared" ca="1" si="31"/>
        <v>6</v>
      </c>
      <c r="E209" s="2">
        <f t="shared" ca="1" si="35"/>
        <v>0</v>
      </c>
      <c r="F209" s="2">
        <f t="shared" ca="1" si="28"/>
        <v>0</v>
      </c>
      <c r="G209" s="2">
        <f t="shared" ca="1" si="36"/>
        <v>0.31980719752294817</v>
      </c>
      <c r="H209" s="2">
        <f t="shared" ca="1" si="32"/>
        <v>0</v>
      </c>
      <c r="I209" s="2">
        <f t="shared" ca="1" si="33"/>
        <v>0</v>
      </c>
    </row>
    <row r="210" spans="2:9" x14ac:dyDescent="0.2">
      <c r="B210" s="4">
        <f t="shared" ca="1" si="34"/>
        <v>44247</v>
      </c>
      <c r="C210">
        <f t="shared" si="34"/>
        <v>199</v>
      </c>
      <c r="D210">
        <f t="shared" ca="1" si="31"/>
        <v>7</v>
      </c>
      <c r="E210" s="2">
        <f t="shared" ca="1" si="35"/>
        <v>0</v>
      </c>
      <c r="F210" s="2">
        <f t="shared" ca="1" si="28"/>
        <v>0</v>
      </c>
      <c r="G210" s="2">
        <f t="shared" ca="1" si="36"/>
        <v>0.31980719752294817</v>
      </c>
      <c r="H210" s="2">
        <f t="shared" ca="1" si="32"/>
        <v>0</v>
      </c>
      <c r="I210" s="2">
        <f t="shared" ca="1" si="33"/>
        <v>0</v>
      </c>
    </row>
    <row r="211" spans="2:9" x14ac:dyDescent="0.2">
      <c r="B211" s="4">
        <f t="shared" ca="1" si="34"/>
        <v>44248</v>
      </c>
      <c r="C211">
        <f t="shared" si="34"/>
        <v>200</v>
      </c>
      <c r="D211">
        <f t="shared" ca="1" si="31"/>
        <v>1</v>
      </c>
      <c r="E211" s="2">
        <f t="shared" ca="1" si="35"/>
        <v>0</v>
      </c>
      <c r="F211" s="2">
        <f t="shared" ca="1" si="28"/>
        <v>0</v>
      </c>
      <c r="G211" s="2">
        <f t="shared" ca="1" si="36"/>
        <v>0.31980719752294817</v>
      </c>
      <c r="H211" s="2">
        <f t="shared" ca="1" si="32"/>
        <v>0</v>
      </c>
      <c r="I211" s="2">
        <f t="shared" ca="1" si="33"/>
        <v>0</v>
      </c>
    </row>
  </sheetData>
  <mergeCells count="2">
    <mergeCell ref="H4:I6"/>
    <mergeCell ref="E7:F8"/>
  </mergeCells>
  <conditionalFormatting sqref="B212:I700">
    <cfRule type="expression" dxfId="23" priority="9">
      <formula>$C212=$C$7</formula>
    </cfRule>
    <cfRule type="expression" dxfId="22" priority="10">
      <formula>$C212&gt;$C$7</formula>
    </cfRule>
  </conditionalFormatting>
  <conditionalFormatting sqref="B11:I211">
    <cfRule type="expression" dxfId="21" priority="3">
      <formula>$C11=$C$7</formula>
    </cfRule>
    <cfRule type="expression" dxfId="20" priority="4">
      <formula>$C11&gt;$C$7</formula>
    </cfRule>
  </conditionalFormatting>
  <conditionalFormatting sqref="E7">
    <cfRule type="cellIs" dxfId="19" priority="1" operator="equal">
      <formula>"No RESET Required"</formula>
    </cfRule>
    <cfRule type="cellIs" dxfId="18" priority="2" operator="equal">
      <formula>"RESET"</formula>
    </cfRule>
  </conditionalFormatting>
  <hyperlinks>
    <hyperlink ref="H4:I6" location="Summary!A1" display="Return to Home" xr:uid="{058871A9-6613-4109-BB8C-6A266AD09B9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177800</xdr:colOff>
                    <xdr:row>6</xdr:row>
                    <xdr:rowOff>38100</xdr:rowOff>
                  </from>
                  <to>
                    <xdr:col>8</xdr:col>
                    <xdr:colOff>1536700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C499B-D380-460B-9C42-5B8AC2C8A492}">
  <sheetPr codeName="Sheet18">
    <tabColor rgb="FF00B050"/>
  </sheetPr>
  <dimension ref="B2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4.5" bestFit="1" customWidth="1"/>
    <col min="9" max="9" width="25" bestFit="1" customWidth="1"/>
  </cols>
  <sheetData>
    <row r="2" spans="2:9" x14ac:dyDescent="0.2">
      <c r="B2" s="1" t="s">
        <v>0</v>
      </c>
      <c r="C2" s="13">
        <v>750</v>
      </c>
      <c r="E2" s="1" t="s">
        <v>1</v>
      </c>
      <c r="F2" s="16">
        <f ca="1">TODAY()-1</f>
        <v>44048</v>
      </c>
      <c r="H2" s="1" t="s">
        <v>16</v>
      </c>
      <c r="I2" s="10">
        <f ca="1">COUNTIF($F$12:$F$211,"&gt;0")</f>
        <v>5</v>
      </c>
    </row>
    <row r="3" spans="2:9" ht="16" thickBot="1" x14ac:dyDescent="0.25">
      <c r="B3" s="1" t="s">
        <v>2</v>
      </c>
      <c r="C3" s="14">
        <f ca="1">C7/I2</f>
        <v>30.6</v>
      </c>
      <c r="E3" s="1" t="s">
        <v>3</v>
      </c>
      <c r="F3" s="15">
        <f ca="1">SUM(H11:H211)</f>
        <v>40.451758421597077</v>
      </c>
    </row>
    <row r="4" spans="2:9" x14ac:dyDescent="0.2">
      <c r="B4" s="1" t="s">
        <v>17</v>
      </c>
      <c r="C4" s="11">
        <v>153</v>
      </c>
      <c r="E4" s="1" t="s">
        <v>5</v>
      </c>
      <c r="F4" s="15">
        <f ca="1">SUM(I11:I211)</f>
        <v>440</v>
      </c>
      <c r="H4" s="23" t="s">
        <v>34</v>
      </c>
      <c r="I4" s="24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1209.9974522993948</v>
      </c>
      <c r="H5" s="25"/>
      <c r="I5" s="26"/>
    </row>
    <row r="6" spans="2:9" ht="16" thickBot="1" x14ac:dyDescent="0.25">
      <c r="B6" s="1" t="s">
        <v>8</v>
      </c>
      <c r="C6" s="13">
        <v>20</v>
      </c>
      <c r="H6" s="27"/>
      <c r="I6" s="28"/>
    </row>
    <row r="7" spans="2:9" ht="15" customHeight="1" x14ac:dyDescent="0.2">
      <c r="B7" s="1" t="s">
        <v>9</v>
      </c>
      <c r="C7" s="10">
        <f ca="1">DATE(YEAR($F$2+$C$4),MONTH($F$2+$C$4),DAY($F$2)) - $F$2</f>
        <v>153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241.99949045987898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ht="14.5" customHeight="1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750</v>
      </c>
      <c r="H11" s="2">
        <f ca="1">IF(C11&gt;$C$7,0,(G11)*$C$5/365)</f>
        <v>0.3904109589041096</v>
      </c>
      <c r="I11" s="2">
        <f ca="1">IF(AND(C11=0,D11=7),$C$6,IF(C11=$C$7,0,IF(C11&lt;$C$7,IF(D11=7,$C$6,0),0)))</f>
        <v>0</v>
      </c>
    </row>
    <row r="12" spans="2:9" ht="14.5" customHeight="1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750.39041095890411</v>
      </c>
      <c r="F12" s="2">
        <f t="shared" ref="F12:F34" ca="1" si="1">IF(C12&gt;$C$7,0,IF(ROUND(E12,0)&gt;0,IF(C12=0,0,IF(DAY($F$2)&lt;&gt;DAY(B12),0,$C$8)),0))</f>
        <v>0</v>
      </c>
      <c r="G12" s="2">
        <f ca="1">IF(C12&gt;$C$7,G11,E12-F12)</f>
        <v>750.39041095890411</v>
      </c>
      <c r="H12" s="2">
        <f t="shared" ref="H12:H75" ca="1" si="2">IF(C12&gt;$C$7,0,(G12)*$C$5/365)</f>
        <v>0.39061418652655283</v>
      </c>
      <c r="I12" s="2">
        <f t="shared" ref="I12:I75" ca="1" si="3">IF(AND(C12=0,D12=7),$C$6,IF(C12=$C$7,0,IF(C12&lt;$C$7,IF(D12=7,$C$6,0),0)))</f>
        <v>0</v>
      </c>
    </row>
    <row r="13" spans="2:9" ht="15" customHeight="1" x14ac:dyDescent="0.2">
      <c r="B13" s="4">
        <f t="shared" ref="B13:C28" ca="1" si="4">B12+1</f>
        <v>44050</v>
      </c>
      <c r="C13">
        <f t="shared" si="4"/>
        <v>2</v>
      </c>
      <c r="D13">
        <f t="shared" ca="1" si="0"/>
        <v>6</v>
      </c>
      <c r="E13" s="2">
        <f t="shared" ref="E13:E76" ca="1" si="5">IF(C13&gt;$C$7,0,G12+H12+I12)</f>
        <v>750.7810251454307</v>
      </c>
      <c r="F13" s="2">
        <f t="shared" ca="1" si="1"/>
        <v>0</v>
      </c>
      <c r="G13" s="2">
        <f t="shared" ref="G13:G76" ca="1" si="6">IF(C13&gt;$C$7,G12,E13-F13)</f>
        <v>750.7810251454307</v>
      </c>
      <c r="H13" s="2">
        <f t="shared" ca="1" si="2"/>
        <v>0.39081751993871738</v>
      </c>
      <c r="I13" s="2">
        <f t="shared" ca="1" si="3"/>
        <v>0</v>
      </c>
    </row>
    <row r="14" spans="2:9" x14ac:dyDescent="0.2">
      <c r="B14" s="4">
        <f t="shared" ca="1" si="4"/>
        <v>44051</v>
      </c>
      <c r="C14">
        <f t="shared" si="4"/>
        <v>3</v>
      </c>
      <c r="D14">
        <f t="shared" ca="1" si="0"/>
        <v>7</v>
      </c>
      <c r="E14" s="2">
        <f t="shared" ca="1" si="5"/>
        <v>751.17184266536947</v>
      </c>
      <c r="F14" s="2">
        <f t="shared" ca="1" si="1"/>
        <v>0</v>
      </c>
      <c r="G14" s="2">
        <f t="shared" ca="1" si="6"/>
        <v>751.17184266536947</v>
      </c>
      <c r="H14" s="2">
        <f t="shared" ca="1" si="2"/>
        <v>0.39102095919567176</v>
      </c>
      <c r="I14" s="2">
        <f t="shared" ca="1" si="3"/>
        <v>20</v>
      </c>
    </row>
    <row r="15" spans="2:9" x14ac:dyDescent="0.2">
      <c r="B15" s="4">
        <f t="shared" ca="1" si="4"/>
        <v>44052</v>
      </c>
      <c r="C15">
        <f t="shared" si="4"/>
        <v>4</v>
      </c>
      <c r="D15">
        <f t="shared" ca="1" si="0"/>
        <v>1</v>
      </c>
      <c r="E15" s="2">
        <f t="shared" ca="1" si="5"/>
        <v>771.56286362456513</v>
      </c>
      <c r="F15" s="2">
        <f t="shared" ca="1" si="1"/>
        <v>0</v>
      </c>
      <c r="G15" s="2">
        <f t="shared" ca="1" si="6"/>
        <v>771.56286362456513</v>
      </c>
      <c r="H15" s="2">
        <f t="shared" ca="1" si="2"/>
        <v>0.40163546325662297</v>
      </c>
      <c r="I15" s="2">
        <f t="shared" ca="1" si="3"/>
        <v>0</v>
      </c>
    </row>
    <row r="16" spans="2:9" x14ac:dyDescent="0.2">
      <c r="B16" s="4">
        <f t="shared" ca="1" si="4"/>
        <v>44053</v>
      </c>
      <c r="C16">
        <f t="shared" si="4"/>
        <v>5</v>
      </c>
      <c r="D16">
        <f t="shared" ca="1" si="0"/>
        <v>2</v>
      </c>
      <c r="E16" s="2">
        <f t="shared" ca="1" si="5"/>
        <v>771.96449908782176</v>
      </c>
      <c r="F16" s="2">
        <f t="shared" ca="1" si="1"/>
        <v>0</v>
      </c>
      <c r="G16" s="2">
        <f t="shared" ca="1" si="6"/>
        <v>771.96449908782176</v>
      </c>
      <c r="H16" s="2">
        <f t="shared" ca="1" si="2"/>
        <v>0.40184453377174284</v>
      </c>
      <c r="I16" s="2">
        <f t="shared" ca="1" si="3"/>
        <v>0</v>
      </c>
    </row>
    <row r="17" spans="2:9" x14ac:dyDescent="0.2">
      <c r="B17" s="4">
        <f t="shared" ca="1" si="4"/>
        <v>44054</v>
      </c>
      <c r="C17">
        <f t="shared" si="4"/>
        <v>6</v>
      </c>
      <c r="D17">
        <f t="shared" ca="1" si="0"/>
        <v>3</v>
      </c>
      <c r="E17" s="2">
        <f t="shared" ca="1" si="5"/>
        <v>772.3663436215935</v>
      </c>
      <c r="F17" s="2">
        <f t="shared" ca="1" si="1"/>
        <v>0</v>
      </c>
      <c r="G17" s="2">
        <f t="shared" ca="1" si="6"/>
        <v>772.3663436215935</v>
      </c>
      <c r="H17" s="2">
        <f t="shared" ca="1" si="2"/>
        <v>0.40205371311808979</v>
      </c>
      <c r="I17" s="2">
        <f t="shared" ca="1" si="3"/>
        <v>0</v>
      </c>
    </row>
    <row r="18" spans="2:9" x14ac:dyDescent="0.2">
      <c r="B18" s="4">
        <f t="shared" ca="1" si="4"/>
        <v>44055</v>
      </c>
      <c r="C18">
        <f t="shared" si="4"/>
        <v>7</v>
      </c>
      <c r="D18">
        <f t="shared" ca="1" si="0"/>
        <v>4</v>
      </c>
      <c r="E18" s="2">
        <f t="shared" ca="1" si="5"/>
        <v>772.76839733471161</v>
      </c>
      <c r="F18" s="2">
        <f t="shared" ca="1" si="1"/>
        <v>0</v>
      </c>
      <c r="G18" s="2">
        <f t="shared" ca="1" si="6"/>
        <v>772.76839733471161</v>
      </c>
      <c r="H18" s="2">
        <f t="shared" ca="1" si="2"/>
        <v>0.40226300135231563</v>
      </c>
      <c r="I18" s="2">
        <f t="shared" ca="1" si="3"/>
        <v>0</v>
      </c>
    </row>
    <row r="19" spans="2:9" x14ac:dyDescent="0.2">
      <c r="B19" s="4">
        <f t="shared" ca="1" si="4"/>
        <v>44056</v>
      </c>
      <c r="C19">
        <f t="shared" si="4"/>
        <v>8</v>
      </c>
      <c r="D19">
        <f t="shared" ca="1" si="0"/>
        <v>5</v>
      </c>
      <c r="E19" s="2">
        <f t="shared" ca="1" si="5"/>
        <v>773.17066033606397</v>
      </c>
      <c r="F19" s="2">
        <f t="shared" ca="1" si="1"/>
        <v>0</v>
      </c>
      <c r="G19" s="2">
        <f t="shared" ca="1" si="6"/>
        <v>773.17066033606397</v>
      </c>
      <c r="H19" s="2">
        <f t="shared" ca="1" si="2"/>
        <v>0.40247239853110178</v>
      </c>
      <c r="I19" s="2">
        <f t="shared" ca="1" si="3"/>
        <v>0</v>
      </c>
    </row>
    <row r="20" spans="2:9" x14ac:dyDescent="0.2">
      <c r="B20" s="4">
        <f t="shared" ca="1" si="4"/>
        <v>44057</v>
      </c>
      <c r="C20">
        <f t="shared" si="4"/>
        <v>9</v>
      </c>
      <c r="D20">
        <f t="shared" ca="1" si="0"/>
        <v>6</v>
      </c>
      <c r="E20" s="2">
        <f t="shared" ca="1" si="5"/>
        <v>773.57313273459511</v>
      </c>
      <c r="F20" s="2">
        <f t="shared" ca="1" si="1"/>
        <v>0</v>
      </c>
      <c r="G20" s="2">
        <f t="shared" ca="1" si="6"/>
        <v>773.57313273459511</v>
      </c>
      <c r="H20" s="2">
        <f t="shared" ca="1" si="2"/>
        <v>0.40268190471115911</v>
      </c>
      <c r="I20" s="2">
        <f t="shared" ca="1" si="3"/>
        <v>0</v>
      </c>
    </row>
    <row r="21" spans="2:9" x14ac:dyDescent="0.2">
      <c r="B21" s="4">
        <f t="shared" ca="1" si="4"/>
        <v>44058</v>
      </c>
      <c r="C21">
        <f t="shared" si="4"/>
        <v>10</v>
      </c>
      <c r="D21">
        <f t="shared" ca="1" si="0"/>
        <v>7</v>
      </c>
      <c r="E21" s="2">
        <f t="shared" ca="1" si="5"/>
        <v>773.97581463930624</v>
      </c>
      <c r="F21" s="2">
        <f t="shared" ca="1" si="1"/>
        <v>0</v>
      </c>
      <c r="G21" s="2">
        <f t="shared" ca="1" si="6"/>
        <v>773.97581463930624</v>
      </c>
      <c r="H21" s="2">
        <f t="shared" ca="1" si="2"/>
        <v>0.40289151994922789</v>
      </c>
      <c r="I21" s="2">
        <f t="shared" ca="1" si="3"/>
        <v>20</v>
      </c>
    </row>
    <row r="22" spans="2:9" x14ac:dyDescent="0.2">
      <c r="B22" s="4">
        <f t="shared" ca="1" si="4"/>
        <v>44059</v>
      </c>
      <c r="C22">
        <f t="shared" si="4"/>
        <v>11</v>
      </c>
      <c r="D22">
        <f t="shared" ca="1" si="0"/>
        <v>1</v>
      </c>
      <c r="E22" s="2">
        <f t="shared" ca="1" si="5"/>
        <v>794.37870615925544</v>
      </c>
      <c r="F22" s="2">
        <f t="shared" ca="1" si="1"/>
        <v>0</v>
      </c>
      <c r="G22" s="2">
        <f t="shared" ca="1" si="6"/>
        <v>794.37870615925544</v>
      </c>
      <c r="H22" s="2">
        <f t="shared" ca="1" si="2"/>
        <v>0.41351220320618776</v>
      </c>
      <c r="I22" s="2">
        <f t="shared" ca="1" si="3"/>
        <v>0</v>
      </c>
    </row>
    <row r="23" spans="2:9" x14ac:dyDescent="0.2">
      <c r="B23" s="4">
        <f t="shared" ca="1" si="4"/>
        <v>44060</v>
      </c>
      <c r="C23">
        <f t="shared" si="4"/>
        <v>12</v>
      </c>
      <c r="D23">
        <f t="shared" ca="1" si="0"/>
        <v>2</v>
      </c>
      <c r="E23" s="2">
        <f t="shared" ca="1" si="5"/>
        <v>794.79221836246165</v>
      </c>
      <c r="F23" s="2">
        <f t="shared" ca="1" si="1"/>
        <v>0</v>
      </c>
      <c r="G23" s="2">
        <f t="shared" ca="1" si="6"/>
        <v>794.79221836246165</v>
      </c>
      <c r="H23" s="2">
        <f t="shared" ca="1" si="2"/>
        <v>0.41372745613388412</v>
      </c>
      <c r="I23" s="2">
        <f t="shared" ca="1" si="3"/>
        <v>0</v>
      </c>
    </row>
    <row r="24" spans="2:9" x14ac:dyDescent="0.2">
      <c r="B24" s="4">
        <f t="shared" ca="1" si="4"/>
        <v>44061</v>
      </c>
      <c r="C24">
        <f t="shared" si="4"/>
        <v>13</v>
      </c>
      <c r="D24">
        <f t="shared" ca="1" si="0"/>
        <v>3</v>
      </c>
      <c r="E24" s="2">
        <f t="shared" ca="1" si="5"/>
        <v>795.20594581859552</v>
      </c>
      <c r="F24" s="2">
        <f t="shared" ca="1" si="1"/>
        <v>0</v>
      </c>
      <c r="G24" s="2">
        <f t="shared" ca="1" si="6"/>
        <v>795.20594581859552</v>
      </c>
      <c r="H24" s="2">
        <f t="shared" ca="1" si="2"/>
        <v>0.41394282111104969</v>
      </c>
      <c r="I24" s="2">
        <f t="shared" ca="1" si="3"/>
        <v>0</v>
      </c>
    </row>
    <row r="25" spans="2:9" x14ac:dyDescent="0.2">
      <c r="B25" s="4">
        <f t="shared" ca="1" si="4"/>
        <v>44062</v>
      </c>
      <c r="C25">
        <f t="shared" si="4"/>
        <v>14</v>
      </c>
      <c r="D25">
        <f t="shared" ca="1" si="0"/>
        <v>4</v>
      </c>
      <c r="E25" s="2">
        <f t="shared" ca="1" si="5"/>
        <v>795.61988863970657</v>
      </c>
      <c r="F25" s="2">
        <f t="shared" ca="1" si="1"/>
        <v>0</v>
      </c>
      <c r="G25" s="2">
        <f t="shared" ca="1" si="6"/>
        <v>795.61988863970657</v>
      </c>
      <c r="H25" s="2">
        <f t="shared" ca="1" si="2"/>
        <v>0.41415829819601163</v>
      </c>
      <c r="I25" s="2">
        <f t="shared" ca="1" si="3"/>
        <v>0</v>
      </c>
    </row>
    <row r="26" spans="2:9" x14ac:dyDescent="0.2">
      <c r="B26" s="4">
        <f t="shared" ca="1" si="4"/>
        <v>44063</v>
      </c>
      <c r="C26">
        <f t="shared" si="4"/>
        <v>15</v>
      </c>
      <c r="D26">
        <f t="shared" ca="1" si="0"/>
        <v>5</v>
      </c>
      <c r="E26" s="2">
        <f t="shared" ca="1" si="5"/>
        <v>796.03404693790253</v>
      </c>
      <c r="F26" s="2">
        <f t="shared" ca="1" si="1"/>
        <v>0</v>
      </c>
      <c r="G26" s="2">
        <f t="shared" ca="1" si="6"/>
        <v>796.03404693790253</v>
      </c>
      <c r="H26" s="2">
        <f t="shared" ca="1" si="2"/>
        <v>0.41437388744712739</v>
      </c>
      <c r="I26" s="2">
        <f t="shared" ca="1" si="3"/>
        <v>0</v>
      </c>
    </row>
    <row r="27" spans="2:9" x14ac:dyDescent="0.2">
      <c r="B27" s="4">
        <f t="shared" ca="1" si="4"/>
        <v>44064</v>
      </c>
      <c r="C27">
        <f t="shared" si="4"/>
        <v>16</v>
      </c>
      <c r="D27">
        <f t="shared" ca="1" si="0"/>
        <v>6</v>
      </c>
      <c r="E27" s="2">
        <f t="shared" ca="1" si="5"/>
        <v>796.44842082534967</v>
      </c>
      <c r="F27" s="2">
        <f t="shared" ca="1" si="1"/>
        <v>0</v>
      </c>
      <c r="G27" s="2">
        <f t="shared" ca="1" si="6"/>
        <v>796.44842082534967</v>
      </c>
      <c r="H27" s="2">
        <f t="shared" ca="1" si="2"/>
        <v>0.4145895889227848</v>
      </c>
      <c r="I27" s="2">
        <f t="shared" ca="1" si="3"/>
        <v>0</v>
      </c>
    </row>
    <row r="28" spans="2:9" x14ac:dyDescent="0.2">
      <c r="B28" s="4">
        <f t="shared" ca="1" si="4"/>
        <v>44065</v>
      </c>
      <c r="C28">
        <f t="shared" si="4"/>
        <v>17</v>
      </c>
      <c r="D28">
        <f t="shared" ca="1" si="0"/>
        <v>7</v>
      </c>
      <c r="E28" s="2">
        <f t="shared" ca="1" si="5"/>
        <v>796.86301041427248</v>
      </c>
      <c r="F28" s="2">
        <f t="shared" ca="1" si="1"/>
        <v>0</v>
      </c>
      <c r="G28" s="2">
        <f t="shared" ca="1" si="6"/>
        <v>796.86301041427248</v>
      </c>
      <c r="H28" s="2">
        <f t="shared" ca="1" si="2"/>
        <v>0.41480540268140215</v>
      </c>
      <c r="I28" s="2">
        <f t="shared" ca="1" si="3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5"/>
        <v>817.27781581695388</v>
      </c>
      <c r="F29" s="2">
        <f t="shared" ca="1" si="1"/>
        <v>0</v>
      </c>
      <c r="G29" s="2">
        <f t="shared" ca="1" si="6"/>
        <v>817.27781581695388</v>
      </c>
      <c r="H29" s="2">
        <f t="shared" ca="1" si="2"/>
        <v>0.42543228768553759</v>
      </c>
      <c r="I29" s="2">
        <f t="shared" ca="1" si="3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5"/>
        <v>817.70324810463944</v>
      </c>
      <c r="F30" s="2">
        <f t="shared" ca="1" si="1"/>
        <v>0</v>
      </c>
      <c r="G30" s="2">
        <f t="shared" ca="1" si="6"/>
        <v>817.70324810463944</v>
      </c>
      <c r="H30" s="2">
        <f t="shared" ca="1" si="2"/>
        <v>0.42565374558871638</v>
      </c>
      <c r="I30" s="2">
        <f t="shared" ca="1" si="3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5"/>
        <v>818.1289018502282</v>
      </c>
      <c r="F31" s="2">
        <f t="shared" ca="1" si="1"/>
        <v>0</v>
      </c>
      <c r="G31" s="2">
        <f t="shared" ca="1" si="6"/>
        <v>818.1289018502282</v>
      </c>
      <c r="H31" s="2">
        <f t="shared" ca="1" si="2"/>
        <v>0.42587531877135165</v>
      </c>
      <c r="I31" s="2">
        <f t="shared" ca="1" si="3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5"/>
        <v>818.55477716899952</v>
      </c>
      <c r="F32" s="2">
        <f t="shared" ca="1" si="1"/>
        <v>0</v>
      </c>
      <c r="G32" s="2">
        <f t="shared" ca="1" si="6"/>
        <v>818.55477716899952</v>
      </c>
      <c r="H32" s="2">
        <f t="shared" ca="1" si="2"/>
        <v>0.42609700729345179</v>
      </c>
      <c r="I32" s="2">
        <f t="shared" ca="1" si="3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5"/>
        <v>818.98087417629301</v>
      </c>
      <c r="F33" s="2">
        <f t="shared" ca="1" si="1"/>
        <v>0</v>
      </c>
      <c r="G33" s="2">
        <f t="shared" ca="1" si="6"/>
        <v>818.98087417629301</v>
      </c>
      <c r="H33" s="2">
        <f t="shared" ca="1" si="2"/>
        <v>0.4263188112150566</v>
      </c>
      <c r="I33" s="2">
        <f t="shared" ca="1" si="3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5"/>
        <v>819.4071929875081</v>
      </c>
      <c r="F34" s="2">
        <f t="shared" ca="1" si="1"/>
        <v>0</v>
      </c>
      <c r="G34" s="2">
        <f t="shared" ca="1" si="6"/>
        <v>819.4071929875081</v>
      </c>
      <c r="H34" s="2">
        <f t="shared" ca="1" si="2"/>
        <v>0.42654073059623709</v>
      </c>
      <c r="I34" s="2">
        <f t="shared" ca="1" si="3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5"/>
        <v>819.83373371810433</v>
      </c>
      <c r="F35" s="2">
        <f ca="1">IF(C35&gt;$C$7,0,IF(ROUND(E35,0)&gt;0,IF(C35=0,0,IF(DAY($F$2)&lt;&gt;DAY(B35),0,$C$8)),0))</f>
        <v>0</v>
      </c>
      <c r="G35" s="2">
        <f t="shared" ca="1" si="6"/>
        <v>819.83373371810433</v>
      </c>
      <c r="H35" s="2">
        <f t="shared" ca="1" si="2"/>
        <v>0.42676276549709541</v>
      </c>
      <c r="I35" s="2">
        <f t="shared" ca="1" si="3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5"/>
        <v>840.2604964836014</v>
      </c>
      <c r="F36" s="2">
        <f t="shared" ref="F36:F99" ca="1" si="8">IF(C36&gt;$C$7,0,IF(ROUND(E36,0)&gt;0,IF(C36=0,0,IF(DAY($F$2)&lt;&gt;DAY(B36),0,$C$8)),0))</f>
        <v>0</v>
      </c>
      <c r="G36" s="2">
        <f t="shared" ca="1" si="6"/>
        <v>840.2604964836014</v>
      </c>
      <c r="H36" s="2">
        <f t="shared" ca="1" si="2"/>
        <v>0.43739587488187465</v>
      </c>
      <c r="I36" s="2">
        <f t="shared" ca="1" si="3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5"/>
        <v>840.69789235848327</v>
      </c>
      <c r="F37" s="2">
        <f t="shared" ca="1" si="8"/>
        <v>0</v>
      </c>
      <c r="G37" s="2">
        <f t="shared" ca="1" si="6"/>
        <v>840.69789235848327</v>
      </c>
      <c r="H37" s="2">
        <f t="shared" ca="1" si="2"/>
        <v>0.43762356040578587</v>
      </c>
      <c r="I37" s="2">
        <f t="shared" ca="1" si="3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5"/>
        <v>841.13551591888904</v>
      </c>
      <c r="F38" s="2">
        <f t="shared" ca="1" si="8"/>
        <v>0</v>
      </c>
      <c r="G38" s="2">
        <f t="shared" ca="1" si="6"/>
        <v>841.13551591888904</v>
      </c>
      <c r="H38" s="2">
        <f t="shared" ca="1" si="2"/>
        <v>0.43785136445092854</v>
      </c>
      <c r="I38" s="2">
        <f t="shared" ca="1" si="3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5"/>
        <v>841.57336728333996</v>
      </c>
      <c r="F39" s="2">
        <f t="shared" ca="1" si="8"/>
        <v>0</v>
      </c>
      <c r="G39" s="2">
        <f t="shared" ca="1" si="6"/>
        <v>841.57336728333996</v>
      </c>
      <c r="H39" s="2">
        <f t="shared" ca="1" si="2"/>
        <v>0.4380792870789989</v>
      </c>
      <c r="I39" s="2">
        <f t="shared" ca="1" si="3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5"/>
        <v>842.01144657041891</v>
      </c>
      <c r="F40" s="2">
        <f t="shared" ca="1" si="8"/>
        <v>0</v>
      </c>
      <c r="G40" s="2">
        <f t="shared" ca="1" si="6"/>
        <v>842.01144657041891</v>
      </c>
      <c r="H40" s="2">
        <f t="shared" ca="1" si="2"/>
        <v>0.43830732835172492</v>
      </c>
      <c r="I40" s="2">
        <f t="shared" ca="1" si="3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5"/>
        <v>842.44975389877061</v>
      </c>
      <c r="F41" s="2">
        <f t="shared" ca="1" si="8"/>
        <v>0</v>
      </c>
      <c r="G41" s="2">
        <f t="shared" ca="1" si="6"/>
        <v>842.44975389877061</v>
      </c>
      <c r="H41" s="2">
        <f t="shared" ca="1" si="2"/>
        <v>0.43853548833086692</v>
      </c>
      <c r="I41" s="2">
        <f t="shared" ca="1" si="3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5"/>
        <v>842.88828938710151</v>
      </c>
      <c r="F42" s="2">
        <f t="shared" ca="1" si="8"/>
        <v>241.99949045987898</v>
      </c>
      <c r="G42" s="2">
        <f t="shared" ca="1" si="6"/>
        <v>600.88879892722252</v>
      </c>
      <c r="H42" s="2">
        <f t="shared" ca="1" si="2"/>
        <v>0.31279142957855421</v>
      </c>
      <c r="I42" s="2">
        <f t="shared" ca="1" si="3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5"/>
        <v>621.20159035680103</v>
      </c>
      <c r="F43" s="2">
        <f t="shared" ca="1" si="8"/>
        <v>0</v>
      </c>
      <c r="G43" s="2">
        <f t="shared" ca="1" si="6"/>
        <v>621.20159035680103</v>
      </c>
      <c r="H43" s="2">
        <f t="shared" ca="1" si="2"/>
        <v>0.32336521141860874</v>
      </c>
      <c r="I43" s="2">
        <f t="shared" ca="1" si="3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5"/>
        <v>621.52495556821964</v>
      </c>
      <c r="F44" s="2">
        <f t="shared" ca="1" si="8"/>
        <v>0</v>
      </c>
      <c r="G44" s="2">
        <f t="shared" ca="1" si="6"/>
        <v>621.52495556821964</v>
      </c>
      <c r="H44" s="2">
        <f t="shared" ca="1" si="2"/>
        <v>0.32353353851496364</v>
      </c>
      <c r="I44" s="2">
        <f t="shared" ca="1" si="3"/>
        <v>0</v>
      </c>
    </row>
    <row r="45" spans="2:9" x14ac:dyDescent="0.2">
      <c r="B45" s="4">
        <f t="shared" ref="B45:C60" ca="1" si="9">B44+1</f>
        <v>44082</v>
      </c>
      <c r="C45">
        <f t="shared" si="9"/>
        <v>34</v>
      </c>
      <c r="D45">
        <f t="shared" ca="1" si="0"/>
        <v>3</v>
      </c>
      <c r="E45" s="2">
        <f t="shared" ca="1" si="5"/>
        <v>621.84848910673463</v>
      </c>
      <c r="F45" s="2">
        <f t="shared" ca="1" si="8"/>
        <v>0</v>
      </c>
      <c r="G45" s="2">
        <f t="shared" ca="1" si="6"/>
        <v>621.84848910673463</v>
      </c>
      <c r="H45" s="2">
        <f t="shared" ca="1" si="2"/>
        <v>0.3237019532336427</v>
      </c>
      <c r="I45" s="2">
        <f t="shared" ca="1" si="3"/>
        <v>0</v>
      </c>
    </row>
    <row r="46" spans="2:9" x14ac:dyDescent="0.2">
      <c r="B46" s="4">
        <f t="shared" ca="1" si="9"/>
        <v>44083</v>
      </c>
      <c r="C46">
        <f t="shared" si="9"/>
        <v>35</v>
      </c>
      <c r="D46">
        <f t="shared" ca="1" si="0"/>
        <v>4</v>
      </c>
      <c r="E46" s="2">
        <f t="shared" ca="1" si="5"/>
        <v>622.17219105996833</v>
      </c>
      <c r="F46" s="2">
        <f t="shared" ca="1" si="8"/>
        <v>0</v>
      </c>
      <c r="G46" s="2">
        <f t="shared" ca="1" si="6"/>
        <v>622.17219105996833</v>
      </c>
      <c r="H46" s="2">
        <f t="shared" ca="1" si="2"/>
        <v>0.32387045562025746</v>
      </c>
      <c r="I46" s="2">
        <f t="shared" ca="1" si="3"/>
        <v>0</v>
      </c>
    </row>
    <row r="47" spans="2:9" x14ac:dyDescent="0.2">
      <c r="B47" s="4">
        <f t="shared" ca="1" si="9"/>
        <v>44084</v>
      </c>
      <c r="C47">
        <f t="shared" si="9"/>
        <v>36</v>
      </c>
      <c r="D47">
        <f t="shared" ca="1" si="0"/>
        <v>5</v>
      </c>
      <c r="E47" s="2">
        <f t="shared" ca="1" si="5"/>
        <v>622.49606151558862</v>
      </c>
      <c r="F47" s="2">
        <f t="shared" ca="1" si="8"/>
        <v>0</v>
      </c>
      <c r="G47" s="2">
        <f t="shared" ca="1" si="6"/>
        <v>622.49606151558862</v>
      </c>
      <c r="H47" s="2">
        <f t="shared" ca="1" si="2"/>
        <v>0.3240390457204434</v>
      </c>
      <c r="I47" s="2">
        <f t="shared" ca="1" si="3"/>
        <v>0</v>
      </c>
    </row>
    <row r="48" spans="2:9" x14ac:dyDescent="0.2">
      <c r="B48" s="4">
        <f t="shared" ca="1" si="9"/>
        <v>44085</v>
      </c>
      <c r="C48">
        <f t="shared" si="9"/>
        <v>37</v>
      </c>
      <c r="D48">
        <f t="shared" ca="1" si="0"/>
        <v>6</v>
      </c>
      <c r="E48" s="2">
        <f t="shared" ca="1" si="5"/>
        <v>622.82010056130912</v>
      </c>
      <c r="F48" s="2">
        <f t="shared" ca="1" si="8"/>
        <v>0</v>
      </c>
      <c r="G48" s="2">
        <f t="shared" ca="1" si="6"/>
        <v>622.82010056130912</v>
      </c>
      <c r="H48" s="2">
        <f t="shared" ca="1" si="2"/>
        <v>0.32420772357985955</v>
      </c>
      <c r="I48" s="2">
        <f t="shared" ca="1" si="3"/>
        <v>0</v>
      </c>
    </row>
    <row r="49" spans="2:9" x14ac:dyDescent="0.2">
      <c r="B49" s="4">
        <f t="shared" ca="1" si="9"/>
        <v>44086</v>
      </c>
      <c r="C49">
        <f t="shared" si="9"/>
        <v>38</v>
      </c>
      <c r="D49">
        <f t="shared" ca="1" si="0"/>
        <v>7</v>
      </c>
      <c r="E49" s="2">
        <f t="shared" ca="1" si="5"/>
        <v>623.14430828488901</v>
      </c>
      <c r="F49" s="2">
        <f t="shared" ca="1" si="8"/>
        <v>0</v>
      </c>
      <c r="G49" s="2">
        <f t="shared" ca="1" si="6"/>
        <v>623.14430828488901</v>
      </c>
      <c r="H49" s="2">
        <f t="shared" ca="1" si="2"/>
        <v>0.32437648924418877</v>
      </c>
      <c r="I49" s="2">
        <f t="shared" ca="1" si="3"/>
        <v>20</v>
      </c>
    </row>
    <row r="50" spans="2:9" x14ac:dyDescent="0.2">
      <c r="B50" s="4">
        <f t="shared" ca="1" si="9"/>
        <v>44087</v>
      </c>
      <c r="C50">
        <f t="shared" si="9"/>
        <v>39</v>
      </c>
      <c r="D50">
        <f t="shared" ca="1" si="0"/>
        <v>1</v>
      </c>
      <c r="E50" s="2">
        <f t="shared" ca="1" si="5"/>
        <v>643.46868477413318</v>
      </c>
      <c r="F50" s="2">
        <f t="shared" ca="1" si="8"/>
        <v>0</v>
      </c>
      <c r="G50" s="2">
        <f t="shared" ca="1" si="6"/>
        <v>643.46868477413318</v>
      </c>
      <c r="H50" s="2">
        <f t="shared" ca="1" si="2"/>
        <v>0.33495630166324741</v>
      </c>
      <c r="I50" s="2">
        <f t="shared" ca="1" si="3"/>
        <v>0</v>
      </c>
    </row>
    <row r="51" spans="2:9" x14ac:dyDescent="0.2">
      <c r="B51" s="4">
        <f t="shared" ca="1" si="9"/>
        <v>44088</v>
      </c>
      <c r="C51">
        <f t="shared" si="9"/>
        <v>40</v>
      </c>
      <c r="D51">
        <f t="shared" ca="1" si="0"/>
        <v>2</v>
      </c>
      <c r="E51" s="2">
        <f t="shared" ca="1" si="5"/>
        <v>643.80364107579646</v>
      </c>
      <c r="F51" s="2">
        <f t="shared" ca="1" si="8"/>
        <v>0</v>
      </c>
      <c r="G51" s="2">
        <f t="shared" ca="1" si="6"/>
        <v>643.80364107579646</v>
      </c>
      <c r="H51" s="2">
        <f t="shared" ca="1" si="2"/>
        <v>0.33513066247781187</v>
      </c>
      <c r="I51" s="2">
        <f t="shared" ca="1" si="3"/>
        <v>0</v>
      </c>
    </row>
    <row r="52" spans="2:9" x14ac:dyDescent="0.2">
      <c r="B52" s="4">
        <f t="shared" ca="1" si="9"/>
        <v>44089</v>
      </c>
      <c r="C52">
        <f t="shared" si="9"/>
        <v>41</v>
      </c>
      <c r="D52">
        <f t="shared" ca="1" si="0"/>
        <v>3</v>
      </c>
      <c r="E52" s="2">
        <f t="shared" ca="1" si="5"/>
        <v>644.13877173827427</v>
      </c>
      <c r="F52" s="2">
        <f t="shared" ca="1" si="8"/>
        <v>0</v>
      </c>
      <c r="G52" s="2">
        <f t="shared" ca="1" si="6"/>
        <v>644.13877173827427</v>
      </c>
      <c r="H52" s="2">
        <f t="shared" ca="1" si="2"/>
        <v>0.33530511405554003</v>
      </c>
      <c r="I52" s="2">
        <f t="shared" ca="1" si="3"/>
        <v>0</v>
      </c>
    </row>
    <row r="53" spans="2:9" x14ac:dyDescent="0.2">
      <c r="B53" s="4">
        <f t="shared" ca="1" si="9"/>
        <v>44090</v>
      </c>
      <c r="C53">
        <f t="shared" si="9"/>
        <v>42</v>
      </c>
      <c r="D53">
        <f t="shared" ca="1" si="0"/>
        <v>4</v>
      </c>
      <c r="E53" s="2">
        <f t="shared" ca="1" si="5"/>
        <v>644.47407685232986</v>
      </c>
      <c r="F53" s="2">
        <f t="shared" ca="1" si="8"/>
        <v>0</v>
      </c>
      <c r="G53" s="2">
        <f t="shared" ca="1" si="6"/>
        <v>644.47407685232986</v>
      </c>
      <c r="H53" s="2">
        <f t="shared" ca="1" si="2"/>
        <v>0.33547965644367855</v>
      </c>
      <c r="I53" s="2">
        <f t="shared" ca="1" si="3"/>
        <v>0</v>
      </c>
    </row>
    <row r="54" spans="2:9" x14ac:dyDescent="0.2">
      <c r="B54" s="4">
        <f t="shared" ca="1" si="9"/>
        <v>44091</v>
      </c>
      <c r="C54">
        <f t="shared" si="9"/>
        <v>43</v>
      </c>
      <c r="D54">
        <f t="shared" ca="1" si="0"/>
        <v>5</v>
      </c>
      <c r="E54" s="2">
        <f t="shared" ca="1" si="5"/>
        <v>644.80955650877354</v>
      </c>
      <c r="F54" s="2">
        <f t="shared" ca="1" si="8"/>
        <v>0</v>
      </c>
      <c r="G54" s="2">
        <f t="shared" ca="1" si="6"/>
        <v>644.80955650877354</v>
      </c>
      <c r="H54" s="2">
        <f t="shared" ca="1" si="2"/>
        <v>0.33565428968949856</v>
      </c>
      <c r="I54" s="2">
        <f t="shared" ca="1" si="3"/>
        <v>0</v>
      </c>
    </row>
    <row r="55" spans="2:9" x14ac:dyDescent="0.2">
      <c r="B55" s="4">
        <f t="shared" ca="1" si="9"/>
        <v>44092</v>
      </c>
      <c r="C55">
        <f t="shared" si="9"/>
        <v>44</v>
      </c>
      <c r="D55">
        <f t="shared" ca="1" si="0"/>
        <v>6</v>
      </c>
      <c r="E55" s="2">
        <f t="shared" ca="1" si="5"/>
        <v>645.14521079846304</v>
      </c>
      <c r="F55" s="2">
        <f t="shared" ca="1" si="8"/>
        <v>0</v>
      </c>
      <c r="G55" s="2">
        <f t="shared" ca="1" si="6"/>
        <v>645.14521079846304</v>
      </c>
      <c r="H55" s="2">
        <f t="shared" ca="1" si="2"/>
        <v>0.33582901384029584</v>
      </c>
      <c r="I55" s="2">
        <f t="shared" ca="1" si="3"/>
        <v>0</v>
      </c>
    </row>
    <row r="56" spans="2:9" x14ac:dyDescent="0.2">
      <c r="B56" s="4">
        <f t="shared" ca="1" si="9"/>
        <v>44093</v>
      </c>
      <c r="C56">
        <f t="shared" si="9"/>
        <v>45</v>
      </c>
      <c r="D56">
        <f t="shared" ca="1" si="0"/>
        <v>7</v>
      </c>
      <c r="E56" s="2">
        <f t="shared" ca="1" si="5"/>
        <v>645.48103981230338</v>
      </c>
      <c r="F56" s="2">
        <f t="shared" ca="1" si="8"/>
        <v>0</v>
      </c>
      <c r="G56" s="2">
        <f t="shared" ca="1" si="6"/>
        <v>645.48103981230338</v>
      </c>
      <c r="H56" s="2">
        <f t="shared" ca="1" si="2"/>
        <v>0.33600382894339081</v>
      </c>
      <c r="I56" s="2">
        <f t="shared" ca="1" si="3"/>
        <v>20</v>
      </c>
    </row>
    <row r="57" spans="2:9" x14ac:dyDescent="0.2">
      <c r="B57" s="4">
        <f t="shared" ca="1" si="9"/>
        <v>44094</v>
      </c>
      <c r="C57">
        <f t="shared" si="9"/>
        <v>46</v>
      </c>
      <c r="D57">
        <f t="shared" ca="1" si="0"/>
        <v>1</v>
      </c>
      <c r="E57" s="2">
        <f t="shared" ca="1" si="5"/>
        <v>665.81704364124676</v>
      </c>
      <c r="F57" s="2">
        <f t="shared" ca="1" si="8"/>
        <v>0</v>
      </c>
      <c r="G57" s="2">
        <f t="shared" ca="1" si="6"/>
        <v>665.81704364124676</v>
      </c>
      <c r="H57" s="2">
        <f t="shared" ca="1" si="2"/>
        <v>0.34658969395023803</v>
      </c>
      <c r="I57" s="2">
        <f t="shared" ca="1" si="3"/>
        <v>0</v>
      </c>
    </row>
    <row r="58" spans="2:9" x14ac:dyDescent="0.2">
      <c r="B58" s="4">
        <f t="shared" ca="1" si="9"/>
        <v>44095</v>
      </c>
      <c r="C58">
        <f t="shared" si="9"/>
        <v>47</v>
      </c>
      <c r="D58">
        <f t="shared" ca="1" si="0"/>
        <v>2</v>
      </c>
      <c r="E58" s="2">
        <f t="shared" ca="1" si="5"/>
        <v>666.16363333519701</v>
      </c>
      <c r="F58" s="2">
        <f t="shared" ca="1" si="8"/>
        <v>0</v>
      </c>
      <c r="G58" s="2">
        <f t="shared" ca="1" si="6"/>
        <v>666.16363333519701</v>
      </c>
      <c r="H58" s="2">
        <f t="shared" ca="1" si="2"/>
        <v>0.34677011050325324</v>
      </c>
      <c r="I58" s="2">
        <f t="shared" ca="1" si="3"/>
        <v>0</v>
      </c>
    </row>
    <row r="59" spans="2:9" x14ac:dyDescent="0.2">
      <c r="B59" s="4">
        <f t="shared" ca="1" si="9"/>
        <v>44096</v>
      </c>
      <c r="C59">
        <f t="shared" si="9"/>
        <v>48</v>
      </c>
      <c r="D59">
        <f t="shared" ca="1" si="0"/>
        <v>3</v>
      </c>
      <c r="E59" s="2">
        <f t="shared" ca="1" si="5"/>
        <v>666.51040344570026</v>
      </c>
      <c r="F59" s="2">
        <f t="shared" ca="1" si="8"/>
        <v>0</v>
      </c>
      <c r="G59" s="2">
        <f t="shared" ca="1" si="6"/>
        <v>666.51040344570026</v>
      </c>
      <c r="H59" s="2">
        <f t="shared" ca="1" si="2"/>
        <v>0.3469506209717344</v>
      </c>
      <c r="I59" s="2">
        <f t="shared" ca="1" si="3"/>
        <v>0</v>
      </c>
    </row>
    <row r="60" spans="2:9" x14ac:dyDescent="0.2">
      <c r="B60" s="4">
        <f t="shared" ca="1" si="9"/>
        <v>44097</v>
      </c>
      <c r="C60">
        <f t="shared" si="9"/>
        <v>49</v>
      </c>
      <c r="D60">
        <f t="shared" ca="1" si="0"/>
        <v>4</v>
      </c>
      <c r="E60" s="2">
        <f t="shared" ca="1" si="5"/>
        <v>666.85735406667197</v>
      </c>
      <c r="F60" s="2">
        <f t="shared" ca="1" si="8"/>
        <v>0</v>
      </c>
      <c r="G60" s="2">
        <f t="shared" ca="1" si="6"/>
        <v>666.85735406667197</v>
      </c>
      <c r="H60" s="2">
        <f t="shared" ca="1" si="2"/>
        <v>0.34713122540456898</v>
      </c>
      <c r="I60" s="2">
        <f t="shared" ca="1" si="3"/>
        <v>0</v>
      </c>
    </row>
    <row r="61" spans="2:9" x14ac:dyDescent="0.2">
      <c r="B61" s="4">
        <f t="shared" ref="B61:C76" ca="1" si="10">B60+1</f>
        <v>44098</v>
      </c>
      <c r="C61">
        <f t="shared" si="10"/>
        <v>50</v>
      </c>
      <c r="D61">
        <f t="shared" ca="1" si="0"/>
        <v>5</v>
      </c>
      <c r="E61" s="2">
        <f t="shared" ca="1" si="5"/>
        <v>667.20448529207658</v>
      </c>
      <c r="F61" s="2">
        <f t="shared" ca="1" si="8"/>
        <v>0</v>
      </c>
      <c r="G61" s="2">
        <f t="shared" ca="1" si="6"/>
        <v>667.20448529207658</v>
      </c>
      <c r="H61" s="2">
        <f t="shared" ca="1" si="2"/>
        <v>0.34731192385067</v>
      </c>
      <c r="I61" s="2">
        <f t="shared" ca="1" si="3"/>
        <v>0</v>
      </c>
    </row>
    <row r="62" spans="2:9" x14ac:dyDescent="0.2">
      <c r="B62" s="4">
        <f t="shared" ca="1" si="10"/>
        <v>44099</v>
      </c>
      <c r="C62">
        <f t="shared" si="10"/>
        <v>51</v>
      </c>
      <c r="D62">
        <f t="shared" ca="1" si="0"/>
        <v>6</v>
      </c>
      <c r="E62" s="2">
        <f t="shared" ca="1" si="5"/>
        <v>667.55179721592731</v>
      </c>
      <c r="F62" s="2">
        <f t="shared" ca="1" si="8"/>
        <v>0</v>
      </c>
      <c r="G62" s="2">
        <f t="shared" ca="1" si="6"/>
        <v>667.55179721592731</v>
      </c>
      <c r="H62" s="2">
        <f t="shared" ca="1" si="2"/>
        <v>0.34749271635897588</v>
      </c>
      <c r="I62" s="2">
        <f t="shared" ca="1" si="3"/>
        <v>0</v>
      </c>
    </row>
    <row r="63" spans="2:9" x14ac:dyDescent="0.2">
      <c r="B63" s="4">
        <f t="shared" ca="1" si="10"/>
        <v>44100</v>
      </c>
      <c r="C63">
        <f t="shared" si="10"/>
        <v>52</v>
      </c>
      <c r="D63">
        <f t="shared" ca="1" si="0"/>
        <v>7</v>
      </c>
      <c r="E63" s="2">
        <f t="shared" ca="1" si="5"/>
        <v>667.89928993228625</v>
      </c>
      <c r="F63" s="2">
        <f t="shared" ca="1" si="8"/>
        <v>0</v>
      </c>
      <c r="G63" s="2">
        <f t="shared" ca="1" si="6"/>
        <v>667.89928993228625</v>
      </c>
      <c r="H63" s="2">
        <f t="shared" ca="1" si="2"/>
        <v>0.3476736029784504</v>
      </c>
      <c r="I63" s="2">
        <f t="shared" ca="1" si="3"/>
        <v>20</v>
      </c>
    </row>
    <row r="64" spans="2:9" x14ac:dyDescent="0.2">
      <c r="B64" s="4">
        <f t="shared" ca="1" si="10"/>
        <v>44101</v>
      </c>
      <c r="C64">
        <f t="shared" si="10"/>
        <v>53</v>
      </c>
      <c r="D64">
        <f t="shared" ca="1" si="0"/>
        <v>1</v>
      </c>
      <c r="E64" s="2">
        <f t="shared" ca="1" si="5"/>
        <v>688.24696353526474</v>
      </c>
      <c r="F64" s="2">
        <f t="shared" ca="1" si="8"/>
        <v>0</v>
      </c>
      <c r="G64" s="2">
        <f t="shared" ca="1" si="6"/>
        <v>688.24696353526474</v>
      </c>
      <c r="H64" s="2">
        <f t="shared" ca="1" si="2"/>
        <v>0.35826554266219257</v>
      </c>
      <c r="I64" s="2">
        <f t="shared" ca="1" si="3"/>
        <v>0</v>
      </c>
    </row>
    <row r="65" spans="2:9" x14ac:dyDescent="0.2">
      <c r="B65" s="4">
        <f t="shared" ca="1" si="10"/>
        <v>44102</v>
      </c>
      <c r="C65">
        <f t="shared" si="10"/>
        <v>54</v>
      </c>
      <c r="D65">
        <f t="shared" ca="1" si="0"/>
        <v>2</v>
      </c>
      <c r="E65" s="2">
        <f t="shared" ca="1" si="5"/>
        <v>688.60522907792688</v>
      </c>
      <c r="F65" s="2">
        <f t="shared" ca="1" si="8"/>
        <v>0</v>
      </c>
      <c r="G65" s="2">
        <f t="shared" ca="1" si="6"/>
        <v>688.60522907792688</v>
      </c>
      <c r="H65" s="2">
        <f t="shared" ca="1" si="2"/>
        <v>0.35845203705426326</v>
      </c>
      <c r="I65" s="2">
        <f t="shared" ca="1" si="3"/>
        <v>0</v>
      </c>
    </row>
    <row r="66" spans="2:9" x14ac:dyDescent="0.2">
      <c r="B66" s="4">
        <f t="shared" ca="1" si="10"/>
        <v>44103</v>
      </c>
      <c r="C66">
        <f t="shared" si="10"/>
        <v>55</v>
      </c>
      <c r="D66">
        <f t="shared" ca="1" si="0"/>
        <v>3</v>
      </c>
      <c r="E66" s="2">
        <f t="shared" ca="1" si="5"/>
        <v>688.96368111498111</v>
      </c>
      <c r="F66" s="2">
        <f t="shared" ca="1" si="8"/>
        <v>0</v>
      </c>
      <c r="G66" s="2">
        <f t="shared" ca="1" si="6"/>
        <v>688.96368111498111</v>
      </c>
      <c r="H66" s="2">
        <f t="shared" ca="1" si="2"/>
        <v>0.35863862852560663</v>
      </c>
      <c r="I66" s="2">
        <f t="shared" ca="1" si="3"/>
        <v>0</v>
      </c>
    </row>
    <row r="67" spans="2:9" x14ac:dyDescent="0.2">
      <c r="B67" s="4">
        <f t="shared" ca="1" si="10"/>
        <v>44104</v>
      </c>
      <c r="C67">
        <f t="shared" si="10"/>
        <v>56</v>
      </c>
      <c r="D67">
        <f t="shared" ca="1" si="0"/>
        <v>4</v>
      </c>
      <c r="E67" s="2">
        <f t="shared" ca="1" si="5"/>
        <v>689.32231974350668</v>
      </c>
      <c r="F67" s="2">
        <f t="shared" ca="1" si="8"/>
        <v>0</v>
      </c>
      <c r="G67" s="2">
        <f t="shared" ca="1" si="6"/>
        <v>689.32231974350668</v>
      </c>
      <c r="H67" s="2">
        <f t="shared" ca="1" si="2"/>
        <v>0.35882531712675692</v>
      </c>
      <c r="I67" s="2">
        <f t="shared" ca="1" si="3"/>
        <v>0</v>
      </c>
    </row>
    <row r="68" spans="2:9" x14ac:dyDescent="0.2">
      <c r="B68" s="4">
        <f t="shared" ca="1" si="10"/>
        <v>44105</v>
      </c>
      <c r="C68">
        <f t="shared" si="10"/>
        <v>57</v>
      </c>
      <c r="D68">
        <f t="shared" ca="1" si="0"/>
        <v>5</v>
      </c>
      <c r="E68" s="2">
        <f t="shared" ca="1" si="5"/>
        <v>689.68114506063341</v>
      </c>
      <c r="F68" s="2">
        <f t="shared" ca="1" si="8"/>
        <v>0</v>
      </c>
      <c r="G68" s="2">
        <f t="shared" ca="1" si="6"/>
        <v>689.68114506063341</v>
      </c>
      <c r="H68" s="2">
        <f t="shared" ca="1" si="2"/>
        <v>0.3590121029082749</v>
      </c>
      <c r="I68" s="2">
        <f t="shared" ca="1" si="3"/>
        <v>0</v>
      </c>
    </row>
    <row r="69" spans="2:9" x14ac:dyDescent="0.2">
      <c r="B69" s="4">
        <f t="shared" ca="1" si="10"/>
        <v>44106</v>
      </c>
      <c r="C69">
        <f t="shared" si="10"/>
        <v>58</v>
      </c>
      <c r="D69">
        <f t="shared" ca="1" si="0"/>
        <v>6</v>
      </c>
      <c r="E69" s="2">
        <f t="shared" ca="1" si="5"/>
        <v>690.04015716354172</v>
      </c>
      <c r="F69" s="2">
        <f t="shared" ca="1" si="8"/>
        <v>0</v>
      </c>
      <c r="G69" s="2">
        <f t="shared" ca="1" si="6"/>
        <v>690.04015716354172</v>
      </c>
      <c r="H69" s="2">
        <f t="shared" ca="1" si="2"/>
        <v>0.35919898592074773</v>
      </c>
      <c r="I69" s="2">
        <f t="shared" ca="1" si="3"/>
        <v>0</v>
      </c>
    </row>
    <row r="70" spans="2:9" x14ac:dyDescent="0.2">
      <c r="B70" s="4">
        <f t="shared" ca="1" si="10"/>
        <v>44107</v>
      </c>
      <c r="C70">
        <f t="shared" si="10"/>
        <v>59</v>
      </c>
      <c r="D70">
        <f t="shared" ca="1" si="0"/>
        <v>7</v>
      </c>
      <c r="E70" s="2">
        <f t="shared" ca="1" si="5"/>
        <v>690.39935614946251</v>
      </c>
      <c r="F70" s="2">
        <f t="shared" ca="1" si="8"/>
        <v>0</v>
      </c>
      <c r="G70" s="2">
        <f t="shared" ca="1" si="6"/>
        <v>690.39935614946251</v>
      </c>
      <c r="H70" s="2">
        <f t="shared" ca="1" si="2"/>
        <v>0.35938596621478869</v>
      </c>
      <c r="I70" s="2">
        <f t="shared" ca="1" si="3"/>
        <v>20</v>
      </c>
    </row>
    <row r="71" spans="2:9" x14ac:dyDescent="0.2">
      <c r="B71" s="4">
        <f t="shared" ca="1" si="10"/>
        <v>44108</v>
      </c>
      <c r="C71">
        <f t="shared" si="10"/>
        <v>60</v>
      </c>
      <c r="D71">
        <f t="shared" ca="1" si="0"/>
        <v>1</v>
      </c>
      <c r="E71" s="2">
        <f t="shared" ca="1" si="5"/>
        <v>710.75874211567725</v>
      </c>
      <c r="F71" s="2">
        <f t="shared" ca="1" si="8"/>
        <v>0</v>
      </c>
      <c r="G71" s="2">
        <f t="shared" ca="1" si="6"/>
        <v>710.75874211567725</v>
      </c>
      <c r="H71" s="2">
        <f t="shared" ca="1" si="2"/>
        <v>0.36998400274514703</v>
      </c>
      <c r="I71" s="2">
        <f t="shared" ca="1" si="3"/>
        <v>0</v>
      </c>
    </row>
    <row r="72" spans="2:9" x14ac:dyDescent="0.2">
      <c r="B72" s="4">
        <f t="shared" ca="1" si="10"/>
        <v>44109</v>
      </c>
      <c r="C72">
        <f t="shared" si="10"/>
        <v>61</v>
      </c>
      <c r="D72">
        <f t="shared" ca="1" si="0"/>
        <v>2</v>
      </c>
      <c r="E72" s="2">
        <f t="shared" ca="1" si="5"/>
        <v>711.12872611842238</v>
      </c>
      <c r="F72" s="2">
        <f t="shared" ca="1" si="8"/>
        <v>241.99949045987898</v>
      </c>
      <c r="G72" s="2">
        <f t="shared" ca="1" si="6"/>
        <v>469.12923565854339</v>
      </c>
      <c r="H72" s="2">
        <f t="shared" ca="1" si="2"/>
        <v>0.2442042596578719</v>
      </c>
      <c r="I72" s="2">
        <f t="shared" ca="1" si="3"/>
        <v>0</v>
      </c>
    </row>
    <row r="73" spans="2:9" x14ac:dyDescent="0.2">
      <c r="B73" s="4">
        <f t="shared" ca="1" si="10"/>
        <v>44110</v>
      </c>
      <c r="C73">
        <f t="shared" si="10"/>
        <v>62</v>
      </c>
      <c r="D73">
        <f t="shared" ca="1" si="0"/>
        <v>3</v>
      </c>
      <c r="E73" s="2">
        <f t="shared" ca="1" si="5"/>
        <v>469.37343991820126</v>
      </c>
      <c r="F73" s="2">
        <f t="shared" ca="1" si="8"/>
        <v>0</v>
      </c>
      <c r="G73" s="2">
        <f t="shared" ca="1" si="6"/>
        <v>469.37343991820126</v>
      </c>
      <c r="H73" s="2">
        <f t="shared" ca="1" si="2"/>
        <v>0.24433137968344723</v>
      </c>
      <c r="I73" s="2">
        <f t="shared" ca="1" si="3"/>
        <v>0</v>
      </c>
    </row>
    <row r="74" spans="2:9" x14ac:dyDescent="0.2">
      <c r="B74" s="4">
        <f t="shared" ca="1" si="10"/>
        <v>44111</v>
      </c>
      <c r="C74">
        <f t="shared" si="10"/>
        <v>63</v>
      </c>
      <c r="D74">
        <f t="shared" ca="1" si="0"/>
        <v>4</v>
      </c>
      <c r="E74" s="2">
        <f t="shared" ca="1" si="5"/>
        <v>469.6177712978847</v>
      </c>
      <c r="F74" s="2">
        <f t="shared" ca="1" si="8"/>
        <v>0</v>
      </c>
      <c r="G74" s="2">
        <f t="shared" ca="1" si="6"/>
        <v>469.6177712978847</v>
      </c>
      <c r="H74" s="2">
        <f t="shared" ca="1" si="2"/>
        <v>0.24445856588109066</v>
      </c>
      <c r="I74" s="2">
        <f t="shared" ca="1" si="3"/>
        <v>0</v>
      </c>
    </row>
    <row r="75" spans="2:9" x14ac:dyDescent="0.2">
      <c r="B75" s="4">
        <f t="shared" ca="1" si="10"/>
        <v>44112</v>
      </c>
      <c r="C75">
        <f t="shared" si="10"/>
        <v>64</v>
      </c>
      <c r="D75">
        <f t="shared" ca="1" si="0"/>
        <v>5</v>
      </c>
      <c r="E75" s="2">
        <f t="shared" ca="1" si="5"/>
        <v>469.86222986376578</v>
      </c>
      <c r="F75" s="2">
        <f t="shared" ca="1" si="8"/>
        <v>0</v>
      </c>
      <c r="G75" s="2">
        <f t="shared" ca="1" si="6"/>
        <v>469.86222986376578</v>
      </c>
      <c r="H75" s="2">
        <f t="shared" ca="1" si="2"/>
        <v>0.24458581828524795</v>
      </c>
      <c r="I75" s="2">
        <f t="shared" ca="1" si="3"/>
        <v>0</v>
      </c>
    </row>
    <row r="76" spans="2:9" x14ac:dyDescent="0.2">
      <c r="B76" s="4">
        <f t="shared" ca="1" si="10"/>
        <v>44113</v>
      </c>
      <c r="C76">
        <f t="shared" si="10"/>
        <v>65</v>
      </c>
      <c r="D76">
        <f t="shared" ref="D76:D139" ca="1" si="11">WEEKDAY(B76,1)</f>
        <v>6</v>
      </c>
      <c r="E76" s="2">
        <f t="shared" ca="1" si="5"/>
        <v>470.10681568205104</v>
      </c>
      <c r="F76" s="2">
        <f t="shared" ca="1" si="8"/>
        <v>0</v>
      </c>
      <c r="G76" s="2">
        <f t="shared" ca="1" si="6"/>
        <v>470.10681568205104</v>
      </c>
      <c r="H76" s="2">
        <f t="shared" ref="H76:H139" ca="1" si="12">IF(C76&gt;$C$7,0,(G76)*$C$5/365)</f>
        <v>0.24471313693038274</v>
      </c>
      <c r="I76" s="2">
        <f t="shared" ref="I76:I139" ca="1" si="13">IF(AND(C76=0,D76=7),$C$6,IF(C76=$C$7,0,IF(C76&lt;$C$7,IF(D76=7,$C$6,0),0)))</f>
        <v>0</v>
      </c>
    </row>
    <row r="77" spans="2:9" x14ac:dyDescent="0.2">
      <c r="B77" s="4">
        <f t="shared" ref="B77:C92" ca="1" si="14">B76+1</f>
        <v>44114</v>
      </c>
      <c r="C77">
        <f t="shared" si="14"/>
        <v>66</v>
      </c>
      <c r="D77">
        <f t="shared" ca="1" si="11"/>
        <v>7</v>
      </c>
      <c r="E77" s="2">
        <f t="shared" ref="E77:E140" ca="1" si="15">IF(C77&gt;$C$7,0,G76+H76+I76)</f>
        <v>470.35152881898142</v>
      </c>
      <c r="F77" s="2">
        <f t="shared" ca="1" si="8"/>
        <v>0</v>
      </c>
      <c r="G77" s="2">
        <f t="shared" ref="G77:G140" ca="1" si="16">IF(C77&gt;$C$7,G76,E77-F77)</f>
        <v>470.35152881898142</v>
      </c>
      <c r="H77" s="2">
        <f t="shared" ca="1" si="12"/>
        <v>0.24484052185097663</v>
      </c>
      <c r="I77" s="2">
        <f t="shared" ca="1" si="13"/>
        <v>20</v>
      </c>
    </row>
    <row r="78" spans="2:9" x14ac:dyDescent="0.2">
      <c r="B78" s="4">
        <f t="shared" ca="1" si="14"/>
        <v>44115</v>
      </c>
      <c r="C78">
        <f t="shared" si="14"/>
        <v>67</v>
      </c>
      <c r="D78">
        <f t="shared" ca="1" si="11"/>
        <v>1</v>
      </c>
      <c r="E78" s="2">
        <f t="shared" ca="1" si="15"/>
        <v>490.59636934083238</v>
      </c>
      <c r="F78" s="2">
        <f t="shared" ca="1" si="8"/>
        <v>0</v>
      </c>
      <c r="G78" s="2">
        <f t="shared" ca="1" si="16"/>
        <v>490.59636934083238</v>
      </c>
      <c r="H78" s="2">
        <f t="shared" ca="1" si="12"/>
        <v>0.25537893198563877</v>
      </c>
      <c r="I78" s="2">
        <f t="shared" ca="1" si="13"/>
        <v>0</v>
      </c>
    </row>
    <row r="79" spans="2:9" x14ac:dyDescent="0.2">
      <c r="B79" s="4">
        <f t="shared" ca="1" si="14"/>
        <v>44116</v>
      </c>
      <c r="C79">
        <f t="shared" si="14"/>
        <v>68</v>
      </c>
      <c r="D79">
        <f t="shared" ca="1" si="11"/>
        <v>2</v>
      </c>
      <c r="E79" s="2">
        <f t="shared" ca="1" si="15"/>
        <v>490.85174827281804</v>
      </c>
      <c r="F79" s="2">
        <f t="shared" ca="1" si="8"/>
        <v>0</v>
      </c>
      <c r="G79" s="2">
        <f t="shared" ca="1" si="16"/>
        <v>490.85174827281804</v>
      </c>
      <c r="H79" s="2">
        <f t="shared" ca="1" si="12"/>
        <v>0.25551186896393269</v>
      </c>
      <c r="I79" s="2">
        <f t="shared" ca="1" si="13"/>
        <v>0</v>
      </c>
    </row>
    <row r="80" spans="2:9" x14ac:dyDescent="0.2">
      <c r="B80" s="4">
        <f t="shared" ca="1" si="14"/>
        <v>44117</v>
      </c>
      <c r="C80">
        <f t="shared" si="14"/>
        <v>69</v>
      </c>
      <c r="D80">
        <f t="shared" ca="1" si="11"/>
        <v>3</v>
      </c>
      <c r="E80" s="2">
        <f t="shared" ca="1" si="15"/>
        <v>491.10726014178198</v>
      </c>
      <c r="F80" s="2">
        <f t="shared" ca="1" si="8"/>
        <v>0</v>
      </c>
      <c r="G80" s="2">
        <f t="shared" ca="1" si="16"/>
        <v>491.10726014178198</v>
      </c>
      <c r="H80" s="2">
        <f t="shared" ca="1" si="12"/>
        <v>0.2556448751422975</v>
      </c>
      <c r="I80" s="2">
        <f t="shared" ca="1" si="13"/>
        <v>0</v>
      </c>
    </row>
    <row r="81" spans="2:9" x14ac:dyDescent="0.2">
      <c r="B81" s="4">
        <f t="shared" ca="1" si="14"/>
        <v>44118</v>
      </c>
      <c r="C81">
        <f t="shared" si="14"/>
        <v>70</v>
      </c>
      <c r="D81">
        <f t="shared" ca="1" si="11"/>
        <v>4</v>
      </c>
      <c r="E81" s="2">
        <f t="shared" ca="1" si="15"/>
        <v>491.36290501692429</v>
      </c>
      <c r="F81" s="2">
        <f t="shared" ca="1" si="8"/>
        <v>0</v>
      </c>
      <c r="G81" s="2">
        <f t="shared" ca="1" si="16"/>
        <v>491.36290501692429</v>
      </c>
      <c r="H81" s="2">
        <f t="shared" ca="1" si="12"/>
        <v>0.25577795055675512</v>
      </c>
      <c r="I81" s="2">
        <f t="shared" ca="1" si="13"/>
        <v>0</v>
      </c>
    </row>
    <row r="82" spans="2:9" x14ac:dyDescent="0.2">
      <c r="B82" s="4">
        <f t="shared" ca="1" si="14"/>
        <v>44119</v>
      </c>
      <c r="C82">
        <f t="shared" si="14"/>
        <v>71</v>
      </c>
      <c r="D82">
        <f t="shared" ca="1" si="11"/>
        <v>5</v>
      </c>
      <c r="E82" s="2">
        <f t="shared" ca="1" si="15"/>
        <v>491.61868296748105</v>
      </c>
      <c r="F82" s="2">
        <f t="shared" ca="1" si="8"/>
        <v>0</v>
      </c>
      <c r="G82" s="2">
        <f t="shared" ca="1" si="16"/>
        <v>491.61868296748105</v>
      </c>
      <c r="H82" s="2">
        <f t="shared" ca="1" si="12"/>
        <v>0.25591109524334632</v>
      </c>
      <c r="I82" s="2">
        <f t="shared" ca="1" si="13"/>
        <v>0</v>
      </c>
    </row>
    <row r="83" spans="2:9" x14ac:dyDescent="0.2">
      <c r="B83" s="4">
        <f t="shared" ca="1" si="14"/>
        <v>44120</v>
      </c>
      <c r="C83">
        <f t="shared" si="14"/>
        <v>72</v>
      </c>
      <c r="D83">
        <f t="shared" ca="1" si="11"/>
        <v>6</v>
      </c>
      <c r="E83" s="2">
        <f t="shared" ca="1" si="15"/>
        <v>491.87459406272438</v>
      </c>
      <c r="F83" s="2">
        <f t="shared" ca="1" si="8"/>
        <v>0</v>
      </c>
      <c r="G83" s="2">
        <f t="shared" ca="1" si="16"/>
        <v>491.87459406272438</v>
      </c>
      <c r="H83" s="2">
        <f t="shared" ca="1" si="12"/>
        <v>0.25604430923813049</v>
      </c>
      <c r="I83" s="2">
        <f t="shared" ca="1" si="13"/>
        <v>0</v>
      </c>
    </row>
    <row r="84" spans="2:9" x14ac:dyDescent="0.2">
      <c r="B84" s="4">
        <f t="shared" ca="1" si="14"/>
        <v>44121</v>
      </c>
      <c r="C84">
        <f t="shared" si="14"/>
        <v>73</v>
      </c>
      <c r="D84">
        <f t="shared" ca="1" si="11"/>
        <v>7</v>
      </c>
      <c r="E84" s="2">
        <f t="shared" ca="1" si="15"/>
        <v>492.1306383719625</v>
      </c>
      <c r="F84" s="2">
        <f t="shared" ca="1" si="8"/>
        <v>0</v>
      </c>
      <c r="G84" s="2">
        <f t="shared" ca="1" si="16"/>
        <v>492.1306383719625</v>
      </c>
      <c r="H84" s="2">
        <f t="shared" ca="1" si="12"/>
        <v>0.25617759257718598</v>
      </c>
      <c r="I84" s="2">
        <f t="shared" ca="1" si="13"/>
        <v>20</v>
      </c>
    </row>
    <row r="85" spans="2:9" x14ac:dyDescent="0.2">
      <c r="B85" s="4">
        <f t="shared" ca="1" si="14"/>
        <v>44122</v>
      </c>
      <c r="C85">
        <f t="shared" si="14"/>
        <v>74</v>
      </c>
      <c r="D85">
        <f t="shared" ca="1" si="11"/>
        <v>1</v>
      </c>
      <c r="E85" s="2">
        <f t="shared" ca="1" si="15"/>
        <v>512.38681596453966</v>
      </c>
      <c r="F85" s="2">
        <f t="shared" ca="1" si="8"/>
        <v>0</v>
      </c>
      <c r="G85" s="2">
        <f t="shared" ca="1" si="16"/>
        <v>512.38681596453966</v>
      </c>
      <c r="H85" s="2">
        <f t="shared" ca="1" si="12"/>
        <v>0.26672190420071928</v>
      </c>
      <c r="I85" s="2">
        <f t="shared" ca="1" si="13"/>
        <v>0</v>
      </c>
    </row>
    <row r="86" spans="2:9" x14ac:dyDescent="0.2">
      <c r="B86" s="4">
        <f t="shared" ca="1" si="14"/>
        <v>44123</v>
      </c>
      <c r="C86">
        <f t="shared" si="14"/>
        <v>75</v>
      </c>
      <c r="D86">
        <f t="shared" ca="1" si="11"/>
        <v>2</v>
      </c>
      <c r="E86" s="2">
        <f t="shared" ca="1" si="15"/>
        <v>512.65353786874039</v>
      </c>
      <c r="F86" s="2">
        <f t="shared" ca="1" si="8"/>
        <v>0</v>
      </c>
      <c r="G86" s="2">
        <f t="shared" ca="1" si="16"/>
        <v>512.65353786874039</v>
      </c>
      <c r="H86" s="2">
        <f t="shared" ca="1" si="12"/>
        <v>0.26686074573989227</v>
      </c>
      <c r="I86" s="2">
        <f t="shared" ca="1" si="13"/>
        <v>0</v>
      </c>
    </row>
    <row r="87" spans="2:9" x14ac:dyDescent="0.2">
      <c r="B87" s="4">
        <f t="shared" ca="1" si="14"/>
        <v>44124</v>
      </c>
      <c r="C87">
        <f t="shared" si="14"/>
        <v>76</v>
      </c>
      <c r="D87">
        <f t="shared" ca="1" si="11"/>
        <v>3</v>
      </c>
      <c r="E87" s="2">
        <f t="shared" ca="1" si="15"/>
        <v>512.92039861448029</v>
      </c>
      <c r="F87" s="2">
        <f t="shared" ca="1" si="8"/>
        <v>0</v>
      </c>
      <c r="G87" s="2">
        <f t="shared" ca="1" si="16"/>
        <v>512.92039861448029</v>
      </c>
      <c r="H87" s="2">
        <f t="shared" ca="1" si="12"/>
        <v>0.26699965955274318</v>
      </c>
      <c r="I87" s="2">
        <f t="shared" ca="1" si="13"/>
        <v>0</v>
      </c>
    </row>
    <row r="88" spans="2:9" x14ac:dyDescent="0.2">
      <c r="B88" s="4">
        <f t="shared" ca="1" si="14"/>
        <v>44125</v>
      </c>
      <c r="C88">
        <f t="shared" si="14"/>
        <v>77</v>
      </c>
      <c r="D88">
        <f t="shared" ca="1" si="11"/>
        <v>4</v>
      </c>
      <c r="E88" s="2">
        <f t="shared" ca="1" si="15"/>
        <v>513.18739827403306</v>
      </c>
      <c r="F88" s="2">
        <f t="shared" ca="1" si="8"/>
        <v>0</v>
      </c>
      <c r="G88" s="2">
        <f t="shared" ca="1" si="16"/>
        <v>513.18739827403306</v>
      </c>
      <c r="H88" s="2">
        <f t="shared" ca="1" si="12"/>
        <v>0.26713864567689394</v>
      </c>
      <c r="I88" s="2">
        <f t="shared" ca="1" si="13"/>
        <v>0</v>
      </c>
    </row>
    <row r="89" spans="2:9" x14ac:dyDescent="0.2">
      <c r="B89" s="4">
        <f t="shared" ca="1" si="14"/>
        <v>44126</v>
      </c>
      <c r="C89">
        <f t="shared" si="14"/>
        <v>78</v>
      </c>
      <c r="D89">
        <f t="shared" ca="1" si="11"/>
        <v>5</v>
      </c>
      <c r="E89" s="2">
        <f t="shared" ca="1" si="15"/>
        <v>513.45453691970999</v>
      </c>
      <c r="F89" s="2">
        <f t="shared" ca="1" si="8"/>
        <v>0</v>
      </c>
      <c r="G89" s="2">
        <f t="shared" ca="1" si="16"/>
        <v>513.45453691970999</v>
      </c>
      <c r="H89" s="2">
        <f t="shared" ca="1" si="12"/>
        <v>0.26727770414998603</v>
      </c>
      <c r="I89" s="2">
        <f t="shared" ca="1" si="13"/>
        <v>0</v>
      </c>
    </row>
    <row r="90" spans="2:9" x14ac:dyDescent="0.2">
      <c r="B90" s="4">
        <f t="shared" ca="1" si="14"/>
        <v>44127</v>
      </c>
      <c r="C90">
        <f t="shared" si="14"/>
        <v>79</v>
      </c>
      <c r="D90">
        <f t="shared" ca="1" si="11"/>
        <v>6</v>
      </c>
      <c r="E90" s="2">
        <f t="shared" ca="1" si="15"/>
        <v>513.72181462385993</v>
      </c>
      <c r="F90" s="2">
        <f t="shared" ca="1" si="8"/>
        <v>0</v>
      </c>
      <c r="G90" s="2">
        <f t="shared" ca="1" si="16"/>
        <v>513.72181462385993</v>
      </c>
      <c r="H90" s="2">
        <f t="shared" ca="1" si="12"/>
        <v>0.2674168350096805</v>
      </c>
      <c r="I90" s="2">
        <f t="shared" ca="1" si="13"/>
        <v>0</v>
      </c>
    </row>
    <row r="91" spans="2:9" x14ac:dyDescent="0.2">
      <c r="B91" s="4">
        <f t="shared" ca="1" si="14"/>
        <v>44128</v>
      </c>
      <c r="C91">
        <f t="shared" si="14"/>
        <v>80</v>
      </c>
      <c r="D91">
        <f t="shared" ca="1" si="11"/>
        <v>7</v>
      </c>
      <c r="E91" s="2">
        <f t="shared" ca="1" si="15"/>
        <v>513.98923145886965</v>
      </c>
      <c r="F91" s="2">
        <f t="shared" ca="1" si="8"/>
        <v>0</v>
      </c>
      <c r="G91" s="2">
        <f t="shared" ca="1" si="16"/>
        <v>513.98923145886965</v>
      </c>
      <c r="H91" s="2">
        <f t="shared" ca="1" si="12"/>
        <v>0.26755603829365815</v>
      </c>
      <c r="I91" s="2">
        <f t="shared" ca="1" si="13"/>
        <v>20</v>
      </c>
    </row>
    <row r="92" spans="2:9" x14ac:dyDescent="0.2">
      <c r="B92" s="4">
        <f t="shared" ca="1" si="14"/>
        <v>44129</v>
      </c>
      <c r="C92">
        <f t="shared" si="14"/>
        <v>81</v>
      </c>
      <c r="D92">
        <f t="shared" ca="1" si="11"/>
        <v>1</v>
      </c>
      <c r="E92" s="2">
        <f t="shared" ca="1" si="15"/>
        <v>534.25678749716326</v>
      </c>
      <c r="F92" s="2">
        <f t="shared" ca="1" si="8"/>
        <v>0</v>
      </c>
      <c r="G92" s="2">
        <f t="shared" ca="1" si="16"/>
        <v>534.25678749716326</v>
      </c>
      <c r="H92" s="2">
        <f t="shared" ca="1" si="12"/>
        <v>0.27810627294372881</v>
      </c>
      <c r="I92" s="2">
        <f t="shared" ca="1" si="13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1"/>
        <v>2</v>
      </c>
      <c r="E93" s="2">
        <f t="shared" ca="1" si="15"/>
        <v>534.53489377010703</v>
      </c>
      <c r="F93" s="2">
        <f t="shared" ca="1" si="8"/>
        <v>0</v>
      </c>
      <c r="G93" s="2">
        <f t="shared" ca="1" si="16"/>
        <v>534.53489377010703</v>
      </c>
      <c r="H93" s="2">
        <f t="shared" ca="1" si="12"/>
        <v>0.27825104059265843</v>
      </c>
      <c r="I93" s="2">
        <f t="shared" ca="1" si="13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1"/>
        <v>3</v>
      </c>
      <c r="E94" s="2">
        <f t="shared" ca="1" si="15"/>
        <v>534.81314481069967</v>
      </c>
      <c r="F94" s="2">
        <f t="shared" ca="1" si="8"/>
        <v>0</v>
      </c>
      <c r="G94" s="2">
        <f t="shared" ca="1" si="16"/>
        <v>534.81314481069967</v>
      </c>
      <c r="H94" s="2">
        <f t="shared" ca="1" si="12"/>
        <v>0.27839588360009021</v>
      </c>
      <c r="I94" s="2">
        <f t="shared" ca="1" si="13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1"/>
        <v>4</v>
      </c>
      <c r="E95" s="2">
        <f t="shared" ca="1" si="15"/>
        <v>535.09154069429974</v>
      </c>
      <c r="F95" s="2">
        <f t="shared" ca="1" si="8"/>
        <v>0</v>
      </c>
      <c r="G95" s="2">
        <f t="shared" ca="1" si="16"/>
        <v>535.09154069429974</v>
      </c>
      <c r="H95" s="2">
        <f t="shared" ca="1" si="12"/>
        <v>0.27854080200525189</v>
      </c>
      <c r="I95" s="2">
        <f t="shared" ca="1" si="13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1"/>
        <v>5</v>
      </c>
      <c r="E96" s="2">
        <f t="shared" ca="1" si="15"/>
        <v>535.37008149630503</v>
      </c>
      <c r="F96" s="2">
        <f t="shared" ca="1" si="8"/>
        <v>0</v>
      </c>
      <c r="G96" s="2">
        <f t="shared" ca="1" si="16"/>
        <v>535.37008149630503</v>
      </c>
      <c r="H96" s="2">
        <f t="shared" ca="1" si="12"/>
        <v>0.27868579584739167</v>
      </c>
      <c r="I96" s="2">
        <f t="shared" ca="1" si="13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1"/>
        <v>6</v>
      </c>
      <c r="E97" s="2">
        <f t="shared" ca="1" si="15"/>
        <v>535.64876729215246</v>
      </c>
      <c r="F97" s="2">
        <f t="shared" ca="1" si="8"/>
        <v>0</v>
      </c>
      <c r="G97" s="2">
        <f t="shared" ca="1" si="16"/>
        <v>535.64876729215246</v>
      </c>
      <c r="H97" s="2">
        <f t="shared" ca="1" si="12"/>
        <v>0.27883086516577799</v>
      </c>
      <c r="I97" s="2">
        <f t="shared" ca="1" si="13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1"/>
        <v>7</v>
      </c>
      <c r="E98" s="2">
        <f t="shared" ca="1" si="15"/>
        <v>535.92759815731824</v>
      </c>
      <c r="F98" s="2">
        <f t="shared" ca="1" si="8"/>
        <v>0</v>
      </c>
      <c r="G98" s="2">
        <f t="shared" ca="1" si="16"/>
        <v>535.92759815731824</v>
      </c>
      <c r="H98" s="2">
        <f t="shared" ca="1" si="12"/>
        <v>0.2789760099996999</v>
      </c>
      <c r="I98" s="2">
        <f t="shared" ca="1" si="13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1"/>
        <v>1</v>
      </c>
      <c r="E99" s="2">
        <f t="shared" ca="1" si="15"/>
        <v>556.20657416731797</v>
      </c>
      <c r="F99" s="2">
        <f t="shared" ca="1" si="8"/>
        <v>0</v>
      </c>
      <c r="G99" s="2">
        <f t="shared" ca="1" si="16"/>
        <v>556.20657416731797</v>
      </c>
      <c r="H99" s="2">
        <f t="shared" ca="1" si="12"/>
        <v>0.28953218929257646</v>
      </c>
      <c r="I99" s="2">
        <f t="shared" ca="1" si="13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1"/>
        <v>2</v>
      </c>
      <c r="E100" s="2">
        <f t="shared" ca="1" si="15"/>
        <v>556.49610635661054</v>
      </c>
      <c r="F100" s="2">
        <f t="shared" ref="F100:F163" ca="1" si="18">IF(C100&gt;$C$7,0,IF(ROUND(E100,0)&gt;0,IF(C100=0,0,IF(DAY($F$2)&lt;&gt;DAY(B100),0,$C$8)),0))</f>
        <v>0</v>
      </c>
      <c r="G100" s="2">
        <f t="shared" ca="1" si="16"/>
        <v>556.49610635661054</v>
      </c>
      <c r="H100" s="2">
        <f t="shared" ca="1" si="12"/>
        <v>0.2896829046787836</v>
      </c>
      <c r="I100" s="2">
        <f t="shared" ca="1" si="13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1"/>
        <v>3</v>
      </c>
      <c r="E101" s="2">
        <f t="shared" ca="1" si="15"/>
        <v>556.78578926128932</v>
      </c>
      <c r="F101" s="2">
        <f t="shared" ca="1" si="18"/>
        <v>0</v>
      </c>
      <c r="G101" s="2">
        <f t="shared" ca="1" si="16"/>
        <v>556.78578926128932</v>
      </c>
      <c r="H101" s="2">
        <f t="shared" ca="1" si="12"/>
        <v>0.2898336985195753</v>
      </c>
      <c r="I101" s="2">
        <f t="shared" ca="1" si="13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1"/>
        <v>4</v>
      </c>
      <c r="E102" s="2">
        <f t="shared" ca="1" si="15"/>
        <v>557.07562295980892</v>
      </c>
      <c r="F102" s="2">
        <f t="shared" ca="1" si="18"/>
        <v>0</v>
      </c>
      <c r="G102" s="2">
        <f t="shared" ca="1" si="16"/>
        <v>557.07562295980892</v>
      </c>
      <c r="H102" s="2">
        <f t="shared" ca="1" si="12"/>
        <v>0.28998457085579094</v>
      </c>
      <c r="I102" s="2">
        <f t="shared" ca="1" si="13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1"/>
        <v>5</v>
      </c>
      <c r="E103" s="2">
        <f t="shared" ca="1" si="15"/>
        <v>557.36560753066476</v>
      </c>
      <c r="F103" s="2">
        <f t="shared" ca="1" si="18"/>
        <v>241.99949045987898</v>
      </c>
      <c r="G103" s="2">
        <f t="shared" ca="1" si="16"/>
        <v>315.36611707078578</v>
      </c>
      <c r="H103" s="2">
        <f t="shared" ca="1" si="12"/>
        <v>0.16416318422862822</v>
      </c>
      <c r="I103" s="2">
        <f t="shared" ca="1" si="13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1"/>
        <v>6</v>
      </c>
      <c r="E104" s="2">
        <f t="shared" ca="1" si="15"/>
        <v>315.53028025501442</v>
      </c>
      <c r="F104" s="2">
        <f t="shared" ca="1" si="18"/>
        <v>0</v>
      </c>
      <c r="G104" s="2">
        <f t="shared" ca="1" si="16"/>
        <v>315.53028025501442</v>
      </c>
      <c r="H104" s="2">
        <f t="shared" ca="1" si="12"/>
        <v>0.16424863903685682</v>
      </c>
      <c r="I104" s="2">
        <f t="shared" ca="1" si="13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1"/>
        <v>7</v>
      </c>
      <c r="E105" s="2">
        <f t="shared" ca="1" si="15"/>
        <v>315.6945288940513</v>
      </c>
      <c r="F105" s="2">
        <f t="shared" ca="1" si="18"/>
        <v>0</v>
      </c>
      <c r="G105" s="2">
        <f t="shared" ca="1" si="16"/>
        <v>315.6945288940513</v>
      </c>
      <c r="H105" s="2">
        <f t="shared" ca="1" si="12"/>
        <v>0.16433413832841026</v>
      </c>
      <c r="I105" s="2">
        <f t="shared" ca="1" si="13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1"/>
        <v>1</v>
      </c>
      <c r="E106" s="2">
        <f t="shared" ca="1" si="15"/>
        <v>335.8588630323797</v>
      </c>
      <c r="F106" s="2">
        <f t="shared" ca="1" si="18"/>
        <v>0</v>
      </c>
      <c r="G106" s="2">
        <f t="shared" ca="1" si="16"/>
        <v>335.8588630323797</v>
      </c>
      <c r="H106" s="2">
        <f t="shared" ca="1" si="12"/>
        <v>0.17483064103055382</v>
      </c>
      <c r="I106" s="2">
        <f t="shared" ca="1" si="13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1"/>
        <v>2</v>
      </c>
      <c r="E107" s="2">
        <f t="shared" ca="1" si="15"/>
        <v>336.03369367341026</v>
      </c>
      <c r="F107" s="2">
        <f t="shared" ca="1" si="18"/>
        <v>0</v>
      </c>
      <c r="G107" s="2">
        <f t="shared" ca="1" si="16"/>
        <v>336.03369367341026</v>
      </c>
      <c r="H107" s="2">
        <f t="shared" ca="1" si="12"/>
        <v>0.17492164876150124</v>
      </c>
      <c r="I107" s="2">
        <f t="shared" ca="1" si="13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1"/>
        <v>3</v>
      </c>
      <c r="E108" s="2">
        <f t="shared" ca="1" si="15"/>
        <v>336.20861532217174</v>
      </c>
      <c r="F108" s="2">
        <f t="shared" ca="1" si="18"/>
        <v>0</v>
      </c>
      <c r="G108" s="2">
        <f t="shared" ca="1" si="16"/>
        <v>336.20861532217174</v>
      </c>
      <c r="H108" s="2">
        <f t="shared" ca="1" si="12"/>
        <v>0.17501270386633597</v>
      </c>
      <c r="I108" s="2">
        <f t="shared" ca="1" si="13"/>
        <v>0</v>
      </c>
    </row>
    <row r="109" spans="2:9" x14ac:dyDescent="0.2">
      <c r="B109" s="4">
        <f t="shared" ref="B109:C124" ca="1" si="19">B108+1</f>
        <v>44146</v>
      </c>
      <c r="C109">
        <f t="shared" si="19"/>
        <v>98</v>
      </c>
      <c r="D109">
        <f t="shared" ca="1" si="11"/>
        <v>4</v>
      </c>
      <c r="E109" s="2">
        <f t="shared" ca="1" si="15"/>
        <v>336.38362802603808</v>
      </c>
      <c r="F109" s="2">
        <f t="shared" ca="1" si="18"/>
        <v>0</v>
      </c>
      <c r="G109" s="2">
        <f t="shared" ca="1" si="16"/>
        <v>336.38362802603808</v>
      </c>
      <c r="H109" s="2">
        <f t="shared" ca="1" si="12"/>
        <v>0.17510380636971845</v>
      </c>
      <c r="I109" s="2">
        <f t="shared" ca="1" si="13"/>
        <v>0</v>
      </c>
    </row>
    <row r="110" spans="2:9" x14ac:dyDescent="0.2">
      <c r="B110" s="4">
        <f t="shared" ca="1" si="19"/>
        <v>44147</v>
      </c>
      <c r="C110">
        <f t="shared" si="19"/>
        <v>99</v>
      </c>
      <c r="D110">
        <f t="shared" ca="1" si="11"/>
        <v>5</v>
      </c>
      <c r="E110" s="2">
        <f t="shared" ca="1" si="15"/>
        <v>336.55873183240777</v>
      </c>
      <c r="F110" s="2">
        <f t="shared" ca="1" si="18"/>
        <v>0</v>
      </c>
      <c r="G110" s="2">
        <f t="shared" ca="1" si="16"/>
        <v>336.55873183240777</v>
      </c>
      <c r="H110" s="2">
        <f t="shared" ca="1" si="12"/>
        <v>0.17519495629632184</v>
      </c>
      <c r="I110" s="2">
        <f t="shared" ca="1" si="13"/>
        <v>0</v>
      </c>
    </row>
    <row r="111" spans="2:9" x14ac:dyDescent="0.2">
      <c r="B111" s="4">
        <f t="shared" ca="1" si="19"/>
        <v>44148</v>
      </c>
      <c r="C111">
        <f t="shared" si="19"/>
        <v>100</v>
      </c>
      <c r="D111">
        <f t="shared" ca="1" si="11"/>
        <v>6</v>
      </c>
      <c r="E111" s="2">
        <f t="shared" ca="1" si="15"/>
        <v>336.73392678870408</v>
      </c>
      <c r="F111" s="2">
        <f t="shared" ca="1" si="18"/>
        <v>0</v>
      </c>
      <c r="G111" s="2">
        <f t="shared" ca="1" si="16"/>
        <v>336.73392678870408</v>
      </c>
      <c r="H111" s="2">
        <f t="shared" ca="1" si="12"/>
        <v>0.17528615367083225</v>
      </c>
      <c r="I111" s="2">
        <f t="shared" ca="1" si="13"/>
        <v>0</v>
      </c>
    </row>
    <row r="112" spans="2:9" x14ac:dyDescent="0.2">
      <c r="B112" s="4">
        <f t="shared" ca="1" si="19"/>
        <v>44149</v>
      </c>
      <c r="C112">
        <f t="shared" si="19"/>
        <v>101</v>
      </c>
      <c r="D112">
        <f t="shared" ca="1" si="11"/>
        <v>7</v>
      </c>
      <c r="E112" s="2">
        <f t="shared" ca="1" si="15"/>
        <v>336.90921294237489</v>
      </c>
      <c r="F112" s="2">
        <f t="shared" ca="1" si="18"/>
        <v>0</v>
      </c>
      <c r="G112" s="2">
        <f t="shared" ca="1" si="16"/>
        <v>336.90921294237489</v>
      </c>
      <c r="H112" s="2">
        <f t="shared" ca="1" si="12"/>
        <v>0.17537739851794859</v>
      </c>
      <c r="I112" s="2">
        <f t="shared" ca="1" si="13"/>
        <v>20</v>
      </c>
    </row>
    <row r="113" spans="2:9" x14ac:dyDescent="0.2">
      <c r="B113" s="4">
        <f t="shared" ca="1" si="19"/>
        <v>44150</v>
      </c>
      <c r="C113">
        <f t="shared" si="19"/>
        <v>102</v>
      </c>
      <c r="D113">
        <f t="shared" ca="1" si="11"/>
        <v>1</v>
      </c>
      <c r="E113" s="2">
        <f t="shared" ca="1" si="15"/>
        <v>357.08459034089282</v>
      </c>
      <c r="F113" s="2">
        <f t="shared" ca="1" si="18"/>
        <v>0</v>
      </c>
      <c r="G113" s="2">
        <f t="shared" ca="1" si="16"/>
        <v>357.08459034089282</v>
      </c>
      <c r="H113" s="2">
        <f t="shared" ca="1" si="12"/>
        <v>0.18587964976649216</v>
      </c>
      <c r="I113" s="2">
        <f t="shared" ca="1" si="13"/>
        <v>0</v>
      </c>
    </row>
    <row r="114" spans="2:9" x14ac:dyDescent="0.2">
      <c r="B114" s="4">
        <f t="shared" ca="1" si="19"/>
        <v>44151</v>
      </c>
      <c r="C114">
        <f t="shared" si="19"/>
        <v>103</v>
      </c>
      <c r="D114">
        <f t="shared" ca="1" si="11"/>
        <v>2</v>
      </c>
      <c r="E114" s="2">
        <f t="shared" ca="1" si="15"/>
        <v>357.27046999065931</v>
      </c>
      <c r="F114" s="2">
        <f t="shared" ca="1" si="18"/>
        <v>0</v>
      </c>
      <c r="G114" s="2">
        <f t="shared" ca="1" si="16"/>
        <v>357.27046999065931</v>
      </c>
      <c r="H114" s="2">
        <f t="shared" ca="1" si="12"/>
        <v>0.18597640903623364</v>
      </c>
      <c r="I114" s="2">
        <f t="shared" ca="1" si="13"/>
        <v>0</v>
      </c>
    </row>
    <row r="115" spans="2:9" x14ac:dyDescent="0.2">
      <c r="B115" s="4">
        <f t="shared" ca="1" si="19"/>
        <v>44152</v>
      </c>
      <c r="C115">
        <f t="shared" si="19"/>
        <v>104</v>
      </c>
      <c r="D115">
        <f t="shared" ca="1" si="11"/>
        <v>3</v>
      </c>
      <c r="E115" s="2">
        <f t="shared" ca="1" si="15"/>
        <v>357.45644639969555</v>
      </c>
      <c r="F115" s="2">
        <f t="shared" ca="1" si="18"/>
        <v>0</v>
      </c>
      <c r="G115" s="2">
        <f t="shared" ca="1" si="16"/>
        <v>357.45644639969555</v>
      </c>
      <c r="H115" s="2">
        <f t="shared" ca="1" si="12"/>
        <v>0.18607321867381413</v>
      </c>
      <c r="I115" s="2">
        <f t="shared" ca="1" si="13"/>
        <v>0</v>
      </c>
    </row>
    <row r="116" spans="2:9" x14ac:dyDescent="0.2">
      <c r="B116" s="4">
        <f t="shared" ca="1" si="19"/>
        <v>44153</v>
      </c>
      <c r="C116">
        <f t="shared" si="19"/>
        <v>105</v>
      </c>
      <c r="D116">
        <f t="shared" ca="1" si="11"/>
        <v>4</v>
      </c>
      <c r="E116" s="2">
        <f t="shared" ca="1" si="15"/>
        <v>357.64251961836936</v>
      </c>
      <c r="F116" s="2">
        <f t="shared" ca="1" si="18"/>
        <v>0</v>
      </c>
      <c r="G116" s="2">
        <f t="shared" ca="1" si="16"/>
        <v>357.64251961836936</v>
      </c>
      <c r="H116" s="2">
        <f t="shared" ca="1" si="12"/>
        <v>0.18617007870545255</v>
      </c>
      <c r="I116" s="2">
        <f t="shared" ca="1" si="13"/>
        <v>0</v>
      </c>
    </row>
    <row r="117" spans="2:9" x14ac:dyDescent="0.2">
      <c r="B117" s="4">
        <f t="shared" ca="1" si="19"/>
        <v>44154</v>
      </c>
      <c r="C117">
        <f t="shared" si="19"/>
        <v>106</v>
      </c>
      <c r="D117">
        <f t="shared" ca="1" si="11"/>
        <v>5</v>
      </c>
      <c r="E117" s="2">
        <f t="shared" ca="1" si="15"/>
        <v>357.82868969707482</v>
      </c>
      <c r="F117" s="2">
        <f t="shared" ca="1" si="18"/>
        <v>0</v>
      </c>
      <c r="G117" s="2">
        <f t="shared" ca="1" si="16"/>
        <v>357.82868969707482</v>
      </c>
      <c r="H117" s="2">
        <f t="shared" ca="1" si="12"/>
        <v>0.18626698915738144</v>
      </c>
      <c r="I117" s="2">
        <f t="shared" ca="1" si="13"/>
        <v>0</v>
      </c>
    </row>
    <row r="118" spans="2:9" x14ac:dyDescent="0.2">
      <c r="B118" s="4">
        <f t="shared" ca="1" si="19"/>
        <v>44155</v>
      </c>
      <c r="C118">
        <f t="shared" si="19"/>
        <v>107</v>
      </c>
      <c r="D118">
        <f t="shared" ca="1" si="11"/>
        <v>6</v>
      </c>
      <c r="E118" s="2">
        <f t="shared" ca="1" si="15"/>
        <v>358.01495668623221</v>
      </c>
      <c r="F118" s="2">
        <f t="shared" ca="1" si="18"/>
        <v>0</v>
      </c>
      <c r="G118" s="2">
        <f t="shared" ca="1" si="16"/>
        <v>358.01495668623221</v>
      </c>
      <c r="H118" s="2">
        <f t="shared" ca="1" si="12"/>
        <v>0.18636395005584691</v>
      </c>
      <c r="I118" s="2">
        <f t="shared" ca="1" si="13"/>
        <v>0</v>
      </c>
    </row>
    <row r="119" spans="2:9" x14ac:dyDescent="0.2">
      <c r="B119" s="4">
        <f t="shared" ca="1" si="19"/>
        <v>44156</v>
      </c>
      <c r="C119">
        <f t="shared" si="19"/>
        <v>108</v>
      </c>
      <c r="D119">
        <f t="shared" ca="1" si="11"/>
        <v>7</v>
      </c>
      <c r="E119" s="2">
        <f t="shared" ca="1" si="15"/>
        <v>358.20132063628807</v>
      </c>
      <c r="F119" s="2">
        <f t="shared" ca="1" si="18"/>
        <v>0</v>
      </c>
      <c r="G119" s="2">
        <f t="shared" ca="1" si="16"/>
        <v>358.20132063628807</v>
      </c>
      <c r="H119" s="2">
        <f t="shared" ca="1" si="12"/>
        <v>0.18646096142710886</v>
      </c>
      <c r="I119" s="2">
        <f t="shared" ca="1" si="13"/>
        <v>20</v>
      </c>
    </row>
    <row r="120" spans="2:9" x14ac:dyDescent="0.2">
      <c r="B120" s="4">
        <f t="shared" ca="1" si="19"/>
        <v>44157</v>
      </c>
      <c r="C120">
        <f t="shared" si="19"/>
        <v>109</v>
      </c>
      <c r="D120">
        <f t="shared" ca="1" si="11"/>
        <v>1</v>
      </c>
      <c r="E120" s="2">
        <f t="shared" ca="1" si="15"/>
        <v>378.38778159771516</v>
      </c>
      <c r="F120" s="2">
        <f t="shared" ca="1" si="18"/>
        <v>0</v>
      </c>
      <c r="G120" s="2">
        <f t="shared" ca="1" si="16"/>
        <v>378.38778159771516</v>
      </c>
      <c r="H120" s="2">
        <f t="shared" ca="1" si="12"/>
        <v>0.19696898220155035</v>
      </c>
      <c r="I120" s="2">
        <f t="shared" ca="1" si="13"/>
        <v>0</v>
      </c>
    </row>
    <row r="121" spans="2:9" x14ac:dyDescent="0.2">
      <c r="B121" s="4">
        <f t="shared" ca="1" si="19"/>
        <v>44158</v>
      </c>
      <c r="C121">
        <f t="shared" si="19"/>
        <v>110</v>
      </c>
      <c r="D121">
        <f t="shared" ca="1" si="11"/>
        <v>2</v>
      </c>
      <c r="E121" s="2">
        <f t="shared" ca="1" si="15"/>
        <v>378.58475057991672</v>
      </c>
      <c r="F121" s="2">
        <f t="shared" ca="1" si="18"/>
        <v>0</v>
      </c>
      <c r="G121" s="2">
        <f t="shared" ca="1" si="16"/>
        <v>378.58475057991672</v>
      </c>
      <c r="H121" s="2">
        <f t="shared" ca="1" si="12"/>
        <v>0.1970715140005046</v>
      </c>
      <c r="I121" s="2">
        <f t="shared" ca="1" si="13"/>
        <v>0</v>
      </c>
    </row>
    <row r="122" spans="2:9" x14ac:dyDescent="0.2">
      <c r="B122" s="4">
        <f t="shared" ca="1" si="19"/>
        <v>44159</v>
      </c>
      <c r="C122">
        <f t="shared" si="19"/>
        <v>111</v>
      </c>
      <c r="D122">
        <f t="shared" ca="1" si="11"/>
        <v>3</v>
      </c>
      <c r="E122" s="2">
        <f t="shared" ca="1" si="15"/>
        <v>378.78182209391724</v>
      </c>
      <c r="F122" s="2">
        <f t="shared" ca="1" si="18"/>
        <v>0</v>
      </c>
      <c r="G122" s="2">
        <f t="shared" ca="1" si="16"/>
        <v>378.78182209391724</v>
      </c>
      <c r="H122" s="2">
        <f t="shared" ca="1" si="12"/>
        <v>0.1971740991721761</v>
      </c>
      <c r="I122" s="2">
        <f t="shared" ca="1" si="13"/>
        <v>0</v>
      </c>
    </row>
    <row r="123" spans="2:9" x14ac:dyDescent="0.2">
      <c r="B123" s="4">
        <f t="shared" ca="1" si="19"/>
        <v>44160</v>
      </c>
      <c r="C123">
        <f t="shared" si="19"/>
        <v>112</v>
      </c>
      <c r="D123">
        <f t="shared" ca="1" si="11"/>
        <v>4</v>
      </c>
      <c r="E123" s="2">
        <f t="shared" ca="1" si="15"/>
        <v>378.97899619308942</v>
      </c>
      <c r="F123" s="2">
        <f t="shared" ca="1" si="18"/>
        <v>0</v>
      </c>
      <c r="G123" s="2">
        <f t="shared" ca="1" si="16"/>
        <v>378.97899619308942</v>
      </c>
      <c r="H123" s="2">
        <f t="shared" ca="1" si="12"/>
        <v>0.19727673774434792</v>
      </c>
      <c r="I123" s="2">
        <f t="shared" ca="1" si="13"/>
        <v>0</v>
      </c>
    </row>
    <row r="124" spans="2:9" x14ac:dyDescent="0.2">
      <c r="B124" s="4">
        <f t="shared" ca="1" si="19"/>
        <v>44161</v>
      </c>
      <c r="C124">
        <f t="shared" si="19"/>
        <v>113</v>
      </c>
      <c r="D124">
        <f t="shared" ca="1" si="11"/>
        <v>5</v>
      </c>
      <c r="E124" s="2">
        <f t="shared" ca="1" si="15"/>
        <v>379.17627293083376</v>
      </c>
      <c r="F124" s="2">
        <f t="shared" ca="1" si="18"/>
        <v>0</v>
      </c>
      <c r="G124" s="2">
        <f t="shared" ca="1" si="16"/>
        <v>379.17627293083376</v>
      </c>
      <c r="H124" s="2">
        <f t="shared" ca="1" si="12"/>
        <v>0.19737942974481756</v>
      </c>
      <c r="I124" s="2">
        <f t="shared" ca="1" si="13"/>
        <v>0</v>
      </c>
    </row>
    <row r="125" spans="2:9" x14ac:dyDescent="0.2">
      <c r="B125" s="4">
        <f t="shared" ref="B125:C140" ca="1" si="20">B124+1</f>
        <v>44162</v>
      </c>
      <c r="C125">
        <f t="shared" si="20"/>
        <v>114</v>
      </c>
      <c r="D125">
        <f t="shared" ca="1" si="11"/>
        <v>6</v>
      </c>
      <c r="E125" s="2">
        <f t="shared" ca="1" si="15"/>
        <v>379.3736523605786</v>
      </c>
      <c r="F125" s="2">
        <f t="shared" ca="1" si="18"/>
        <v>0</v>
      </c>
      <c r="G125" s="2">
        <f t="shared" ca="1" si="16"/>
        <v>379.3736523605786</v>
      </c>
      <c r="H125" s="2">
        <f t="shared" ca="1" si="12"/>
        <v>0.1974821752013971</v>
      </c>
      <c r="I125" s="2">
        <f t="shared" ca="1" si="13"/>
        <v>0</v>
      </c>
    </row>
    <row r="126" spans="2:9" x14ac:dyDescent="0.2">
      <c r="B126" s="4">
        <f t="shared" ca="1" si="20"/>
        <v>44163</v>
      </c>
      <c r="C126">
        <f t="shared" si="20"/>
        <v>115</v>
      </c>
      <c r="D126">
        <f t="shared" ca="1" si="11"/>
        <v>7</v>
      </c>
      <c r="E126" s="2">
        <f t="shared" ca="1" si="15"/>
        <v>379.57113453578</v>
      </c>
      <c r="F126" s="2">
        <f t="shared" ca="1" si="18"/>
        <v>0</v>
      </c>
      <c r="G126" s="2">
        <f t="shared" ca="1" si="16"/>
        <v>379.57113453578</v>
      </c>
      <c r="H126" s="2">
        <f t="shared" ca="1" si="12"/>
        <v>0.19758497414191289</v>
      </c>
      <c r="I126" s="2">
        <f t="shared" ca="1" si="13"/>
        <v>20</v>
      </c>
    </row>
    <row r="127" spans="2:9" x14ac:dyDescent="0.2">
      <c r="B127" s="4">
        <f t="shared" ca="1" si="20"/>
        <v>44164</v>
      </c>
      <c r="C127">
        <f t="shared" si="20"/>
        <v>116</v>
      </c>
      <c r="D127">
        <f t="shared" ca="1" si="11"/>
        <v>1</v>
      </c>
      <c r="E127" s="2">
        <f t="shared" ca="1" si="15"/>
        <v>399.76871950992194</v>
      </c>
      <c r="F127" s="2">
        <f t="shared" ca="1" si="18"/>
        <v>0</v>
      </c>
      <c r="G127" s="2">
        <f t="shared" ca="1" si="16"/>
        <v>399.76871950992194</v>
      </c>
      <c r="H127" s="2">
        <f t="shared" ca="1" si="12"/>
        <v>0.20809878549831551</v>
      </c>
      <c r="I127" s="2">
        <f t="shared" ca="1" si="13"/>
        <v>0</v>
      </c>
    </row>
    <row r="128" spans="2:9" x14ac:dyDescent="0.2">
      <c r="B128" s="4">
        <f t="shared" ca="1" si="20"/>
        <v>44165</v>
      </c>
      <c r="C128">
        <f t="shared" si="20"/>
        <v>117</v>
      </c>
      <c r="D128">
        <f t="shared" ca="1" si="11"/>
        <v>2</v>
      </c>
      <c r="E128" s="2">
        <f t="shared" ca="1" si="15"/>
        <v>399.97681829542023</v>
      </c>
      <c r="F128" s="2">
        <f t="shared" ca="1" si="18"/>
        <v>0</v>
      </c>
      <c r="G128" s="2">
        <f t="shared" ca="1" si="16"/>
        <v>399.97681829542023</v>
      </c>
      <c r="H128" s="2">
        <f t="shared" ca="1" si="12"/>
        <v>0.20820711089350644</v>
      </c>
      <c r="I128" s="2">
        <f t="shared" ca="1" si="13"/>
        <v>0</v>
      </c>
    </row>
    <row r="129" spans="2:9" x14ac:dyDescent="0.2">
      <c r="B129" s="4">
        <f t="shared" ca="1" si="20"/>
        <v>44166</v>
      </c>
      <c r="C129">
        <f t="shared" si="20"/>
        <v>118</v>
      </c>
      <c r="D129">
        <f t="shared" ca="1" si="11"/>
        <v>3</v>
      </c>
      <c r="E129" s="2">
        <f t="shared" ca="1" si="15"/>
        <v>400.18502540631374</v>
      </c>
      <c r="F129" s="2">
        <f t="shared" ca="1" si="18"/>
        <v>0</v>
      </c>
      <c r="G129" s="2">
        <f t="shared" ca="1" si="16"/>
        <v>400.18502540631374</v>
      </c>
      <c r="H129" s="2">
        <f t="shared" ca="1" si="12"/>
        <v>0.20831549267725918</v>
      </c>
      <c r="I129" s="2">
        <f t="shared" ca="1" si="13"/>
        <v>0</v>
      </c>
    </row>
    <row r="130" spans="2:9" x14ac:dyDescent="0.2">
      <c r="B130" s="4">
        <f t="shared" ca="1" si="20"/>
        <v>44167</v>
      </c>
      <c r="C130">
        <f t="shared" si="20"/>
        <v>119</v>
      </c>
      <c r="D130">
        <f t="shared" ca="1" si="11"/>
        <v>4</v>
      </c>
      <c r="E130" s="2">
        <f t="shared" ca="1" si="15"/>
        <v>400.39334089899103</v>
      </c>
      <c r="F130" s="2">
        <f t="shared" ca="1" si="18"/>
        <v>0</v>
      </c>
      <c r="G130" s="2">
        <f t="shared" ca="1" si="16"/>
        <v>400.39334089899103</v>
      </c>
      <c r="H130" s="2">
        <f t="shared" ca="1" si="12"/>
        <v>0.20842393087892683</v>
      </c>
      <c r="I130" s="2">
        <f t="shared" ca="1" si="13"/>
        <v>0</v>
      </c>
    </row>
    <row r="131" spans="2:9" x14ac:dyDescent="0.2">
      <c r="B131" s="4">
        <f t="shared" ca="1" si="20"/>
        <v>44168</v>
      </c>
      <c r="C131">
        <f t="shared" si="20"/>
        <v>120</v>
      </c>
      <c r="D131">
        <f t="shared" ca="1" si="11"/>
        <v>5</v>
      </c>
      <c r="E131" s="2">
        <f t="shared" ca="1" si="15"/>
        <v>400.60176482986998</v>
      </c>
      <c r="F131" s="2">
        <f t="shared" ca="1" si="18"/>
        <v>0</v>
      </c>
      <c r="G131" s="2">
        <f t="shared" ca="1" si="16"/>
        <v>400.60176482986998</v>
      </c>
      <c r="H131" s="2">
        <f t="shared" ca="1" si="12"/>
        <v>0.20853242552787754</v>
      </c>
      <c r="I131" s="2">
        <f t="shared" ca="1" si="13"/>
        <v>0</v>
      </c>
    </row>
    <row r="132" spans="2:9" x14ac:dyDescent="0.2">
      <c r="B132" s="4">
        <f t="shared" ca="1" si="20"/>
        <v>44169</v>
      </c>
      <c r="C132">
        <f t="shared" si="20"/>
        <v>121</v>
      </c>
      <c r="D132">
        <f t="shared" ca="1" si="11"/>
        <v>6</v>
      </c>
      <c r="E132" s="2">
        <f t="shared" ca="1" si="15"/>
        <v>400.81029725539787</v>
      </c>
      <c r="F132" s="2">
        <f t="shared" ca="1" si="18"/>
        <v>0</v>
      </c>
      <c r="G132" s="2">
        <f t="shared" ca="1" si="16"/>
        <v>400.81029725539787</v>
      </c>
      <c r="H132" s="2">
        <f t="shared" ca="1" si="12"/>
        <v>0.20864097665349479</v>
      </c>
      <c r="I132" s="2">
        <f t="shared" ca="1" si="13"/>
        <v>0</v>
      </c>
    </row>
    <row r="133" spans="2:9" x14ac:dyDescent="0.2">
      <c r="B133" s="4">
        <f t="shared" ca="1" si="20"/>
        <v>44170</v>
      </c>
      <c r="C133">
        <f t="shared" si="20"/>
        <v>122</v>
      </c>
      <c r="D133">
        <f t="shared" ca="1" si="11"/>
        <v>7</v>
      </c>
      <c r="E133" s="2">
        <f t="shared" ca="1" si="15"/>
        <v>401.01893823205137</v>
      </c>
      <c r="F133" s="2">
        <f t="shared" ca="1" si="18"/>
        <v>241.99949045987898</v>
      </c>
      <c r="G133" s="2">
        <f t="shared" ca="1" si="16"/>
        <v>159.01944777217238</v>
      </c>
      <c r="H133" s="2">
        <f t="shared" ca="1" si="12"/>
        <v>8.2777246785514388E-2</v>
      </c>
      <c r="I133" s="2">
        <f t="shared" ca="1" si="13"/>
        <v>20</v>
      </c>
    </row>
    <row r="134" spans="2:9" x14ac:dyDescent="0.2">
      <c r="B134" s="4">
        <f t="shared" ca="1" si="20"/>
        <v>44171</v>
      </c>
      <c r="C134">
        <f t="shared" si="20"/>
        <v>123</v>
      </c>
      <c r="D134">
        <f t="shared" ca="1" si="11"/>
        <v>1</v>
      </c>
      <c r="E134" s="2">
        <f t="shared" ca="1" si="15"/>
        <v>179.10222501895791</v>
      </c>
      <c r="F134" s="2">
        <f t="shared" ca="1" si="18"/>
        <v>0</v>
      </c>
      <c r="G134" s="2">
        <f t="shared" ca="1" si="16"/>
        <v>179.10222501895791</v>
      </c>
      <c r="H134" s="2">
        <f t="shared" ca="1" si="12"/>
        <v>9.3231295215347967E-2</v>
      </c>
      <c r="I134" s="2">
        <f t="shared" ca="1" si="13"/>
        <v>0</v>
      </c>
    </row>
    <row r="135" spans="2:9" x14ac:dyDescent="0.2">
      <c r="B135" s="4">
        <f t="shared" ca="1" si="20"/>
        <v>44172</v>
      </c>
      <c r="C135">
        <f t="shared" si="20"/>
        <v>124</v>
      </c>
      <c r="D135">
        <f t="shared" ca="1" si="11"/>
        <v>2</v>
      </c>
      <c r="E135" s="2">
        <f t="shared" ca="1" si="15"/>
        <v>179.19545631417327</v>
      </c>
      <c r="F135" s="2">
        <f t="shared" ca="1" si="18"/>
        <v>0</v>
      </c>
      <c r="G135" s="2">
        <f t="shared" ca="1" si="16"/>
        <v>179.19545631417327</v>
      </c>
      <c r="H135" s="2">
        <f t="shared" ca="1" si="12"/>
        <v>9.3279826574501151E-2</v>
      </c>
      <c r="I135" s="2">
        <f t="shared" ca="1" si="13"/>
        <v>0</v>
      </c>
    </row>
    <row r="136" spans="2:9" x14ac:dyDescent="0.2">
      <c r="B136" s="4">
        <f t="shared" ca="1" si="20"/>
        <v>44173</v>
      </c>
      <c r="C136">
        <f t="shared" si="20"/>
        <v>125</v>
      </c>
      <c r="D136">
        <f t="shared" ca="1" si="11"/>
        <v>3</v>
      </c>
      <c r="E136" s="2">
        <f t="shared" ca="1" si="15"/>
        <v>179.28873614074777</v>
      </c>
      <c r="F136" s="2">
        <f t="shared" ca="1" si="18"/>
        <v>0</v>
      </c>
      <c r="G136" s="2">
        <f t="shared" ca="1" si="16"/>
        <v>179.28873614074777</v>
      </c>
      <c r="H136" s="2">
        <f t="shared" ca="1" si="12"/>
        <v>9.3328383196553635E-2</v>
      </c>
      <c r="I136" s="2">
        <f t="shared" ca="1" si="13"/>
        <v>0</v>
      </c>
    </row>
    <row r="137" spans="2:9" x14ac:dyDescent="0.2">
      <c r="B137" s="4">
        <f t="shared" ca="1" si="20"/>
        <v>44174</v>
      </c>
      <c r="C137">
        <f t="shared" si="20"/>
        <v>126</v>
      </c>
      <c r="D137">
        <f t="shared" ca="1" si="11"/>
        <v>4</v>
      </c>
      <c r="E137" s="2">
        <f t="shared" ca="1" si="15"/>
        <v>179.38206452394434</v>
      </c>
      <c r="F137" s="2">
        <f t="shared" ca="1" si="18"/>
        <v>0</v>
      </c>
      <c r="G137" s="2">
        <f t="shared" ca="1" si="16"/>
        <v>179.38206452394434</v>
      </c>
      <c r="H137" s="2">
        <f t="shared" ca="1" si="12"/>
        <v>9.3376965094655956E-2</v>
      </c>
      <c r="I137" s="2">
        <f t="shared" ca="1" si="13"/>
        <v>0</v>
      </c>
    </row>
    <row r="138" spans="2:9" x14ac:dyDescent="0.2">
      <c r="B138" s="4">
        <f t="shared" ca="1" si="20"/>
        <v>44175</v>
      </c>
      <c r="C138">
        <f t="shared" si="20"/>
        <v>127</v>
      </c>
      <c r="D138">
        <f t="shared" ca="1" si="11"/>
        <v>5</v>
      </c>
      <c r="E138" s="2">
        <f t="shared" ca="1" si="15"/>
        <v>179.47544148903899</v>
      </c>
      <c r="F138" s="2">
        <f t="shared" ca="1" si="18"/>
        <v>0</v>
      </c>
      <c r="G138" s="2">
        <f t="shared" ca="1" si="16"/>
        <v>179.47544148903899</v>
      </c>
      <c r="H138" s="2">
        <f t="shared" ca="1" si="12"/>
        <v>9.3425572281965491E-2</v>
      </c>
      <c r="I138" s="2">
        <f t="shared" ca="1" si="13"/>
        <v>0</v>
      </c>
    </row>
    <row r="139" spans="2:9" x14ac:dyDescent="0.2">
      <c r="B139" s="4">
        <f t="shared" ca="1" si="20"/>
        <v>44176</v>
      </c>
      <c r="C139">
        <f t="shared" si="20"/>
        <v>128</v>
      </c>
      <c r="D139">
        <f t="shared" ca="1" si="11"/>
        <v>6</v>
      </c>
      <c r="E139" s="2">
        <f t="shared" ca="1" si="15"/>
        <v>179.56886706132096</v>
      </c>
      <c r="F139" s="2">
        <f t="shared" ca="1" si="18"/>
        <v>0</v>
      </c>
      <c r="G139" s="2">
        <f t="shared" ca="1" si="16"/>
        <v>179.56886706132096</v>
      </c>
      <c r="H139" s="2">
        <f t="shared" ca="1" si="12"/>
        <v>9.347420477164653E-2</v>
      </c>
      <c r="I139" s="2">
        <f t="shared" ca="1" si="13"/>
        <v>0</v>
      </c>
    </row>
    <row r="140" spans="2:9" x14ac:dyDescent="0.2">
      <c r="B140" s="4">
        <f t="shared" ca="1" si="20"/>
        <v>44177</v>
      </c>
      <c r="C140">
        <f t="shared" si="20"/>
        <v>129</v>
      </c>
      <c r="D140">
        <f t="shared" ref="D140:D203" ca="1" si="21">WEEKDAY(B140,1)</f>
        <v>7</v>
      </c>
      <c r="E140" s="2">
        <f t="shared" ca="1" si="15"/>
        <v>179.6623412660926</v>
      </c>
      <c r="F140" s="2">
        <f t="shared" ca="1" si="18"/>
        <v>0</v>
      </c>
      <c r="G140" s="2">
        <f t="shared" ca="1" si="16"/>
        <v>179.6623412660926</v>
      </c>
      <c r="H140" s="2">
        <f t="shared" ref="H140:H203" ca="1" si="22">IF(C140&gt;$C$7,0,(G140)*$C$5/365)</f>
        <v>9.3522862576870119E-2</v>
      </c>
      <c r="I140" s="2">
        <f t="shared" ref="I140:I203" ca="1" si="23">IF(AND(C140=0,D140=7),$C$6,IF(C140=$C$7,0,IF(C140&lt;$C$7,IF(D140=7,$C$6,0),0)))</f>
        <v>20</v>
      </c>
    </row>
    <row r="141" spans="2:9" x14ac:dyDescent="0.2">
      <c r="B141" s="4">
        <f t="shared" ref="B141:C156" ca="1" si="24">B140+1</f>
        <v>44178</v>
      </c>
      <c r="C141">
        <f t="shared" si="24"/>
        <v>130</v>
      </c>
      <c r="D141">
        <f t="shared" ca="1" si="21"/>
        <v>1</v>
      </c>
      <c r="E141" s="2">
        <f t="shared" ref="E141:E204" ca="1" si="25">IF(C141&gt;$C$7,0,G140+H140+I140)</f>
        <v>199.75586412866946</v>
      </c>
      <c r="F141" s="2">
        <f t="shared" ca="1" si="18"/>
        <v>0</v>
      </c>
      <c r="G141" s="2">
        <f t="shared" ref="G141:G204" ca="1" si="26">IF(C141&gt;$C$7,G140,E141-F141)</f>
        <v>199.75586412866946</v>
      </c>
      <c r="H141" s="2">
        <f t="shared" ca="1" si="22"/>
        <v>0.10398250461492382</v>
      </c>
      <c r="I141" s="2">
        <f t="shared" ca="1" si="23"/>
        <v>0</v>
      </c>
    </row>
    <row r="142" spans="2:9" x14ac:dyDescent="0.2">
      <c r="B142" s="4">
        <f t="shared" ca="1" si="24"/>
        <v>44179</v>
      </c>
      <c r="C142">
        <f t="shared" si="24"/>
        <v>131</v>
      </c>
      <c r="D142">
        <f t="shared" ca="1" si="21"/>
        <v>2</v>
      </c>
      <c r="E142" s="2">
        <f t="shared" ca="1" si="25"/>
        <v>199.85984663328438</v>
      </c>
      <c r="F142" s="2">
        <f t="shared" ca="1" si="18"/>
        <v>0</v>
      </c>
      <c r="G142" s="2">
        <f t="shared" ca="1" si="26"/>
        <v>199.85984663328438</v>
      </c>
      <c r="H142" s="2">
        <f t="shared" ca="1" si="22"/>
        <v>0.10403663249403844</v>
      </c>
      <c r="I142" s="2">
        <f t="shared" ca="1" si="23"/>
        <v>0</v>
      </c>
    </row>
    <row r="143" spans="2:9" x14ac:dyDescent="0.2">
      <c r="B143" s="4">
        <f t="shared" ca="1" si="24"/>
        <v>44180</v>
      </c>
      <c r="C143">
        <f t="shared" si="24"/>
        <v>132</v>
      </c>
      <c r="D143">
        <f t="shared" ca="1" si="21"/>
        <v>3</v>
      </c>
      <c r="E143" s="2">
        <f t="shared" ca="1" si="25"/>
        <v>199.96388326577841</v>
      </c>
      <c r="F143" s="2">
        <f t="shared" ca="1" si="18"/>
        <v>0</v>
      </c>
      <c r="G143" s="2">
        <f t="shared" ca="1" si="26"/>
        <v>199.96388326577841</v>
      </c>
      <c r="H143" s="2">
        <f t="shared" ca="1" si="22"/>
        <v>0.10409078854930931</v>
      </c>
      <c r="I143" s="2">
        <f t="shared" ca="1" si="23"/>
        <v>0</v>
      </c>
    </row>
    <row r="144" spans="2:9" x14ac:dyDescent="0.2">
      <c r="B144" s="4">
        <f t="shared" ca="1" si="24"/>
        <v>44181</v>
      </c>
      <c r="C144">
        <f t="shared" si="24"/>
        <v>133</v>
      </c>
      <c r="D144">
        <f t="shared" ca="1" si="21"/>
        <v>4</v>
      </c>
      <c r="E144" s="2">
        <f t="shared" ca="1" si="25"/>
        <v>200.06797405432772</v>
      </c>
      <c r="F144" s="2">
        <f t="shared" ca="1" si="18"/>
        <v>0</v>
      </c>
      <c r="G144" s="2">
        <f t="shared" ca="1" si="26"/>
        <v>200.06797405432772</v>
      </c>
      <c r="H144" s="2">
        <f t="shared" ca="1" si="22"/>
        <v>0.10414497279540347</v>
      </c>
      <c r="I144" s="2">
        <f t="shared" ca="1" si="23"/>
        <v>0</v>
      </c>
    </row>
    <row r="145" spans="2:9" x14ac:dyDescent="0.2">
      <c r="B145" s="4">
        <f t="shared" ca="1" si="24"/>
        <v>44182</v>
      </c>
      <c r="C145">
        <f t="shared" si="24"/>
        <v>134</v>
      </c>
      <c r="D145">
        <f t="shared" ca="1" si="21"/>
        <v>5</v>
      </c>
      <c r="E145" s="2">
        <f t="shared" ca="1" si="25"/>
        <v>200.17211902712313</v>
      </c>
      <c r="F145" s="2">
        <f t="shared" ca="1" si="18"/>
        <v>0</v>
      </c>
      <c r="G145" s="2">
        <f t="shared" ca="1" si="26"/>
        <v>200.17211902712313</v>
      </c>
      <c r="H145" s="2">
        <f t="shared" ca="1" si="22"/>
        <v>0.1041991852469956</v>
      </c>
      <c r="I145" s="2">
        <f t="shared" ca="1" si="23"/>
        <v>0</v>
      </c>
    </row>
    <row r="146" spans="2:9" x14ac:dyDescent="0.2">
      <c r="B146" s="4">
        <f t="shared" ca="1" si="24"/>
        <v>44183</v>
      </c>
      <c r="C146">
        <f t="shared" si="24"/>
        <v>135</v>
      </c>
      <c r="D146">
        <f t="shared" ca="1" si="21"/>
        <v>6</v>
      </c>
      <c r="E146" s="2">
        <f t="shared" ca="1" si="25"/>
        <v>200.27631821237011</v>
      </c>
      <c r="F146" s="2">
        <f t="shared" ca="1" si="18"/>
        <v>0</v>
      </c>
      <c r="G146" s="2">
        <f t="shared" ca="1" si="26"/>
        <v>200.27631821237011</v>
      </c>
      <c r="H146" s="2">
        <f t="shared" ca="1" si="22"/>
        <v>0.104253425918768</v>
      </c>
      <c r="I146" s="2">
        <f t="shared" ca="1" si="23"/>
        <v>0</v>
      </c>
    </row>
    <row r="147" spans="2:9" x14ac:dyDescent="0.2">
      <c r="B147" s="4">
        <f t="shared" ca="1" si="24"/>
        <v>44184</v>
      </c>
      <c r="C147">
        <f t="shared" si="24"/>
        <v>136</v>
      </c>
      <c r="D147">
        <f t="shared" ca="1" si="21"/>
        <v>7</v>
      </c>
      <c r="E147" s="2">
        <f t="shared" ca="1" si="25"/>
        <v>200.38057163828887</v>
      </c>
      <c r="F147" s="2">
        <f t="shared" ca="1" si="18"/>
        <v>0</v>
      </c>
      <c r="G147" s="2">
        <f t="shared" ca="1" si="26"/>
        <v>200.38057163828887</v>
      </c>
      <c r="H147" s="2">
        <f t="shared" ca="1" si="22"/>
        <v>0.10430769482541065</v>
      </c>
      <c r="I147" s="2">
        <f t="shared" ca="1" si="23"/>
        <v>20</v>
      </c>
    </row>
    <row r="148" spans="2:9" x14ac:dyDescent="0.2">
      <c r="B148" s="4">
        <f t="shared" ca="1" si="24"/>
        <v>44185</v>
      </c>
      <c r="C148">
        <f t="shared" si="24"/>
        <v>137</v>
      </c>
      <c r="D148">
        <f t="shared" ca="1" si="21"/>
        <v>1</v>
      </c>
      <c r="E148" s="2">
        <f t="shared" ca="1" si="25"/>
        <v>220.48487933311429</v>
      </c>
      <c r="F148" s="2">
        <f t="shared" ca="1" si="18"/>
        <v>0</v>
      </c>
      <c r="G148" s="2">
        <f t="shared" ca="1" si="26"/>
        <v>220.48487933311429</v>
      </c>
      <c r="H148" s="2">
        <f t="shared" ca="1" si="22"/>
        <v>0.11477295088573074</v>
      </c>
      <c r="I148" s="2">
        <f t="shared" ca="1" si="23"/>
        <v>0</v>
      </c>
    </row>
    <row r="149" spans="2:9" x14ac:dyDescent="0.2">
      <c r="B149" s="4">
        <f t="shared" ca="1" si="24"/>
        <v>44186</v>
      </c>
      <c r="C149">
        <f t="shared" si="24"/>
        <v>138</v>
      </c>
      <c r="D149">
        <f t="shared" ca="1" si="21"/>
        <v>2</v>
      </c>
      <c r="E149" s="2">
        <f t="shared" ca="1" si="25"/>
        <v>220.59965228400003</v>
      </c>
      <c r="F149" s="2">
        <f t="shared" ca="1" si="18"/>
        <v>0</v>
      </c>
      <c r="G149" s="2">
        <f t="shared" ca="1" si="26"/>
        <v>220.59965228400003</v>
      </c>
      <c r="H149" s="2">
        <f t="shared" ca="1" si="22"/>
        <v>0.11483269570947946</v>
      </c>
      <c r="I149" s="2">
        <f t="shared" ca="1" si="23"/>
        <v>0</v>
      </c>
    </row>
    <row r="150" spans="2:9" x14ac:dyDescent="0.2">
      <c r="B150" s="4">
        <f t="shared" ca="1" si="24"/>
        <v>44187</v>
      </c>
      <c r="C150">
        <f t="shared" si="24"/>
        <v>139</v>
      </c>
      <c r="D150">
        <f t="shared" ca="1" si="21"/>
        <v>3</v>
      </c>
      <c r="E150" s="2">
        <f t="shared" ca="1" si="25"/>
        <v>220.71448497970951</v>
      </c>
      <c r="F150" s="2">
        <f t="shared" ca="1" si="18"/>
        <v>0</v>
      </c>
      <c r="G150" s="2">
        <f t="shared" ca="1" si="26"/>
        <v>220.71448497970951</v>
      </c>
      <c r="H150" s="2">
        <f t="shared" ca="1" si="22"/>
        <v>0.11489247163327344</v>
      </c>
      <c r="I150" s="2">
        <f t="shared" ca="1" si="23"/>
        <v>0</v>
      </c>
    </row>
    <row r="151" spans="2:9" x14ac:dyDescent="0.2">
      <c r="B151" s="4">
        <f t="shared" ca="1" si="24"/>
        <v>44188</v>
      </c>
      <c r="C151">
        <f t="shared" si="24"/>
        <v>140</v>
      </c>
      <c r="D151">
        <f t="shared" ca="1" si="21"/>
        <v>4</v>
      </c>
      <c r="E151" s="2">
        <f t="shared" ca="1" si="25"/>
        <v>220.82937745134279</v>
      </c>
      <c r="F151" s="2">
        <f t="shared" ca="1" si="18"/>
        <v>0</v>
      </c>
      <c r="G151" s="2">
        <f t="shared" ca="1" si="26"/>
        <v>220.82937745134279</v>
      </c>
      <c r="H151" s="2">
        <f t="shared" ca="1" si="22"/>
        <v>0.11495227867330174</v>
      </c>
      <c r="I151" s="2">
        <f t="shared" ca="1" si="23"/>
        <v>0</v>
      </c>
    </row>
    <row r="152" spans="2:9" x14ac:dyDescent="0.2">
      <c r="B152" s="4">
        <f t="shared" ca="1" si="24"/>
        <v>44189</v>
      </c>
      <c r="C152">
        <f t="shared" si="24"/>
        <v>141</v>
      </c>
      <c r="D152">
        <f t="shared" ca="1" si="21"/>
        <v>5</v>
      </c>
      <c r="E152" s="2">
        <f t="shared" ca="1" si="25"/>
        <v>220.94432973001611</v>
      </c>
      <c r="F152" s="2">
        <f t="shared" ca="1" si="18"/>
        <v>0</v>
      </c>
      <c r="G152" s="2">
        <f t="shared" ca="1" si="26"/>
        <v>220.94432973001611</v>
      </c>
      <c r="H152" s="2">
        <f t="shared" ca="1" si="22"/>
        <v>0.11501211684576182</v>
      </c>
      <c r="I152" s="2">
        <f t="shared" ca="1" si="23"/>
        <v>0</v>
      </c>
    </row>
    <row r="153" spans="2:9" x14ac:dyDescent="0.2">
      <c r="B153" s="4">
        <f t="shared" ca="1" si="24"/>
        <v>44190</v>
      </c>
      <c r="C153">
        <f t="shared" si="24"/>
        <v>142</v>
      </c>
      <c r="D153">
        <f t="shared" ca="1" si="21"/>
        <v>6</v>
      </c>
      <c r="E153" s="2">
        <f t="shared" ca="1" si="25"/>
        <v>221.05934184686188</v>
      </c>
      <c r="F153" s="2">
        <f t="shared" ca="1" si="18"/>
        <v>0</v>
      </c>
      <c r="G153" s="2">
        <f t="shared" ca="1" si="26"/>
        <v>221.05934184686188</v>
      </c>
      <c r="H153" s="2">
        <f t="shared" ca="1" si="22"/>
        <v>0.11507198616685961</v>
      </c>
      <c r="I153" s="2">
        <f t="shared" ca="1" si="23"/>
        <v>0</v>
      </c>
    </row>
    <row r="154" spans="2:9" x14ac:dyDescent="0.2">
      <c r="B154" s="4">
        <f t="shared" ca="1" si="24"/>
        <v>44191</v>
      </c>
      <c r="C154">
        <f t="shared" si="24"/>
        <v>143</v>
      </c>
      <c r="D154">
        <f t="shared" ca="1" si="21"/>
        <v>7</v>
      </c>
      <c r="E154" s="2">
        <f t="shared" ca="1" si="25"/>
        <v>221.17441383302875</v>
      </c>
      <c r="F154" s="2">
        <f t="shared" ca="1" si="18"/>
        <v>0</v>
      </c>
      <c r="G154" s="2">
        <f t="shared" ca="1" si="26"/>
        <v>221.17441383302875</v>
      </c>
      <c r="H154" s="2">
        <f t="shared" ca="1" si="22"/>
        <v>0.11513188665280949</v>
      </c>
      <c r="I154" s="2">
        <f t="shared" ca="1" si="23"/>
        <v>20</v>
      </c>
    </row>
    <row r="155" spans="2:9" x14ac:dyDescent="0.2">
      <c r="B155" s="4">
        <f t="shared" ca="1" si="24"/>
        <v>44192</v>
      </c>
      <c r="C155">
        <f t="shared" si="24"/>
        <v>144</v>
      </c>
      <c r="D155">
        <f t="shared" ca="1" si="21"/>
        <v>1</v>
      </c>
      <c r="E155" s="2">
        <f t="shared" ca="1" si="25"/>
        <v>241.28954571968157</v>
      </c>
      <c r="F155" s="2">
        <f t="shared" ca="1" si="18"/>
        <v>0</v>
      </c>
      <c r="G155" s="2">
        <f t="shared" ca="1" si="26"/>
        <v>241.28954571968157</v>
      </c>
      <c r="H155" s="2">
        <f t="shared" ca="1" si="22"/>
        <v>0.12560277722394383</v>
      </c>
      <c r="I155" s="2">
        <f t="shared" ca="1" si="23"/>
        <v>0</v>
      </c>
    </row>
    <row r="156" spans="2:9" x14ac:dyDescent="0.2">
      <c r="B156" s="4">
        <f t="shared" ca="1" si="24"/>
        <v>44193</v>
      </c>
      <c r="C156">
        <f t="shared" si="24"/>
        <v>145</v>
      </c>
      <c r="D156">
        <f t="shared" ca="1" si="21"/>
        <v>2</v>
      </c>
      <c r="E156" s="2">
        <f t="shared" ca="1" si="25"/>
        <v>241.41514849690552</v>
      </c>
      <c r="F156" s="2">
        <f t="shared" ca="1" si="18"/>
        <v>0</v>
      </c>
      <c r="G156" s="2">
        <f t="shared" ca="1" si="26"/>
        <v>241.41514849690552</v>
      </c>
      <c r="H156" s="2">
        <f t="shared" ca="1" si="22"/>
        <v>0.12566815949153987</v>
      </c>
      <c r="I156" s="2">
        <f t="shared" ca="1" si="23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1"/>
        <v>3</v>
      </c>
      <c r="E157" s="2">
        <f t="shared" ca="1" si="25"/>
        <v>241.54081665639706</v>
      </c>
      <c r="F157" s="2">
        <f t="shared" ca="1" si="18"/>
        <v>0</v>
      </c>
      <c r="G157" s="2">
        <f t="shared" ca="1" si="26"/>
        <v>241.54081665639706</v>
      </c>
      <c r="H157" s="2">
        <f t="shared" ca="1" si="22"/>
        <v>0.12573357579374092</v>
      </c>
      <c r="I157" s="2">
        <f t="shared" ca="1" si="23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1"/>
        <v>4</v>
      </c>
      <c r="E158" s="2">
        <f t="shared" ca="1" si="25"/>
        <v>241.66655023219079</v>
      </c>
      <c r="F158" s="2">
        <f t="shared" ca="1" si="18"/>
        <v>0</v>
      </c>
      <c r="G158" s="2">
        <f t="shared" ca="1" si="26"/>
        <v>241.66655023219079</v>
      </c>
      <c r="H158" s="2">
        <f t="shared" ca="1" si="22"/>
        <v>0.12579902614826372</v>
      </c>
      <c r="I158" s="2">
        <f t="shared" ca="1" si="23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1"/>
        <v>5</v>
      </c>
      <c r="E159" s="2">
        <f t="shared" ca="1" si="25"/>
        <v>241.79234925833904</v>
      </c>
      <c r="F159" s="2">
        <f t="shared" ca="1" si="18"/>
        <v>0</v>
      </c>
      <c r="G159" s="2">
        <f t="shared" ca="1" si="26"/>
        <v>241.79234925833904</v>
      </c>
      <c r="H159" s="2">
        <f t="shared" ca="1" si="22"/>
        <v>0.12586451057283404</v>
      </c>
      <c r="I159" s="2">
        <f t="shared" ca="1" si="23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1"/>
        <v>6</v>
      </c>
      <c r="E160" s="2">
        <f t="shared" ca="1" si="25"/>
        <v>241.91821376891187</v>
      </c>
      <c r="F160" s="2">
        <f t="shared" ca="1" si="18"/>
        <v>0</v>
      </c>
      <c r="G160" s="2">
        <f t="shared" ca="1" si="26"/>
        <v>241.91821376891187</v>
      </c>
      <c r="H160" s="2">
        <f t="shared" ca="1" si="22"/>
        <v>0.125930029085187</v>
      </c>
      <c r="I160" s="2">
        <f t="shared" ca="1" si="23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1"/>
        <v>7</v>
      </c>
      <c r="E161" s="2">
        <f t="shared" ca="1" si="25"/>
        <v>242.04414379799707</v>
      </c>
      <c r="F161" s="2">
        <f t="shared" ca="1" si="18"/>
        <v>0</v>
      </c>
      <c r="G161" s="2">
        <f t="shared" ca="1" si="26"/>
        <v>242.04414379799707</v>
      </c>
      <c r="H161" s="2">
        <f t="shared" ca="1" si="22"/>
        <v>0.12599558170306696</v>
      </c>
      <c r="I161" s="2">
        <f t="shared" ca="1" si="23"/>
        <v>20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1"/>
        <v>1</v>
      </c>
      <c r="E162" s="2">
        <f t="shared" ca="1" si="25"/>
        <v>262.17013937970012</v>
      </c>
      <c r="F162" s="2">
        <f t="shared" ca="1" si="18"/>
        <v>0</v>
      </c>
      <c r="G162" s="2">
        <f t="shared" ca="1" si="26"/>
        <v>262.17013937970012</v>
      </c>
      <c r="H162" s="2">
        <f t="shared" ca="1" si="22"/>
        <v>0.13647212734833705</v>
      </c>
      <c r="I162" s="2">
        <f t="shared" ca="1" si="23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1"/>
        <v>2</v>
      </c>
      <c r="E163" s="2">
        <f t="shared" ca="1" si="25"/>
        <v>262.30661150704844</v>
      </c>
      <c r="F163" s="2">
        <f t="shared" ca="1" si="18"/>
        <v>0</v>
      </c>
      <c r="G163" s="2">
        <f t="shared" ca="1" si="26"/>
        <v>262.30661150704844</v>
      </c>
      <c r="H163" s="2">
        <f t="shared" ca="1" si="22"/>
        <v>0.13654316763380606</v>
      </c>
      <c r="I163" s="2">
        <f t="shared" ca="1" si="23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1"/>
        <v>3</v>
      </c>
      <c r="E164" s="2">
        <f t="shared" ca="1" si="25"/>
        <v>262.44315467468226</v>
      </c>
      <c r="F164" s="2">
        <f t="shared" ref="F164:F211" ca="1" si="28">IF(C164&gt;$C$7,0,IF(ROUND(E164,0)&gt;0,IF(C164=0,0,IF(DAY($F$2)&lt;&gt;DAY(B164),0,$C$8)),0))</f>
        <v>241.99949045987898</v>
      </c>
      <c r="G164" s="2">
        <f t="shared" ca="1" si="26"/>
        <v>20.443664214803277</v>
      </c>
      <c r="H164" s="2">
        <f t="shared" ca="1" si="22"/>
        <v>1.0641907399486639E-2</v>
      </c>
      <c r="I164" s="2">
        <f t="shared" ca="1" si="23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1"/>
        <v>4</v>
      </c>
      <c r="E165" s="2">
        <f t="shared" ca="1" si="25"/>
        <v>0</v>
      </c>
      <c r="F165" s="2">
        <f t="shared" ca="1" si="28"/>
        <v>0</v>
      </c>
      <c r="G165" s="2">
        <f t="shared" ca="1" si="26"/>
        <v>20.443664214803277</v>
      </c>
      <c r="H165" s="2">
        <f t="shared" ca="1" si="22"/>
        <v>0</v>
      </c>
      <c r="I165" s="2">
        <f t="shared" ca="1" si="23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1"/>
        <v>5</v>
      </c>
      <c r="E166" s="2">
        <f t="shared" ca="1" si="25"/>
        <v>0</v>
      </c>
      <c r="F166" s="2">
        <f t="shared" ca="1" si="28"/>
        <v>0</v>
      </c>
      <c r="G166" s="2">
        <f t="shared" ca="1" si="26"/>
        <v>20.443664214803277</v>
      </c>
      <c r="H166" s="2">
        <f t="shared" ca="1" si="22"/>
        <v>0</v>
      </c>
      <c r="I166" s="2">
        <f t="shared" ca="1" si="23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1"/>
        <v>6</v>
      </c>
      <c r="E167" s="2">
        <f t="shared" ca="1" si="25"/>
        <v>0</v>
      </c>
      <c r="F167" s="2">
        <f t="shared" ca="1" si="28"/>
        <v>0</v>
      </c>
      <c r="G167" s="2">
        <f t="shared" ca="1" si="26"/>
        <v>20.443664214803277</v>
      </c>
      <c r="H167" s="2">
        <f t="shared" ca="1" si="22"/>
        <v>0</v>
      </c>
      <c r="I167" s="2">
        <f t="shared" ca="1" si="23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1"/>
        <v>7</v>
      </c>
      <c r="E168" s="2">
        <f t="shared" ca="1" si="25"/>
        <v>0</v>
      </c>
      <c r="F168" s="2">
        <f t="shared" ca="1" si="28"/>
        <v>0</v>
      </c>
      <c r="G168" s="2">
        <f t="shared" ca="1" si="26"/>
        <v>20.443664214803277</v>
      </c>
      <c r="H168" s="2">
        <f t="shared" ca="1" si="22"/>
        <v>0</v>
      </c>
      <c r="I168" s="2">
        <f t="shared" ca="1" si="23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1"/>
        <v>1</v>
      </c>
      <c r="E169" s="2">
        <f t="shared" ca="1" si="25"/>
        <v>0</v>
      </c>
      <c r="F169" s="2">
        <f t="shared" ca="1" si="28"/>
        <v>0</v>
      </c>
      <c r="G169" s="2">
        <f t="shared" ca="1" si="26"/>
        <v>20.443664214803277</v>
      </c>
      <c r="H169" s="2">
        <f t="shared" ca="1" si="22"/>
        <v>0</v>
      </c>
      <c r="I169" s="2">
        <f t="shared" ca="1" si="23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1"/>
        <v>2</v>
      </c>
      <c r="E170" s="2">
        <f t="shared" ca="1" si="25"/>
        <v>0</v>
      </c>
      <c r="F170" s="2">
        <f t="shared" ca="1" si="28"/>
        <v>0</v>
      </c>
      <c r="G170" s="2">
        <f t="shared" ca="1" si="26"/>
        <v>20.443664214803277</v>
      </c>
      <c r="H170" s="2">
        <f t="shared" ca="1" si="22"/>
        <v>0</v>
      </c>
      <c r="I170" s="2">
        <f t="shared" ca="1" si="23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1"/>
        <v>3</v>
      </c>
      <c r="E171" s="2">
        <f t="shared" ca="1" si="25"/>
        <v>0</v>
      </c>
      <c r="F171" s="2">
        <f t="shared" ca="1" si="28"/>
        <v>0</v>
      </c>
      <c r="G171" s="2">
        <f t="shared" ca="1" si="26"/>
        <v>20.443664214803277</v>
      </c>
      <c r="H171" s="2">
        <f t="shared" ca="1" si="22"/>
        <v>0</v>
      </c>
      <c r="I171" s="2">
        <f t="shared" ca="1" si="23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1"/>
        <v>4</v>
      </c>
      <c r="E172" s="2">
        <f t="shared" ca="1" si="25"/>
        <v>0</v>
      </c>
      <c r="F172" s="2">
        <f t="shared" ca="1" si="28"/>
        <v>0</v>
      </c>
      <c r="G172" s="2">
        <f t="shared" ca="1" si="26"/>
        <v>20.443664214803277</v>
      </c>
      <c r="H172" s="2">
        <f t="shared" ca="1" si="22"/>
        <v>0</v>
      </c>
      <c r="I172" s="2">
        <f t="shared" ca="1" si="23"/>
        <v>0</v>
      </c>
    </row>
    <row r="173" spans="2:9" x14ac:dyDescent="0.2">
      <c r="B173" s="4">
        <f t="shared" ref="B173:C188" ca="1" si="29">B172+1</f>
        <v>44210</v>
      </c>
      <c r="C173">
        <f t="shared" si="29"/>
        <v>162</v>
      </c>
      <c r="D173">
        <f t="shared" ca="1" si="21"/>
        <v>5</v>
      </c>
      <c r="E173" s="2">
        <f t="shared" ca="1" si="25"/>
        <v>0</v>
      </c>
      <c r="F173" s="2">
        <f t="shared" ca="1" si="28"/>
        <v>0</v>
      </c>
      <c r="G173" s="2">
        <f t="shared" ca="1" si="26"/>
        <v>20.443664214803277</v>
      </c>
      <c r="H173" s="2">
        <f t="shared" ca="1" si="22"/>
        <v>0</v>
      </c>
      <c r="I173" s="2">
        <f t="shared" ca="1" si="23"/>
        <v>0</v>
      </c>
    </row>
    <row r="174" spans="2:9" x14ac:dyDescent="0.2">
      <c r="B174" s="4">
        <f t="shared" ca="1" si="29"/>
        <v>44211</v>
      </c>
      <c r="C174">
        <f t="shared" si="29"/>
        <v>163</v>
      </c>
      <c r="D174">
        <f t="shared" ca="1" si="21"/>
        <v>6</v>
      </c>
      <c r="E174" s="2">
        <f t="shared" ca="1" si="25"/>
        <v>0</v>
      </c>
      <c r="F174" s="2">
        <f t="shared" ca="1" si="28"/>
        <v>0</v>
      </c>
      <c r="G174" s="2">
        <f t="shared" ca="1" si="26"/>
        <v>20.443664214803277</v>
      </c>
      <c r="H174" s="2">
        <f t="shared" ca="1" si="22"/>
        <v>0</v>
      </c>
      <c r="I174" s="2">
        <f t="shared" ca="1" si="23"/>
        <v>0</v>
      </c>
    </row>
    <row r="175" spans="2:9" x14ac:dyDescent="0.2">
      <c r="B175" s="4">
        <f t="shared" ca="1" si="29"/>
        <v>44212</v>
      </c>
      <c r="C175">
        <f t="shared" si="29"/>
        <v>164</v>
      </c>
      <c r="D175">
        <f t="shared" ca="1" si="21"/>
        <v>7</v>
      </c>
      <c r="E175" s="2">
        <f t="shared" ca="1" si="25"/>
        <v>0</v>
      </c>
      <c r="F175" s="2">
        <f t="shared" ca="1" si="28"/>
        <v>0</v>
      </c>
      <c r="G175" s="2">
        <f t="shared" ca="1" si="26"/>
        <v>20.443664214803277</v>
      </c>
      <c r="H175" s="2">
        <f t="shared" ca="1" si="22"/>
        <v>0</v>
      </c>
      <c r="I175" s="2">
        <f t="shared" ca="1" si="23"/>
        <v>0</v>
      </c>
    </row>
    <row r="176" spans="2:9" x14ac:dyDescent="0.2">
      <c r="B176" s="4">
        <f t="shared" ca="1" si="29"/>
        <v>44213</v>
      </c>
      <c r="C176">
        <f t="shared" si="29"/>
        <v>165</v>
      </c>
      <c r="D176">
        <f t="shared" ca="1" si="21"/>
        <v>1</v>
      </c>
      <c r="E176" s="2">
        <f t="shared" ca="1" si="25"/>
        <v>0</v>
      </c>
      <c r="F176" s="2">
        <f t="shared" ca="1" si="28"/>
        <v>0</v>
      </c>
      <c r="G176" s="2">
        <f t="shared" ca="1" si="26"/>
        <v>20.443664214803277</v>
      </c>
      <c r="H176" s="2">
        <f t="shared" ca="1" si="22"/>
        <v>0</v>
      </c>
      <c r="I176" s="2">
        <f t="shared" ca="1" si="23"/>
        <v>0</v>
      </c>
    </row>
    <row r="177" spans="2:9" x14ac:dyDescent="0.2">
      <c r="B177" s="4">
        <f t="shared" ca="1" si="29"/>
        <v>44214</v>
      </c>
      <c r="C177">
        <f t="shared" si="29"/>
        <v>166</v>
      </c>
      <c r="D177">
        <f t="shared" ca="1" si="21"/>
        <v>2</v>
      </c>
      <c r="E177" s="2">
        <f t="shared" ca="1" si="25"/>
        <v>0</v>
      </c>
      <c r="F177" s="2">
        <f t="shared" ca="1" si="28"/>
        <v>0</v>
      </c>
      <c r="G177" s="2">
        <f t="shared" ca="1" si="26"/>
        <v>20.443664214803277</v>
      </c>
      <c r="H177" s="2">
        <f t="shared" ca="1" si="22"/>
        <v>0</v>
      </c>
      <c r="I177" s="2">
        <f t="shared" ca="1" si="23"/>
        <v>0</v>
      </c>
    </row>
    <row r="178" spans="2:9" x14ac:dyDescent="0.2">
      <c r="B178" s="4">
        <f t="shared" ca="1" si="29"/>
        <v>44215</v>
      </c>
      <c r="C178">
        <f t="shared" si="29"/>
        <v>167</v>
      </c>
      <c r="D178">
        <f t="shared" ca="1" si="21"/>
        <v>3</v>
      </c>
      <c r="E178" s="2">
        <f t="shared" ca="1" si="25"/>
        <v>0</v>
      </c>
      <c r="F178" s="2">
        <f t="shared" ca="1" si="28"/>
        <v>0</v>
      </c>
      <c r="G178" s="2">
        <f t="shared" ca="1" si="26"/>
        <v>20.443664214803277</v>
      </c>
      <c r="H178" s="2">
        <f t="shared" ca="1" si="22"/>
        <v>0</v>
      </c>
      <c r="I178" s="2">
        <f t="shared" ca="1" si="23"/>
        <v>0</v>
      </c>
    </row>
    <row r="179" spans="2:9" x14ac:dyDescent="0.2">
      <c r="B179" s="4">
        <f t="shared" ca="1" si="29"/>
        <v>44216</v>
      </c>
      <c r="C179">
        <f t="shared" si="29"/>
        <v>168</v>
      </c>
      <c r="D179">
        <f t="shared" ca="1" si="21"/>
        <v>4</v>
      </c>
      <c r="E179" s="2">
        <f t="shared" ca="1" si="25"/>
        <v>0</v>
      </c>
      <c r="F179" s="2">
        <f t="shared" ca="1" si="28"/>
        <v>0</v>
      </c>
      <c r="G179" s="2">
        <f t="shared" ca="1" si="26"/>
        <v>20.443664214803277</v>
      </c>
      <c r="H179" s="2">
        <f t="shared" ca="1" si="22"/>
        <v>0</v>
      </c>
      <c r="I179" s="2">
        <f t="shared" ca="1" si="23"/>
        <v>0</v>
      </c>
    </row>
    <row r="180" spans="2:9" x14ac:dyDescent="0.2">
      <c r="B180" s="4">
        <f t="shared" ca="1" si="29"/>
        <v>44217</v>
      </c>
      <c r="C180">
        <f t="shared" si="29"/>
        <v>169</v>
      </c>
      <c r="D180">
        <f t="shared" ca="1" si="21"/>
        <v>5</v>
      </c>
      <c r="E180" s="2">
        <f t="shared" ca="1" si="25"/>
        <v>0</v>
      </c>
      <c r="F180" s="2">
        <f t="shared" ca="1" si="28"/>
        <v>0</v>
      </c>
      <c r="G180" s="2">
        <f t="shared" ca="1" si="26"/>
        <v>20.443664214803277</v>
      </c>
      <c r="H180" s="2">
        <f t="shared" ca="1" si="22"/>
        <v>0</v>
      </c>
      <c r="I180" s="2">
        <f t="shared" ca="1" si="23"/>
        <v>0</v>
      </c>
    </row>
    <row r="181" spans="2:9" x14ac:dyDescent="0.2">
      <c r="B181" s="4">
        <f t="shared" ca="1" si="29"/>
        <v>44218</v>
      </c>
      <c r="C181">
        <f t="shared" si="29"/>
        <v>170</v>
      </c>
      <c r="D181">
        <f t="shared" ca="1" si="21"/>
        <v>6</v>
      </c>
      <c r="E181" s="2">
        <f t="shared" ca="1" si="25"/>
        <v>0</v>
      </c>
      <c r="F181" s="2">
        <f t="shared" ca="1" si="28"/>
        <v>0</v>
      </c>
      <c r="G181" s="2">
        <f t="shared" ca="1" si="26"/>
        <v>20.443664214803277</v>
      </c>
      <c r="H181" s="2">
        <f t="shared" ca="1" si="22"/>
        <v>0</v>
      </c>
      <c r="I181" s="2">
        <f t="shared" ca="1" si="23"/>
        <v>0</v>
      </c>
    </row>
    <row r="182" spans="2:9" x14ac:dyDescent="0.2">
      <c r="B182" s="4">
        <f t="shared" ca="1" si="29"/>
        <v>44219</v>
      </c>
      <c r="C182">
        <f t="shared" si="29"/>
        <v>171</v>
      </c>
      <c r="D182">
        <f t="shared" ca="1" si="21"/>
        <v>7</v>
      </c>
      <c r="E182" s="2">
        <f t="shared" ca="1" si="25"/>
        <v>0</v>
      </c>
      <c r="F182" s="2">
        <f t="shared" ca="1" si="28"/>
        <v>0</v>
      </c>
      <c r="G182" s="2">
        <f t="shared" ca="1" si="26"/>
        <v>20.443664214803277</v>
      </c>
      <c r="H182" s="2">
        <f t="shared" ca="1" si="22"/>
        <v>0</v>
      </c>
      <c r="I182" s="2">
        <f t="shared" ca="1" si="23"/>
        <v>0</v>
      </c>
    </row>
    <row r="183" spans="2:9" x14ac:dyDescent="0.2">
      <c r="B183" s="4">
        <f t="shared" ca="1" si="29"/>
        <v>44220</v>
      </c>
      <c r="C183">
        <f t="shared" si="29"/>
        <v>172</v>
      </c>
      <c r="D183">
        <f t="shared" ca="1" si="21"/>
        <v>1</v>
      </c>
      <c r="E183" s="2">
        <f t="shared" ca="1" si="25"/>
        <v>0</v>
      </c>
      <c r="F183" s="2">
        <f t="shared" ca="1" si="28"/>
        <v>0</v>
      </c>
      <c r="G183" s="2">
        <f t="shared" ca="1" si="26"/>
        <v>20.443664214803277</v>
      </c>
      <c r="H183" s="2">
        <f t="shared" ca="1" si="22"/>
        <v>0</v>
      </c>
      <c r="I183" s="2">
        <f t="shared" ca="1" si="23"/>
        <v>0</v>
      </c>
    </row>
    <row r="184" spans="2:9" x14ac:dyDescent="0.2">
      <c r="B184" s="4">
        <f t="shared" ca="1" si="29"/>
        <v>44221</v>
      </c>
      <c r="C184">
        <f t="shared" si="29"/>
        <v>173</v>
      </c>
      <c r="D184">
        <f t="shared" ca="1" si="21"/>
        <v>2</v>
      </c>
      <c r="E184" s="2">
        <f t="shared" ca="1" si="25"/>
        <v>0</v>
      </c>
      <c r="F184" s="2">
        <f t="shared" ca="1" si="28"/>
        <v>0</v>
      </c>
      <c r="G184" s="2">
        <f t="shared" ca="1" si="26"/>
        <v>20.443664214803277</v>
      </c>
      <c r="H184" s="2">
        <f t="shared" ca="1" si="22"/>
        <v>0</v>
      </c>
      <c r="I184" s="2">
        <f t="shared" ca="1" si="23"/>
        <v>0</v>
      </c>
    </row>
    <row r="185" spans="2:9" x14ac:dyDescent="0.2">
      <c r="B185" s="4">
        <f t="shared" ca="1" si="29"/>
        <v>44222</v>
      </c>
      <c r="C185">
        <f t="shared" si="29"/>
        <v>174</v>
      </c>
      <c r="D185">
        <f t="shared" ca="1" si="21"/>
        <v>3</v>
      </c>
      <c r="E185" s="2">
        <f t="shared" ca="1" si="25"/>
        <v>0</v>
      </c>
      <c r="F185" s="2">
        <f t="shared" ca="1" si="28"/>
        <v>0</v>
      </c>
      <c r="G185" s="2">
        <f t="shared" ca="1" si="26"/>
        <v>20.443664214803277</v>
      </c>
      <c r="H185" s="2">
        <f t="shared" ca="1" si="22"/>
        <v>0</v>
      </c>
      <c r="I185" s="2">
        <f t="shared" ca="1" si="23"/>
        <v>0</v>
      </c>
    </row>
    <row r="186" spans="2:9" x14ac:dyDescent="0.2">
      <c r="B186" s="4">
        <f t="shared" ca="1" si="29"/>
        <v>44223</v>
      </c>
      <c r="C186">
        <f t="shared" si="29"/>
        <v>175</v>
      </c>
      <c r="D186">
        <f t="shared" ca="1" si="21"/>
        <v>4</v>
      </c>
      <c r="E186" s="2">
        <f t="shared" ca="1" si="25"/>
        <v>0</v>
      </c>
      <c r="F186" s="2">
        <f t="shared" ca="1" si="28"/>
        <v>0</v>
      </c>
      <c r="G186" s="2">
        <f t="shared" ca="1" si="26"/>
        <v>20.443664214803277</v>
      </c>
      <c r="H186" s="2">
        <f t="shared" ca="1" si="22"/>
        <v>0</v>
      </c>
      <c r="I186" s="2">
        <f t="shared" ca="1" si="23"/>
        <v>0</v>
      </c>
    </row>
    <row r="187" spans="2:9" x14ac:dyDescent="0.2">
      <c r="B187" s="4">
        <f t="shared" ca="1" si="29"/>
        <v>44224</v>
      </c>
      <c r="C187">
        <f t="shared" si="29"/>
        <v>176</v>
      </c>
      <c r="D187">
        <f t="shared" ca="1" si="21"/>
        <v>5</v>
      </c>
      <c r="E187" s="2">
        <f t="shared" ca="1" si="25"/>
        <v>0</v>
      </c>
      <c r="F187" s="2">
        <f t="shared" ca="1" si="28"/>
        <v>0</v>
      </c>
      <c r="G187" s="2">
        <f t="shared" ca="1" si="26"/>
        <v>20.443664214803277</v>
      </c>
      <c r="H187" s="2">
        <f t="shared" ca="1" si="22"/>
        <v>0</v>
      </c>
      <c r="I187" s="2">
        <f t="shared" ca="1" si="23"/>
        <v>0</v>
      </c>
    </row>
    <row r="188" spans="2:9" x14ac:dyDescent="0.2">
      <c r="B188" s="4">
        <f t="shared" ca="1" si="29"/>
        <v>44225</v>
      </c>
      <c r="C188">
        <f t="shared" si="29"/>
        <v>177</v>
      </c>
      <c r="D188">
        <f t="shared" ca="1" si="21"/>
        <v>6</v>
      </c>
      <c r="E188" s="2">
        <f t="shared" ca="1" si="25"/>
        <v>0</v>
      </c>
      <c r="F188" s="2">
        <f t="shared" ca="1" si="28"/>
        <v>0</v>
      </c>
      <c r="G188" s="2">
        <f t="shared" ca="1" si="26"/>
        <v>20.443664214803277</v>
      </c>
      <c r="H188" s="2">
        <f t="shared" ca="1" si="22"/>
        <v>0</v>
      </c>
      <c r="I188" s="2">
        <f t="shared" ca="1" si="23"/>
        <v>0</v>
      </c>
    </row>
    <row r="189" spans="2:9" x14ac:dyDescent="0.2">
      <c r="B189" s="4">
        <f t="shared" ref="B189:C204" ca="1" si="30">B188+1</f>
        <v>44226</v>
      </c>
      <c r="C189">
        <f t="shared" si="30"/>
        <v>178</v>
      </c>
      <c r="D189">
        <f t="shared" ca="1" si="21"/>
        <v>7</v>
      </c>
      <c r="E189" s="2">
        <f t="shared" ca="1" si="25"/>
        <v>0</v>
      </c>
      <c r="F189" s="2">
        <f t="shared" ca="1" si="28"/>
        <v>0</v>
      </c>
      <c r="G189" s="2">
        <f t="shared" ca="1" si="26"/>
        <v>20.443664214803277</v>
      </c>
      <c r="H189" s="2">
        <f t="shared" ca="1" si="22"/>
        <v>0</v>
      </c>
      <c r="I189" s="2">
        <f t="shared" ca="1" si="23"/>
        <v>0</v>
      </c>
    </row>
    <row r="190" spans="2:9" x14ac:dyDescent="0.2">
      <c r="B190" s="4">
        <f t="shared" ca="1" si="30"/>
        <v>44227</v>
      </c>
      <c r="C190">
        <f t="shared" si="30"/>
        <v>179</v>
      </c>
      <c r="D190">
        <f t="shared" ca="1" si="21"/>
        <v>1</v>
      </c>
      <c r="E190" s="2">
        <f t="shared" ca="1" si="25"/>
        <v>0</v>
      </c>
      <c r="F190" s="2">
        <f t="shared" ca="1" si="28"/>
        <v>0</v>
      </c>
      <c r="G190" s="2">
        <f t="shared" ca="1" si="26"/>
        <v>20.443664214803277</v>
      </c>
      <c r="H190" s="2">
        <f t="shared" ca="1" si="22"/>
        <v>0</v>
      </c>
      <c r="I190" s="2">
        <f t="shared" ca="1" si="23"/>
        <v>0</v>
      </c>
    </row>
    <row r="191" spans="2:9" x14ac:dyDescent="0.2">
      <c r="B191" s="4">
        <f t="shared" ca="1" si="30"/>
        <v>44228</v>
      </c>
      <c r="C191">
        <f t="shared" si="30"/>
        <v>180</v>
      </c>
      <c r="D191">
        <f t="shared" ca="1" si="21"/>
        <v>2</v>
      </c>
      <c r="E191" s="2">
        <f t="shared" ca="1" si="25"/>
        <v>0</v>
      </c>
      <c r="F191" s="2">
        <f t="shared" ca="1" si="28"/>
        <v>0</v>
      </c>
      <c r="G191" s="2">
        <f t="shared" ca="1" si="26"/>
        <v>20.443664214803277</v>
      </c>
      <c r="H191" s="2">
        <f t="shared" ca="1" si="22"/>
        <v>0</v>
      </c>
      <c r="I191" s="2">
        <f t="shared" ca="1" si="23"/>
        <v>0</v>
      </c>
    </row>
    <row r="192" spans="2:9" x14ac:dyDescent="0.2">
      <c r="B192" s="4">
        <f t="shared" ca="1" si="30"/>
        <v>44229</v>
      </c>
      <c r="C192">
        <f t="shared" si="30"/>
        <v>181</v>
      </c>
      <c r="D192">
        <f t="shared" ca="1" si="21"/>
        <v>3</v>
      </c>
      <c r="E192" s="2">
        <f t="shared" ca="1" si="25"/>
        <v>0</v>
      </c>
      <c r="F192" s="2">
        <f t="shared" ca="1" si="28"/>
        <v>0</v>
      </c>
      <c r="G192" s="2">
        <f t="shared" ca="1" si="26"/>
        <v>20.443664214803277</v>
      </c>
      <c r="H192" s="2">
        <f t="shared" ca="1" si="22"/>
        <v>0</v>
      </c>
      <c r="I192" s="2">
        <f t="shared" ca="1" si="23"/>
        <v>0</v>
      </c>
    </row>
    <row r="193" spans="2:9" x14ac:dyDescent="0.2">
      <c r="B193" s="4">
        <f t="shared" ca="1" si="30"/>
        <v>44230</v>
      </c>
      <c r="C193">
        <f t="shared" si="30"/>
        <v>182</v>
      </c>
      <c r="D193">
        <f t="shared" ca="1" si="21"/>
        <v>4</v>
      </c>
      <c r="E193" s="2">
        <f t="shared" ca="1" si="25"/>
        <v>0</v>
      </c>
      <c r="F193" s="2">
        <f t="shared" ca="1" si="28"/>
        <v>0</v>
      </c>
      <c r="G193" s="2">
        <f t="shared" ca="1" si="26"/>
        <v>20.443664214803277</v>
      </c>
      <c r="H193" s="2">
        <f t="shared" ca="1" si="22"/>
        <v>0</v>
      </c>
      <c r="I193" s="2">
        <f t="shared" ca="1" si="23"/>
        <v>0</v>
      </c>
    </row>
    <row r="194" spans="2:9" x14ac:dyDescent="0.2">
      <c r="B194" s="4">
        <f t="shared" ca="1" si="30"/>
        <v>44231</v>
      </c>
      <c r="C194">
        <f t="shared" si="30"/>
        <v>183</v>
      </c>
      <c r="D194">
        <f t="shared" ca="1" si="21"/>
        <v>5</v>
      </c>
      <c r="E194" s="2">
        <f t="shared" ca="1" si="25"/>
        <v>0</v>
      </c>
      <c r="F194" s="2">
        <f t="shared" ca="1" si="28"/>
        <v>0</v>
      </c>
      <c r="G194" s="2">
        <f t="shared" ca="1" si="26"/>
        <v>20.443664214803277</v>
      </c>
      <c r="H194" s="2">
        <f t="shared" ca="1" si="22"/>
        <v>0</v>
      </c>
      <c r="I194" s="2">
        <f t="shared" ca="1" si="23"/>
        <v>0</v>
      </c>
    </row>
    <row r="195" spans="2:9" x14ac:dyDescent="0.2">
      <c r="B195" s="4">
        <f t="shared" ca="1" si="30"/>
        <v>44232</v>
      </c>
      <c r="C195">
        <f t="shared" si="30"/>
        <v>184</v>
      </c>
      <c r="D195">
        <f t="shared" ca="1" si="21"/>
        <v>6</v>
      </c>
      <c r="E195" s="2">
        <f t="shared" ca="1" si="25"/>
        <v>0</v>
      </c>
      <c r="F195" s="2">
        <f t="shared" ca="1" si="28"/>
        <v>0</v>
      </c>
      <c r="G195" s="2">
        <f t="shared" ca="1" si="26"/>
        <v>20.443664214803277</v>
      </c>
      <c r="H195" s="2">
        <f t="shared" ca="1" si="22"/>
        <v>0</v>
      </c>
      <c r="I195" s="2">
        <f t="shared" ca="1" si="23"/>
        <v>0</v>
      </c>
    </row>
    <row r="196" spans="2:9" x14ac:dyDescent="0.2">
      <c r="B196" s="4">
        <f t="shared" ca="1" si="30"/>
        <v>44233</v>
      </c>
      <c r="C196">
        <f t="shared" si="30"/>
        <v>185</v>
      </c>
      <c r="D196">
        <f t="shared" ca="1" si="21"/>
        <v>7</v>
      </c>
      <c r="E196" s="2">
        <f t="shared" ca="1" si="25"/>
        <v>0</v>
      </c>
      <c r="F196" s="2">
        <f t="shared" ca="1" si="28"/>
        <v>0</v>
      </c>
      <c r="G196" s="2">
        <f t="shared" ca="1" si="26"/>
        <v>20.443664214803277</v>
      </c>
      <c r="H196" s="2">
        <f t="shared" ca="1" si="22"/>
        <v>0</v>
      </c>
      <c r="I196" s="2">
        <f t="shared" ca="1" si="23"/>
        <v>0</v>
      </c>
    </row>
    <row r="197" spans="2:9" x14ac:dyDescent="0.2">
      <c r="B197" s="4">
        <f t="shared" ca="1" si="30"/>
        <v>44234</v>
      </c>
      <c r="C197">
        <f t="shared" si="30"/>
        <v>186</v>
      </c>
      <c r="D197">
        <f t="shared" ca="1" si="21"/>
        <v>1</v>
      </c>
      <c r="E197" s="2">
        <f t="shared" ca="1" si="25"/>
        <v>0</v>
      </c>
      <c r="F197" s="2">
        <f t="shared" ca="1" si="28"/>
        <v>0</v>
      </c>
      <c r="G197" s="2">
        <f t="shared" ca="1" si="26"/>
        <v>20.443664214803277</v>
      </c>
      <c r="H197" s="2">
        <f t="shared" ca="1" si="22"/>
        <v>0</v>
      </c>
      <c r="I197" s="2">
        <f t="shared" ca="1" si="23"/>
        <v>0</v>
      </c>
    </row>
    <row r="198" spans="2:9" x14ac:dyDescent="0.2">
      <c r="B198" s="4">
        <f t="shared" ca="1" si="30"/>
        <v>44235</v>
      </c>
      <c r="C198">
        <f t="shared" si="30"/>
        <v>187</v>
      </c>
      <c r="D198">
        <f t="shared" ca="1" si="21"/>
        <v>2</v>
      </c>
      <c r="E198" s="2">
        <f t="shared" ca="1" si="25"/>
        <v>0</v>
      </c>
      <c r="F198" s="2">
        <f t="shared" ca="1" si="28"/>
        <v>0</v>
      </c>
      <c r="G198" s="2">
        <f t="shared" ca="1" si="26"/>
        <v>20.443664214803277</v>
      </c>
      <c r="H198" s="2">
        <f t="shared" ca="1" si="22"/>
        <v>0</v>
      </c>
      <c r="I198" s="2">
        <f t="shared" ca="1" si="23"/>
        <v>0</v>
      </c>
    </row>
    <row r="199" spans="2:9" x14ac:dyDescent="0.2">
      <c r="B199" s="4">
        <f t="shared" ca="1" si="30"/>
        <v>44236</v>
      </c>
      <c r="C199">
        <f t="shared" si="30"/>
        <v>188</v>
      </c>
      <c r="D199">
        <f t="shared" ca="1" si="21"/>
        <v>3</v>
      </c>
      <c r="E199" s="2">
        <f t="shared" ca="1" si="25"/>
        <v>0</v>
      </c>
      <c r="F199" s="2">
        <f t="shared" ca="1" si="28"/>
        <v>0</v>
      </c>
      <c r="G199" s="2">
        <f t="shared" ca="1" si="26"/>
        <v>20.443664214803277</v>
      </c>
      <c r="H199" s="2">
        <f t="shared" ca="1" si="22"/>
        <v>0</v>
      </c>
      <c r="I199" s="2">
        <f t="shared" ca="1" si="23"/>
        <v>0</v>
      </c>
    </row>
    <row r="200" spans="2:9" x14ac:dyDescent="0.2">
      <c r="B200" s="4">
        <f t="shared" ca="1" si="30"/>
        <v>44237</v>
      </c>
      <c r="C200">
        <f t="shared" si="30"/>
        <v>189</v>
      </c>
      <c r="D200">
        <f t="shared" ca="1" si="21"/>
        <v>4</v>
      </c>
      <c r="E200" s="2">
        <f t="shared" ca="1" si="25"/>
        <v>0</v>
      </c>
      <c r="F200" s="2">
        <f t="shared" ca="1" si="28"/>
        <v>0</v>
      </c>
      <c r="G200" s="2">
        <f t="shared" ca="1" si="26"/>
        <v>20.443664214803277</v>
      </c>
      <c r="H200" s="2">
        <f t="shared" ca="1" si="22"/>
        <v>0</v>
      </c>
      <c r="I200" s="2">
        <f t="shared" ca="1" si="23"/>
        <v>0</v>
      </c>
    </row>
    <row r="201" spans="2:9" x14ac:dyDescent="0.2">
      <c r="B201" s="4">
        <f t="shared" ca="1" si="30"/>
        <v>44238</v>
      </c>
      <c r="C201">
        <f t="shared" si="30"/>
        <v>190</v>
      </c>
      <c r="D201">
        <f t="shared" ca="1" si="21"/>
        <v>5</v>
      </c>
      <c r="E201" s="2">
        <f t="shared" ca="1" si="25"/>
        <v>0</v>
      </c>
      <c r="F201" s="2">
        <f t="shared" ca="1" si="28"/>
        <v>0</v>
      </c>
      <c r="G201" s="2">
        <f t="shared" ca="1" si="26"/>
        <v>20.443664214803277</v>
      </c>
      <c r="H201" s="2">
        <f t="shared" ca="1" si="22"/>
        <v>0</v>
      </c>
      <c r="I201" s="2">
        <f t="shared" ca="1" si="23"/>
        <v>0</v>
      </c>
    </row>
    <row r="202" spans="2:9" x14ac:dyDescent="0.2">
      <c r="B202" s="4">
        <f t="shared" ca="1" si="30"/>
        <v>44239</v>
      </c>
      <c r="C202">
        <f t="shared" si="30"/>
        <v>191</v>
      </c>
      <c r="D202">
        <f t="shared" ca="1" si="21"/>
        <v>6</v>
      </c>
      <c r="E202" s="2">
        <f t="shared" ca="1" si="25"/>
        <v>0</v>
      </c>
      <c r="F202" s="2">
        <f t="shared" ca="1" si="28"/>
        <v>0</v>
      </c>
      <c r="G202" s="2">
        <f t="shared" ca="1" si="26"/>
        <v>20.443664214803277</v>
      </c>
      <c r="H202" s="2">
        <f t="shared" ca="1" si="22"/>
        <v>0</v>
      </c>
      <c r="I202" s="2">
        <f t="shared" ca="1" si="23"/>
        <v>0</v>
      </c>
    </row>
    <row r="203" spans="2:9" x14ac:dyDescent="0.2">
      <c r="B203" s="4">
        <f t="shared" ca="1" si="30"/>
        <v>44240</v>
      </c>
      <c r="C203">
        <f t="shared" si="30"/>
        <v>192</v>
      </c>
      <c r="D203">
        <f t="shared" ca="1" si="21"/>
        <v>7</v>
      </c>
      <c r="E203" s="2">
        <f t="shared" ca="1" si="25"/>
        <v>0</v>
      </c>
      <c r="F203" s="2">
        <f t="shared" ca="1" si="28"/>
        <v>0</v>
      </c>
      <c r="G203" s="2">
        <f t="shared" ca="1" si="26"/>
        <v>20.443664214803277</v>
      </c>
      <c r="H203" s="2">
        <f t="shared" ca="1" si="22"/>
        <v>0</v>
      </c>
      <c r="I203" s="2">
        <f t="shared" ca="1" si="23"/>
        <v>0</v>
      </c>
    </row>
    <row r="204" spans="2:9" x14ac:dyDescent="0.2">
      <c r="B204" s="4">
        <f t="shared" ca="1" si="30"/>
        <v>44241</v>
      </c>
      <c r="C204">
        <f t="shared" si="30"/>
        <v>193</v>
      </c>
      <c r="D204">
        <f t="shared" ref="D204:D211" ca="1" si="31">WEEKDAY(B204,1)</f>
        <v>1</v>
      </c>
      <c r="E204" s="2">
        <f t="shared" ca="1" si="25"/>
        <v>0</v>
      </c>
      <c r="F204" s="2">
        <f t="shared" ca="1" si="28"/>
        <v>0</v>
      </c>
      <c r="G204" s="2">
        <f t="shared" ca="1" si="26"/>
        <v>20.443664214803277</v>
      </c>
      <c r="H204" s="2">
        <f t="shared" ref="H204:H211" ca="1" si="32">IF(C204&gt;$C$7,0,(G204)*$C$5/365)</f>
        <v>0</v>
      </c>
      <c r="I204" s="2">
        <f t="shared" ref="I204:I211" ca="1" si="33">IF(AND(C204=0,D204=7),$C$6,IF(C204=$C$7,0,IF(C204&lt;$C$7,IF(D204=7,$C$6,0),0)))</f>
        <v>0</v>
      </c>
    </row>
    <row r="205" spans="2:9" x14ac:dyDescent="0.2">
      <c r="B205" s="4">
        <f t="shared" ref="B205:C211" ca="1" si="34">B204+1</f>
        <v>44242</v>
      </c>
      <c r="C205">
        <f t="shared" si="34"/>
        <v>194</v>
      </c>
      <c r="D205">
        <f t="shared" ca="1" si="31"/>
        <v>2</v>
      </c>
      <c r="E205" s="2">
        <f t="shared" ref="E205:E211" ca="1" si="35">IF(C205&gt;$C$7,0,G204+H204+I204)</f>
        <v>0</v>
      </c>
      <c r="F205" s="2">
        <f t="shared" ca="1" si="28"/>
        <v>0</v>
      </c>
      <c r="G205" s="2">
        <f t="shared" ref="G205:G211" ca="1" si="36">IF(C205&gt;$C$7,G204,E205-F205)</f>
        <v>20.443664214803277</v>
      </c>
      <c r="H205" s="2">
        <f t="shared" ca="1" si="32"/>
        <v>0</v>
      </c>
      <c r="I205" s="2">
        <f t="shared" ca="1" si="33"/>
        <v>0</v>
      </c>
    </row>
    <row r="206" spans="2:9" x14ac:dyDescent="0.2">
      <c r="B206" s="4">
        <f t="shared" ca="1" si="34"/>
        <v>44243</v>
      </c>
      <c r="C206">
        <f t="shared" si="34"/>
        <v>195</v>
      </c>
      <c r="D206">
        <f t="shared" ca="1" si="31"/>
        <v>3</v>
      </c>
      <c r="E206" s="2">
        <f t="shared" ca="1" si="35"/>
        <v>0</v>
      </c>
      <c r="F206" s="2">
        <f t="shared" ca="1" si="28"/>
        <v>0</v>
      </c>
      <c r="G206" s="2">
        <f t="shared" ca="1" si="36"/>
        <v>20.443664214803277</v>
      </c>
      <c r="H206" s="2">
        <f t="shared" ca="1" si="32"/>
        <v>0</v>
      </c>
      <c r="I206" s="2">
        <f t="shared" ca="1" si="33"/>
        <v>0</v>
      </c>
    </row>
    <row r="207" spans="2:9" x14ac:dyDescent="0.2">
      <c r="B207" s="4">
        <f t="shared" ca="1" si="34"/>
        <v>44244</v>
      </c>
      <c r="C207">
        <f t="shared" si="34"/>
        <v>196</v>
      </c>
      <c r="D207">
        <f t="shared" ca="1" si="31"/>
        <v>4</v>
      </c>
      <c r="E207" s="2">
        <f t="shared" ca="1" si="35"/>
        <v>0</v>
      </c>
      <c r="F207" s="2">
        <f t="shared" ca="1" si="28"/>
        <v>0</v>
      </c>
      <c r="G207" s="2">
        <f t="shared" ca="1" si="36"/>
        <v>20.443664214803277</v>
      </c>
      <c r="H207" s="2">
        <f t="shared" ca="1" si="32"/>
        <v>0</v>
      </c>
      <c r="I207" s="2">
        <f t="shared" ca="1" si="33"/>
        <v>0</v>
      </c>
    </row>
    <row r="208" spans="2:9" x14ac:dyDescent="0.2">
      <c r="B208" s="4">
        <f t="shared" ca="1" si="34"/>
        <v>44245</v>
      </c>
      <c r="C208">
        <f t="shared" si="34"/>
        <v>197</v>
      </c>
      <c r="D208">
        <f t="shared" ca="1" si="31"/>
        <v>5</v>
      </c>
      <c r="E208" s="2">
        <f t="shared" ca="1" si="35"/>
        <v>0</v>
      </c>
      <c r="F208" s="2">
        <f t="shared" ca="1" si="28"/>
        <v>0</v>
      </c>
      <c r="G208" s="2">
        <f t="shared" ca="1" si="36"/>
        <v>20.443664214803277</v>
      </c>
      <c r="H208" s="2">
        <f t="shared" ca="1" si="32"/>
        <v>0</v>
      </c>
      <c r="I208" s="2">
        <f t="shared" ca="1" si="33"/>
        <v>0</v>
      </c>
    </row>
    <row r="209" spans="2:9" x14ac:dyDescent="0.2">
      <c r="B209" s="4">
        <f t="shared" ca="1" si="34"/>
        <v>44246</v>
      </c>
      <c r="C209">
        <f t="shared" si="34"/>
        <v>198</v>
      </c>
      <c r="D209">
        <f t="shared" ca="1" si="31"/>
        <v>6</v>
      </c>
      <c r="E209" s="2">
        <f t="shared" ca="1" si="35"/>
        <v>0</v>
      </c>
      <c r="F209" s="2">
        <f t="shared" ca="1" si="28"/>
        <v>0</v>
      </c>
      <c r="G209" s="2">
        <f t="shared" ca="1" si="36"/>
        <v>20.443664214803277</v>
      </c>
      <c r="H209" s="2">
        <f t="shared" ca="1" si="32"/>
        <v>0</v>
      </c>
      <c r="I209" s="2">
        <f t="shared" ca="1" si="33"/>
        <v>0</v>
      </c>
    </row>
    <row r="210" spans="2:9" x14ac:dyDescent="0.2">
      <c r="B210" s="4">
        <f t="shared" ca="1" si="34"/>
        <v>44247</v>
      </c>
      <c r="C210">
        <f t="shared" si="34"/>
        <v>199</v>
      </c>
      <c r="D210">
        <f t="shared" ca="1" si="31"/>
        <v>7</v>
      </c>
      <c r="E210" s="2">
        <f t="shared" ca="1" si="35"/>
        <v>0</v>
      </c>
      <c r="F210" s="2">
        <f t="shared" ca="1" si="28"/>
        <v>0</v>
      </c>
      <c r="G210" s="2">
        <f t="shared" ca="1" si="36"/>
        <v>20.443664214803277</v>
      </c>
      <c r="H210" s="2">
        <f t="shared" ca="1" si="32"/>
        <v>0</v>
      </c>
      <c r="I210" s="2">
        <f t="shared" ca="1" si="33"/>
        <v>0</v>
      </c>
    </row>
    <row r="211" spans="2:9" x14ac:dyDescent="0.2">
      <c r="B211" s="4">
        <f t="shared" ca="1" si="34"/>
        <v>44248</v>
      </c>
      <c r="C211">
        <f t="shared" si="34"/>
        <v>200</v>
      </c>
      <c r="D211">
        <f t="shared" ca="1" si="31"/>
        <v>1</v>
      </c>
      <c r="E211" s="2">
        <f t="shared" ca="1" si="35"/>
        <v>0</v>
      </c>
      <c r="F211" s="2">
        <f t="shared" ca="1" si="28"/>
        <v>0</v>
      </c>
      <c r="G211" s="2">
        <f t="shared" ca="1" si="36"/>
        <v>20.443664214803277</v>
      </c>
      <c r="H211" s="2">
        <f t="shared" ca="1" si="32"/>
        <v>0</v>
      </c>
      <c r="I211" s="2">
        <f t="shared" ca="1" si="33"/>
        <v>0</v>
      </c>
    </row>
  </sheetData>
  <mergeCells count="2">
    <mergeCell ref="H4:I6"/>
    <mergeCell ref="E7:F8"/>
  </mergeCells>
  <conditionalFormatting sqref="B212:I700">
    <cfRule type="expression" dxfId="17" priority="9">
      <formula>$C212=$C$7</formula>
    </cfRule>
    <cfRule type="expression" dxfId="16" priority="10">
      <formula>$C212&gt;$C$7</formula>
    </cfRule>
  </conditionalFormatting>
  <conditionalFormatting sqref="B11:I211">
    <cfRule type="expression" dxfId="15" priority="3">
      <formula>$C11=$C$7</formula>
    </cfRule>
    <cfRule type="expression" dxfId="14" priority="4">
      <formula>$C11&gt;$C$7</formula>
    </cfRule>
  </conditionalFormatting>
  <conditionalFormatting sqref="E7">
    <cfRule type="cellIs" dxfId="13" priority="1" operator="equal">
      <formula>"No RESET Required"</formula>
    </cfRule>
    <cfRule type="cellIs" dxfId="12" priority="2" operator="equal">
      <formula>"RESET"</formula>
    </cfRule>
  </conditionalFormatting>
  <hyperlinks>
    <hyperlink ref="H4:I6" location="Summary!A1" display="Return to Home" xr:uid="{60512755-24F0-4900-AE58-C74EED03724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127000</xdr:colOff>
                    <xdr:row>6</xdr:row>
                    <xdr:rowOff>38100</xdr:rowOff>
                  </from>
                  <to>
                    <xdr:col>8</xdr:col>
                    <xdr:colOff>1485900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13E7-085E-444D-AD5E-34E5F0A4D4C9}">
  <sheetPr codeName="Sheet19">
    <tabColor rgb="FF00B050"/>
  </sheetPr>
  <dimension ref="B2:I211"/>
  <sheetViews>
    <sheetView zoomScale="85" zoomScaleNormal="85" workbookViewId="0">
      <pane ySplit="10" topLeftCell="A11" activePane="bottomLeft" state="frozen"/>
      <selection activeCell="A11" sqref="A11"/>
      <selection pane="bottomLeft" activeCell="A11" sqref="A11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4.5" bestFit="1" customWidth="1"/>
    <col min="9" max="9" width="25" bestFit="1" customWidth="1"/>
  </cols>
  <sheetData>
    <row r="2" spans="2:9" x14ac:dyDescent="0.2">
      <c r="B2" s="1" t="s">
        <v>0</v>
      </c>
      <c r="C2" s="13">
        <v>1000</v>
      </c>
      <c r="E2" s="1" t="s">
        <v>1</v>
      </c>
      <c r="F2" s="16">
        <f ca="1">TODAY()-1</f>
        <v>44048</v>
      </c>
      <c r="H2" s="1" t="s">
        <v>16</v>
      </c>
      <c r="I2" s="10">
        <f ca="1">COUNTIF($F$12:$F$211,"&gt;0")</f>
        <v>5</v>
      </c>
    </row>
    <row r="3" spans="2:9" ht="16" thickBot="1" x14ac:dyDescent="0.25">
      <c r="B3" s="1" t="s">
        <v>2</v>
      </c>
      <c r="C3" s="14">
        <f ca="1">C7/I2</f>
        <v>30.6</v>
      </c>
      <c r="E3" s="1" t="s">
        <v>3</v>
      </c>
      <c r="F3" s="15">
        <f ca="1">SUM(H11:H211)</f>
        <v>52.617253090624082</v>
      </c>
    </row>
    <row r="4" spans="2:9" x14ac:dyDescent="0.2">
      <c r="B4" s="1" t="s">
        <v>17</v>
      </c>
      <c r="C4" s="11">
        <v>153</v>
      </c>
      <c r="E4" s="1" t="s">
        <v>5</v>
      </c>
      <c r="F4" s="15">
        <f ca="1">SUM(I11:I211)</f>
        <v>440</v>
      </c>
      <c r="H4" s="23" t="s">
        <v>34</v>
      </c>
      <c r="I4" s="24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1472.2193294401213</v>
      </c>
      <c r="H5" s="25"/>
      <c r="I5" s="26"/>
    </row>
    <row r="6" spans="2:9" ht="16" thickBot="1" x14ac:dyDescent="0.25">
      <c r="B6" s="1" t="s">
        <v>8</v>
      </c>
      <c r="C6" s="13">
        <v>20</v>
      </c>
      <c r="H6" s="27"/>
      <c r="I6" s="28"/>
    </row>
    <row r="7" spans="2:9" ht="15" customHeight="1" x14ac:dyDescent="0.2">
      <c r="B7" s="1" t="s">
        <v>9</v>
      </c>
      <c r="C7" s="10">
        <f ca="1">DATE(YEAR($F$2+$C$4),MONTH($F$2+$C$4),DAY($F$2)) - $F$2</f>
        <v>153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294.44386588802428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1000</v>
      </c>
      <c r="H11" s="2">
        <f ca="1">IF(C11&gt;$C$7,0,(G11)*$C$5/365)</f>
        <v>0.52054794520547942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1000.5205479452055</v>
      </c>
      <c r="F12" s="2">
        <f t="shared" ref="F12:F34" ca="1" si="1">IF(C12&gt;$C$7,0,IF(ROUND(E12,0)&gt;0,IF(C12=0,0,IF(DAY($F$2)&lt;&gt;DAY(B12),0,$C$8)),0))</f>
        <v>0</v>
      </c>
      <c r="G12" s="2">
        <f ca="1">IF(C12&gt;$C$7,G11,E12-F12)</f>
        <v>1000.5205479452055</v>
      </c>
      <c r="H12" s="2">
        <f t="shared" ref="H12:H75" ca="1" si="2">IF(C12&gt;$C$7,0,(G12)*$C$5/365)</f>
        <v>0.52081891536873715</v>
      </c>
      <c r="I12" s="2">
        <f t="shared" ref="I12:I75" ca="1" si="3">IF(AND(C12=0,D12=7),$C$6,IF(C12=$C$7,0,IF(C12&lt;$C$7,IF(D12=7,$C$6,0),0)))</f>
        <v>0</v>
      </c>
    </row>
    <row r="13" spans="2:9" x14ac:dyDescent="0.2">
      <c r="B13" s="4">
        <f t="shared" ref="B13:C28" ca="1" si="4">B12+1</f>
        <v>44050</v>
      </c>
      <c r="C13">
        <f t="shared" si="4"/>
        <v>2</v>
      </c>
      <c r="D13">
        <f t="shared" ca="1" si="0"/>
        <v>6</v>
      </c>
      <c r="E13" s="2">
        <f t="shared" ref="E13:E76" ca="1" si="5">IF(C13&gt;$C$7,0,G12+H12+I12)</f>
        <v>1001.0413668605743</v>
      </c>
      <c r="F13" s="2">
        <f t="shared" ca="1" si="1"/>
        <v>0</v>
      </c>
      <c r="G13" s="2">
        <f t="shared" ref="G13:G76" ca="1" si="6">IF(C13&gt;$C$7,G12,E13-F13)</f>
        <v>1001.0413668605743</v>
      </c>
      <c r="H13" s="2">
        <f t="shared" ca="1" si="2"/>
        <v>0.52109002658495651</v>
      </c>
      <c r="I13" s="2">
        <f t="shared" ca="1" si="3"/>
        <v>0</v>
      </c>
    </row>
    <row r="14" spans="2:9" x14ac:dyDescent="0.2">
      <c r="B14" s="4">
        <f t="shared" ca="1" si="4"/>
        <v>44051</v>
      </c>
      <c r="C14">
        <f t="shared" si="4"/>
        <v>3</v>
      </c>
      <c r="D14">
        <f t="shared" ca="1" si="0"/>
        <v>7</v>
      </c>
      <c r="E14" s="2">
        <f t="shared" ca="1" si="5"/>
        <v>1001.5624568871592</v>
      </c>
      <c r="F14" s="2">
        <f t="shared" ca="1" si="1"/>
        <v>0</v>
      </c>
      <c r="G14" s="2">
        <f t="shared" ca="1" si="6"/>
        <v>1001.5624568871592</v>
      </c>
      <c r="H14" s="2">
        <f t="shared" ca="1" si="2"/>
        <v>0.52136127892756234</v>
      </c>
      <c r="I14" s="2">
        <f t="shared" ca="1" si="3"/>
        <v>20</v>
      </c>
    </row>
    <row r="15" spans="2:9" x14ac:dyDescent="0.2">
      <c r="B15" s="4">
        <f t="shared" ca="1" si="4"/>
        <v>44052</v>
      </c>
      <c r="C15">
        <f t="shared" si="4"/>
        <v>4</v>
      </c>
      <c r="D15">
        <f t="shared" ca="1" si="0"/>
        <v>1</v>
      </c>
      <c r="E15" s="2">
        <f t="shared" ca="1" si="5"/>
        <v>1022.0838181660868</v>
      </c>
      <c r="F15" s="2">
        <f t="shared" ca="1" si="1"/>
        <v>0</v>
      </c>
      <c r="G15" s="2">
        <f t="shared" ca="1" si="6"/>
        <v>1022.0838181660868</v>
      </c>
      <c r="H15" s="2">
        <f t="shared" ca="1" si="2"/>
        <v>0.53204363137412736</v>
      </c>
      <c r="I15" s="2">
        <f t="shared" ca="1" si="3"/>
        <v>0</v>
      </c>
    </row>
    <row r="16" spans="2:9" x14ac:dyDescent="0.2">
      <c r="B16" s="4">
        <f t="shared" ca="1" si="4"/>
        <v>44053</v>
      </c>
      <c r="C16">
        <f t="shared" si="4"/>
        <v>5</v>
      </c>
      <c r="D16">
        <f t="shared" ca="1" si="0"/>
        <v>2</v>
      </c>
      <c r="E16" s="2">
        <f t="shared" ca="1" si="5"/>
        <v>1022.6158617974609</v>
      </c>
      <c r="F16" s="2">
        <f t="shared" ca="1" si="1"/>
        <v>0</v>
      </c>
      <c r="G16" s="2">
        <f t="shared" ca="1" si="6"/>
        <v>1022.6158617974609</v>
      </c>
      <c r="H16" s="2">
        <f t="shared" ca="1" si="2"/>
        <v>0.53232058559319884</v>
      </c>
      <c r="I16" s="2">
        <f t="shared" ca="1" si="3"/>
        <v>0</v>
      </c>
    </row>
    <row r="17" spans="2:9" x14ac:dyDescent="0.2">
      <c r="B17" s="4">
        <f t="shared" ca="1" si="4"/>
        <v>44054</v>
      </c>
      <c r="C17">
        <f t="shared" si="4"/>
        <v>6</v>
      </c>
      <c r="D17">
        <f t="shared" ca="1" si="0"/>
        <v>3</v>
      </c>
      <c r="E17" s="2">
        <f t="shared" ca="1" si="5"/>
        <v>1023.1481823830541</v>
      </c>
      <c r="F17" s="2">
        <f t="shared" ca="1" si="1"/>
        <v>0</v>
      </c>
      <c r="G17" s="2">
        <f t="shared" ca="1" si="6"/>
        <v>1023.1481823830541</v>
      </c>
      <c r="H17" s="2">
        <f t="shared" ca="1" si="2"/>
        <v>0.53259768398021989</v>
      </c>
      <c r="I17" s="2">
        <f t="shared" ca="1" si="3"/>
        <v>0</v>
      </c>
    </row>
    <row r="18" spans="2:9" x14ac:dyDescent="0.2">
      <c r="B18" s="4">
        <f t="shared" ca="1" si="4"/>
        <v>44055</v>
      </c>
      <c r="C18">
        <f t="shared" si="4"/>
        <v>7</v>
      </c>
      <c r="D18">
        <f t="shared" ca="1" si="0"/>
        <v>4</v>
      </c>
      <c r="E18" s="2">
        <f t="shared" ca="1" si="5"/>
        <v>1023.6807800670343</v>
      </c>
      <c r="F18" s="2">
        <f t="shared" ca="1" si="1"/>
        <v>0</v>
      </c>
      <c r="G18" s="2">
        <f t="shared" ca="1" si="6"/>
        <v>1023.6807800670343</v>
      </c>
      <c r="H18" s="2">
        <f t="shared" ca="1" si="2"/>
        <v>0.53287492661023705</v>
      </c>
      <c r="I18" s="2">
        <f t="shared" ca="1" si="3"/>
        <v>0</v>
      </c>
    </row>
    <row r="19" spans="2:9" x14ac:dyDescent="0.2">
      <c r="B19" s="4">
        <f t="shared" ca="1" si="4"/>
        <v>44056</v>
      </c>
      <c r="C19">
        <f t="shared" si="4"/>
        <v>8</v>
      </c>
      <c r="D19">
        <f t="shared" ca="1" si="0"/>
        <v>5</v>
      </c>
      <c r="E19" s="2">
        <f t="shared" ca="1" si="5"/>
        <v>1024.2136549936445</v>
      </c>
      <c r="F19" s="2">
        <f t="shared" ca="1" si="1"/>
        <v>0</v>
      </c>
      <c r="G19" s="2">
        <f t="shared" ca="1" si="6"/>
        <v>1024.2136549936445</v>
      </c>
      <c r="H19" s="2">
        <f t="shared" ca="1" si="2"/>
        <v>0.53315231355833548</v>
      </c>
      <c r="I19" s="2">
        <f t="shared" ca="1" si="3"/>
        <v>0</v>
      </c>
    </row>
    <row r="20" spans="2:9" x14ac:dyDescent="0.2">
      <c r="B20" s="4">
        <f t="shared" ca="1" si="4"/>
        <v>44057</v>
      </c>
      <c r="C20">
        <f t="shared" si="4"/>
        <v>9</v>
      </c>
      <c r="D20">
        <f t="shared" ca="1" si="0"/>
        <v>6</v>
      </c>
      <c r="E20" s="2">
        <f t="shared" ca="1" si="5"/>
        <v>1024.7468073072027</v>
      </c>
      <c r="F20" s="2">
        <f t="shared" ca="1" si="1"/>
        <v>0</v>
      </c>
      <c r="G20" s="2">
        <f t="shared" ca="1" si="6"/>
        <v>1024.7468073072027</v>
      </c>
      <c r="H20" s="2">
        <f t="shared" ca="1" si="2"/>
        <v>0.53342984489963974</v>
      </c>
      <c r="I20" s="2">
        <f t="shared" ca="1" si="3"/>
        <v>0</v>
      </c>
    </row>
    <row r="21" spans="2:9" x14ac:dyDescent="0.2">
      <c r="B21" s="4">
        <f t="shared" ca="1" si="4"/>
        <v>44058</v>
      </c>
      <c r="C21">
        <f t="shared" si="4"/>
        <v>10</v>
      </c>
      <c r="D21">
        <f t="shared" ca="1" si="0"/>
        <v>7</v>
      </c>
      <c r="E21" s="2">
        <f t="shared" ca="1" si="5"/>
        <v>1025.2802371521025</v>
      </c>
      <c r="F21" s="2">
        <f t="shared" ca="1" si="1"/>
        <v>0</v>
      </c>
      <c r="G21" s="2">
        <f t="shared" ca="1" si="6"/>
        <v>1025.2802371521025</v>
      </c>
      <c r="H21" s="2">
        <f t="shared" ca="1" si="2"/>
        <v>0.5337075207093136</v>
      </c>
      <c r="I21" s="2">
        <f t="shared" ca="1" si="3"/>
        <v>20</v>
      </c>
    </row>
    <row r="22" spans="2:9" x14ac:dyDescent="0.2">
      <c r="B22" s="4">
        <f t="shared" ca="1" si="4"/>
        <v>44059</v>
      </c>
      <c r="C22">
        <f t="shared" si="4"/>
        <v>11</v>
      </c>
      <c r="D22">
        <f t="shared" ca="1" si="0"/>
        <v>1</v>
      </c>
      <c r="E22" s="2">
        <f t="shared" ca="1" si="5"/>
        <v>1045.8139446728119</v>
      </c>
      <c r="F22" s="2">
        <f t="shared" ca="1" si="1"/>
        <v>0</v>
      </c>
      <c r="G22" s="2">
        <f t="shared" ca="1" si="6"/>
        <v>1045.8139446728119</v>
      </c>
      <c r="H22" s="2">
        <f t="shared" ca="1" si="2"/>
        <v>0.54439629996666927</v>
      </c>
      <c r="I22" s="2">
        <f t="shared" ca="1" si="3"/>
        <v>0</v>
      </c>
    </row>
    <row r="23" spans="2:9" x14ac:dyDescent="0.2">
      <c r="B23" s="4">
        <f t="shared" ca="1" si="4"/>
        <v>44060</v>
      </c>
      <c r="C23">
        <f t="shared" si="4"/>
        <v>12</v>
      </c>
      <c r="D23">
        <f t="shared" ca="1" si="0"/>
        <v>2</v>
      </c>
      <c r="E23" s="2">
        <f t="shared" ca="1" si="5"/>
        <v>1046.3583409727785</v>
      </c>
      <c r="F23" s="2">
        <f t="shared" ca="1" si="1"/>
        <v>0</v>
      </c>
      <c r="G23" s="2">
        <f t="shared" ca="1" si="6"/>
        <v>1046.3583409727785</v>
      </c>
      <c r="H23" s="2">
        <f t="shared" ca="1" si="2"/>
        <v>0.54467968434199432</v>
      </c>
      <c r="I23" s="2">
        <f t="shared" ca="1" si="3"/>
        <v>0</v>
      </c>
    </row>
    <row r="24" spans="2:9" x14ac:dyDescent="0.2">
      <c r="B24" s="4">
        <f t="shared" ca="1" si="4"/>
        <v>44061</v>
      </c>
      <c r="C24">
        <f t="shared" si="4"/>
        <v>13</v>
      </c>
      <c r="D24">
        <f t="shared" ca="1" si="0"/>
        <v>3</v>
      </c>
      <c r="E24" s="2">
        <f t="shared" ca="1" si="5"/>
        <v>1046.9030206571206</v>
      </c>
      <c r="F24" s="2">
        <f t="shared" ca="1" si="1"/>
        <v>0</v>
      </c>
      <c r="G24" s="2">
        <f t="shared" ca="1" si="6"/>
        <v>1046.9030206571206</v>
      </c>
      <c r="H24" s="2">
        <f t="shared" ca="1" si="2"/>
        <v>0.54496321623247379</v>
      </c>
      <c r="I24" s="2">
        <f t="shared" ca="1" si="3"/>
        <v>0</v>
      </c>
    </row>
    <row r="25" spans="2:9" x14ac:dyDescent="0.2">
      <c r="B25" s="4">
        <f t="shared" ca="1" si="4"/>
        <v>44062</v>
      </c>
      <c r="C25">
        <f t="shared" si="4"/>
        <v>14</v>
      </c>
      <c r="D25">
        <f t="shared" ca="1" si="0"/>
        <v>4</v>
      </c>
      <c r="E25" s="2">
        <f t="shared" ca="1" si="5"/>
        <v>1047.447983873353</v>
      </c>
      <c r="F25" s="2">
        <f t="shared" ca="1" si="1"/>
        <v>0</v>
      </c>
      <c r="G25" s="2">
        <f t="shared" ca="1" si="6"/>
        <v>1047.447983873353</v>
      </c>
      <c r="H25" s="2">
        <f t="shared" ca="1" si="2"/>
        <v>0.54524689571489604</v>
      </c>
      <c r="I25" s="2">
        <f t="shared" ca="1" si="3"/>
        <v>0</v>
      </c>
    </row>
    <row r="26" spans="2:9" x14ac:dyDescent="0.2">
      <c r="B26" s="4">
        <f t="shared" ca="1" si="4"/>
        <v>44063</v>
      </c>
      <c r="C26">
        <f t="shared" si="4"/>
        <v>15</v>
      </c>
      <c r="D26">
        <f t="shared" ca="1" si="0"/>
        <v>5</v>
      </c>
      <c r="E26" s="2">
        <f t="shared" ca="1" si="5"/>
        <v>1047.9932307690678</v>
      </c>
      <c r="F26" s="2">
        <f t="shared" ca="1" si="1"/>
        <v>0</v>
      </c>
      <c r="G26" s="2">
        <f t="shared" ca="1" si="6"/>
        <v>1047.9932307690678</v>
      </c>
      <c r="H26" s="2">
        <f t="shared" ca="1" si="2"/>
        <v>0.54553072286609006</v>
      </c>
      <c r="I26" s="2">
        <f t="shared" ca="1" si="3"/>
        <v>0</v>
      </c>
    </row>
    <row r="27" spans="2:9" x14ac:dyDescent="0.2">
      <c r="B27" s="4">
        <f t="shared" ca="1" si="4"/>
        <v>44064</v>
      </c>
      <c r="C27">
        <f t="shared" si="4"/>
        <v>16</v>
      </c>
      <c r="D27">
        <f t="shared" ca="1" si="0"/>
        <v>6</v>
      </c>
      <c r="E27" s="2">
        <f t="shared" ca="1" si="5"/>
        <v>1048.5387614919339</v>
      </c>
      <c r="F27" s="2">
        <f t="shared" ca="1" si="1"/>
        <v>0</v>
      </c>
      <c r="G27" s="2">
        <f t="shared" ca="1" si="6"/>
        <v>1048.5387614919339</v>
      </c>
      <c r="H27" s="2">
        <f t="shared" ca="1" si="2"/>
        <v>0.54581469776292446</v>
      </c>
      <c r="I27" s="2">
        <f t="shared" ca="1" si="3"/>
        <v>0</v>
      </c>
    </row>
    <row r="28" spans="2:9" x14ac:dyDescent="0.2">
      <c r="B28" s="4">
        <f t="shared" ca="1" si="4"/>
        <v>44065</v>
      </c>
      <c r="C28">
        <f t="shared" si="4"/>
        <v>17</v>
      </c>
      <c r="D28">
        <f t="shared" ca="1" si="0"/>
        <v>7</v>
      </c>
      <c r="E28" s="2">
        <f t="shared" ca="1" si="5"/>
        <v>1049.0845761896969</v>
      </c>
      <c r="F28" s="2">
        <f t="shared" ca="1" si="1"/>
        <v>0</v>
      </c>
      <c r="G28" s="2">
        <f t="shared" ca="1" si="6"/>
        <v>1049.0845761896969</v>
      </c>
      <c r="H28" s="2">
        <f t="shared" ca="1" si="2"/>
        <v>0.54609882048230796</v>
      </c>
      <c r="I28" s="2">
        <f t="shared" ca="1" si="3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5"/>
        <v>1069.6306750101792</v>
      </c>
      <c r="F29" s="2">
        <f t="shared" ca="1" si="1"/>
        <v>0</v>
      </c>
      <c r="G29" s="2">
        <f t="shared" ca="1" si="6"/>
        <v>1069.6306750101792</v>
      </c>
      <c r="H29" s="2">
        <f t="shared" ca="1" si="2"/>
        <v>0.55679405000529869</v>
      </c>
      <c r="I29" s="2">
        <f t="shared" ca="1" si="3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5"/>
        <v>1070.1874690601844</v>
      </c>
      <c r="F30" s="2">
        <f t="shared" ca="1" si="1"/>
        <v>0</v>
      </c>
      <c r="G30" s="2">
        <f t="shared" ca="1" si="6"/>
        <v>1070.1874690601844</v>
      </c>
      <c r="H30" s="2">
        <f t="shared" ca="1" si="2"/>
        <v>0.5570838880039316</v>
      </c>
      <c r="I30" s="2">
        <f t="shared" ca="1" si="3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5"/>
        <v>1070.7445529481884</v>
      </c>
      <c r="F31" s="2">
        <f t="shared" ca="1" si="1"/>
        <v>0</v>
      </c>
      <c r="G31" s="2">
        <f t="shared" ca="1" si="6"/>
        <v>1070.7445529481884</v>
      </c>
      <c r="H31" s="2">
        <f t="shared" ca="1" si="2"/>
        <v>0.55737387687713913</v>
      </c>
      <c r="I31" s="2">
        <f t="shared" ca="1" si="3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5"/>
        <v>1071.3019268250655</v>
      </c>
      <c r="F32" s="2">
        <f t="shared" ca="1" si="1"/>
        <v>0</v>
      </c>
      <c r="G32" s="2">
        <f t="shared" ca="1" si="6"/>
        <v>1071.3019268250655</v>
      </c>
      <c r="H32" s="2">
        <f t="shared" ca="1" si="2"/>
        <v>0.55766401670345878</v>
      </c>
      <c r="I32" s="2">
        <f t="shared" ca="1" si="3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5"/>
        <v>1071.859590841769</v>
      </c>
      <c r="F33" s="2">
        <f t="shared" ca="1" si="1"/>
        <v>0</v>
      </c>
      <c r="G33" s="2">
        <f t="shared" ca="1" si="6"/>
        <v>1071.859590841769</v>
      </c>
      <c r="H33" s="2">
        <f t="shared" ca="1" si="2"/>
        <v>0.5579543075614688</v>
      </c>
      <c r="I33" s="2">
        <f t="shared" ca="1" si="3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5"/>
        <v>1072.4175451493304</v>
      </c>
      <c r="F34" s="2">
        <f t="shared" ca="1" si="1"/>
        <v>0</v>
      </c>
      <c r="G34" s="2">
        <f t="shared" ca="1" si="6"/>
        <v>1072.4175451493304</v>
      </c>
      <c r="H34" s="2">
        <f t="shared" ca="1" si="2"/>
        <v>0.55824474952978842</v>
      </c>
      <c r="I34" s="2">
        <f t="shared" ca="1" si="3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5"/>
        <v>1072.9757898988603</v>
      </c>
      <c r="F35" s="2">
        <f ca="1">IF(C35&gt;$C$7,0,IF(ROUND(E35,0)&gt;0,IF(C35=0,0,IF(DAY($F$2)&lt;&gt;DAY(B35),0,$C$8)),0))</f>
        <v>0</v>
      </c>
      <c r="G35" s="2">
        <f t="shared" ca="1" si="6"/>
        <v>1072.9757898988603</v>
      </c>
      <c r="H35" s="2">
        <f t="shared" ca="1" si="2"/>
        <v>0.55853534268707794</v>
      </c>
      <c r="I35" s="2">
        <f t="shared" ca="1" si="3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5"/>
        <v>1093.5343252415473</v>
      </c>
      <c r="F36" s="2">
        <f t="shared" ref="F36:F99" ca="1" si="8">IF(C36&gt;$C$7,0,IF(ROUND(E36,0)&gt;0,IF(C36=0,0,IF(DAY($F$2)&lt;&gt;DAY(B36),0,$C$8)),0))</f>
        <v>0</v>
      </c>
      <c r="G36" s="2">
        <f t="shared" ca="1" si="6"/>
        <v>1093.5343252415473</v>
      </c>
      <c r="H36" s="2">
        <f t="shared" ca="1" si="2"/>
        <v>0.56923704601614789</v>
      </c>
      <c r="I36" s="2">
        <f t="shared" ca="1" si="3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5"/>
        <v>1094.1035622875634</v>
      </c>
      <c r="F37" s="2">
        <f t="shared" ca="1" si="8"/>
        <v>0</v>
      </c>
      <c r="G37" s="2">
        <f t="shared" ca="1" si="6"/>
        <v>1094.1035622875634</v>
      </c>
      <c r="H37" s="2">
        <f t="shared" ca="1" si="2"/>
        <v>0.56953336119078646</v>
      </c>
      <c r="I37" s="2">
        <f t="shared" ca="1" si="3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5"/>
        <v>1094.673095648754</v>
      </c>
      <c r="F38" s="2">
        <f t="shared" ca="1" si="8"/>
        <v>0</v>
      </c>
      <c r="G38" s="2">
        <f t="shared" ca="1" si="6"/>
        <v>1094.673095648754</v>
      </c>
      <c r="H38" s="2">
        <f t="shared" ca="1" si="2"/>
        <v>0.56982983061168013</v>
      </c>
      <c r="I38" s="2">
        <f t="shared" ca="1" si="3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5"/>
        <v>1095.2429254793658</v>
      </c>
      <c r="F39" s="2">
        <f t="shared" ca="1" si="8"/>
        <v>0</v>
      </c>
      <c r="G39" s="2">
        <f t="shared" ca="1" si="6"/>
        <v>1095.2429254793658</v>
      </c>
      <c r="H39" s="2">
        <f t="shared" ca="1" si="2"/>
        <v>0.5701264543591219</v>
      </c>
      <c r="I39" s="2">
        <f t="shared" ca="1" si="3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5"/>
        <v>1095.8130519337249</v>
      </c>
      <c r="F40" s="2">
        <f t="shared" ca="1" si="8"/>
        <v>0</v>
      </c>
      <c r="G40" s="2">
        <f t="shared" ca="1" si="6"/>
        <v>1095.8130519337249</v>
      </c>
      <c r="H40" s="2">
        <f t="shared" ca="1" si="2"/>
        <v>0.57042323251344584</v>
      </c>
      <c r="I40" s="2">
        <f t="shared" ca="1" si="3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5"/>
        <v>1096.3834751662382</v>
      </c>
      <c r="F41" s="2">
        <f t="shared" ca="1" si="8"/>
        <v>0</v>
      </c>
      <c r="G41" s="2">
        <f t="shared" ca="1" si="6"/>
        <v>1096.3834751662382</v>
      </c>
      <c r="H41" s="2">
        <f t="shared" ca="1" si="2"/>
        <v>0.5707201651550281</v>
      </c>
      <c r="I41" s="2">
        <f t="shared" ca="1" si="3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5"/>
        <v>1096.9541953313933</v>
      </c>
      <c r="F42" s="2">
        <f t="shared" ca="1" si="8"/>
        <v>294.44386588802428</v>
      </c>
      <c r="G42" s="2">
        <f t="shared" ca="1" si="6"/>
        <v>802.51032944336907</v>
      </c>
      <c r="H42" s="2">
        <f t="shared" ca="1" si="2"/>
        <v>0.41774510299791812</v>
      </c>
      <c r="I42" s="2">
        <f t="shared" ca="1" si="3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5"/>
        <v>822.92807454636704</v>
      </c>
      <c r="F43" s="2">
        <f t="shared" ca="1" si="8"/>
        <v>0</v>
      </c>
      <c r="G43" s="2">
        <f t="shared" ca="1" si="6"/>
        <v>822.92807454636704</v>
      </c>
      <c r="H43" s="2">
        <f t="shared" ca="1" si="2"/>
        <v>0.42837351825701303</v>
      </c>
      <c r="I43" s="2">
        <f t="shared" ca="1" si="3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5"/>
        <v>823.35644806462403</v>
      </c>
      <c r="F44" s="2">
        <f t="shared" ca="1" si="8"/>
        <v>0</v>
      </c>
      <c r="G44" s="2">
        <f t="shared" ca="1" si="6"/>
        <v>823.35644806462403</v>
      </c>
      <c r="H44" s="2">
        <f t="shared" ca="1" si="2"/>
        <v>0.4285965072117221</v>
      </c>
      <c r="I44" s="2">
        <f t="shared" ca="1" si="3"/>
        <v>0</v>
      </c>
    </row>
    <row r="45" spans="2:9" x14ac:dyDescent="0.2">
      <c r="B45" s="4">
        <f t="shared" ref="B45:C60" ca="1" si="9">B44+1</f>
        <v>44082</v>
      </c>
      <c r="C45">
        <f t="shared" si="9"/>
        <v>34</v>
      </c>
      <c r="D45">
        <f t="shared" ca="1" si="0"/>
        <v>3</v>
      </c>
      <c r="E45" s="2">
        <f t="shared" ca="1" si="5"/>
        <v>823.78504457183578</v>
      </c>
      <c r="F45" s="2">
        <f t="shared" ca="1" si="8"/>
        <v>0</v>
      </c>
      <c r="G45" s="2">
        <f t="shared" ca="1" si="6"/>
        <v>823.78504457183578</v>
      </c>
      <c r="H45" s="2">
        <f t="shared" ca="1" si="2"/>
        <v>0.42881961224287346</v>
      </c>
      <c r="I45" s="2">
        <f t="shared" ca="1" si="3"/>
        <v>0</v>
      </c>
    </row>
    <row r="46" spans="2:9" x14ac:dyDescent="0.2">
      <c r="B46" s="4">
        <f t="shared" ca="1" si="9"/>
        <v>44083</v>
      </c>
      <c r="C46">
        <f t="shared" si="9"/>
        <v>35</v>
      </c>
      <c r="D46">
        <f t="shared" ca="1" si="0"/>
        <v>4</v>
      </c>
      <c r="E46" s="2">
        <f t="shared" ca="1" si="5"/>
        <v>824.2138641840786</v>
      </c>
      <c r="F46" s="2">
        <f t="shared" ca="1" si="8"/>
        <v>0</v>
      </c>
      <c r="G46" s="2">
        <f t="shared" ca="1" si="6"/>
        <v>824.2138641840786</v>
      </c>
      <c r="H46" s="2">
        <f t="shared" ca="1" si="2"/>
        <v>0.42904283341089022</v>
      </c>
      <c r="I46" s="2">
        <f t="shared" ca="1" si="3"/>
        <v>0</v>
      </c>
    </row>
    <row r="47" spans="2:9" x14ac:dyDescent="0.2">
      <c r="B47" s="4">
        <f t="shared" ca="1" si="9"/>
        <v>44084</v>
      </c>
      <c r="C47">
        <f t="shared" si="9"/>
        <v>36</v>
      </c>
      <c r="D47">
        <f t="shared" ca="1" si="0"/>
        <v>5</v>
      </c>
      <c r="E47" s="2">
        <f t="shared" ca="1" si="5"/>
        <v>824.64290701748951</v>
      </c>
      <c r="F47" s="2">
        <f t="shared" ca="1" si="8"/>
        <v>0</v>
      </c>
      <c r="G47" s="2">
        <f t="shared" ca="1" si="6"/>
        <v>824.64290701748951</v>
      </c>
      <c r="H47" s="2">
        <f t="shared" ca="1" si="2"/>
        <v>0.42926617077622742</v>
      </c>
      <c r="I47" s="2">
        <f t="shared" ca="1" si="3"/>
        <v>0</v>
      </c>
    </row>
    <row r="48" spans="2:9" x14ac:dyDescent="0.2">
      <c r="B48" s="4">
        <f t="shared" ca="1" si="9"/>
        <v>44085</v>
      </c>
      <c r="C48">
        <f t="shared" si="9"/>
        <v>37</v>
      </c>
      <c r="D48">
        <f t="shared" ca="1" si="0"/>
        <v>6</v>
      </c>
      <c r="E48" s="2">
        <f t="shared" ca="1" si="5"/>
        <v>825.07217318826577</v>
      </c>
      <c r="F48" s="2">
        <f t="shared" ca="1" si="8"/>
        <v>0</v>
      </c>
      <c r="G48" s="2">
        <f t="shared" ca="1" si="6"/>
        <v>825.07217318826577</v>
      </c>
      <c r="H48" s="2">
        <f t="shared" ca="1" si="2"/>
        <v>0.42948962439937122</v>
      </c>
      <c r="I48" s="2">
        <f t="shared" ca="1" si="3"/>
        <v>0</v>
      </c>
    </row>
    <row r="49" spans="2:9" x14ac:dyDescent="0.2">
      <c r="B49" s="4">
        <f t="shared" ca="1" si="9"/>
        <v>44086</v>
      </c>
      <c r="C49">
        <f t="shared" si="9"/>
        <v>38</v>
      </c>
      <c r="D49">
        <f t="shared" ca="1" si="0"/>
        <v>7</v>
      </c>
      <c r="E49" s="2">
        <f t="shared" ca="1" si="5"/>
        <v>825.50166281266513</v>
      </c>
      <c r="F49" s="2">
        <f t="shared" ca="1" si="8"/>
        <v>0</v>
      </c>
      <c r="G49" s="2">
        <f t="shared" ca="1" si="6"/>
        <v>825.50166281266513</v>
      </c>
      <c r="H49" s="2">
        <f t="shared" ca="1" si="2"/>
        <v>0.42971319434083943</v>
      </c>
      <c r="I49" s="2">
        <f t="shared" ca="1" si="3"/>
        <v>20</v>
      </c>
    </row>
    <row r="50" spans="2:9" x14ac:dyDescent="0.2">
      <c r="B50" s="4">
        <f t="shared" ca="1" si="9"/>
        <v>44087</v>
      </c>
      <c r="C50">
        <f t="shared" si="9"/>
        <v>39</v>
      </c>
      <c r="D50">
        <f t="shared" ca="1" si="0"/>
        <v>1</v>
      </c>
      <c r="E50" s="2">
        <f t="shared" ca="1" si="5"/>
        <v>845.93137600700595</v>
      </c>
      <c r="F50" s="2">
        <f t="shared" ca="1" si="8"/>
        <v>0</v>
      </c>
      <c r="G50" s="2">
        <f t="shared" ca="1" si="6"/>
        <v>845.93137600700595</v>
      </c>
      <c r="H50" s="2">
        <f t="shared" ca="1" si="2"/>
        <v>0.44034783956529078</v>
      </c>
      <c r="I50" s="2">
        <f t="shared" ca="1" si="3"/>
        <v>0</v>
      </c>
    </row>
    <row r="51" spans="2:9" x14ac:dyDescent="0.2">
      <c r="B51" s="4">
        <f t="shared" ca="1" si="9"/>
        <v>44088</v>
      </c>
      <c r="C51">
        <f t="shared" si="9"/>
        <v>40</v>
      </c>
      <c r="D51">
        <f t="shared" ca="1" si="0"/>
        <v>2</v>
      </c>
      <c r="E51" s="2">
        <f t="shared" ca="1" si="5"/>
        <v>846.37172384657129</v>
      </c>
      <c r="F51" s="2">
        <f t="shared" ca="1" si="8"/>
        <v>0</v>
      </c>
      <c r="G51" s="2">
        <f t="shared" ca="1" si="6"/>
        <v>846.37172384657129</v>
      </c>
      <c r="H51" s="2">
        <f t="shared" ca="1" si="2"/>
        <v>0.44057706172835215</v>
      </c>
      <c r="I51" s="2">
        <f t="shared" ca="1" si="3"/>
        <v>0</v>
      </c>
    </row>
    <row r="52" spans="2:9" x14ac:dyDescent="0.2">
      <c r="B52" s="4">
        <f t="shared" ca="1" si="9"/>
        <v>44089</v>
      </c>
      <c r="C52">
        <f t="shared" si="9"/>
        <v>41</v>
      </c>
      <c r="D52">
        <f t="shared" ca="1" si="0"/>
        <v>3</v>
      </c>
      <c r="E52" s="2">
        <f t="shared" ca="1" si="5"/>
        <v>846.81230090829968</v>
      </c>
      <c r="F52" s="2">
        <f t="shared" ca="1" si="8"/>
        <v>0</v>
      </c>
      <c r="G52" s="2">
        <f t="shared" ca="1" si="6"/>
        <v>846.81230090829968</v>
      </c>
      <c r="H52" s="2">
        <f t="shared" ca="1" si="2"/>
        <v>0.44080640321253955</v>
      </c>
      <c r="I52" s="2">
        <f t="shared" ca="1" si="3"/>
        <v>0</v>
      </c>
    </row>
    <row r="53" spans="2:9" x14ac:dyDescent="0.2">
      <c r="B53" s="4">
        <f t="shared" ca="1" si="9"/>
        <v>44090</v>
      </c>
      <c r="C53">
        <f t="shared" si="9"/>
        <v>42</v>
      </c>
      <c r="D53">
        <f t="shared" ca="1" si="0"/>
        <v>4</v>
      </c>
      <c r="E53" s="2">
        <f t="shared" ca="1" si="5"/>
        <v>847.25310731151217</v>
      </c>
      <c r="F53" s="2">
        <f t="shared" ca="1" si="8"/>
        <v>0</v>
      </c>
      <c r="G53" s="2">
        <f t="shared" ca="1" si="6"/>
        <v>847.25310731151217</v>
      </c>
      <c r="H53" s="2">
        <f t="shared" ca="1" si="2"/>
        <v>0.44103586407996526</v>
      </c>
      <c r="I53" s="2">
        <f t="shared" ca="1" si="3"/>
        <v>0</v>
      </c>
    </row>
    <row r="54" spans="2:9" x14ac:dyDescent="0.2">
      <c r="B54" s="4">
        <f t="shared" ca="1" si="9"/>
        <v>44091</v>
      </c>
      <c r="C54">
        <f t="shared" si="9"/>
        <v>43</v>
      </c>
      <c r="D54">
        <f t="shared" ca="1" si="0"/>
        <v>5</v>
      </c>
      <c r="E54" s="2">
        <f t="shared" ca="1" si="5"/>
        <v>847.6941431755921</v>
      </c>
      <c r="F54" s="2">
        <f t="shared" ca="1" si="8"/>
        <v>0</v>
      </c>
      <c r="G54" s="2">
        <f t="shared" ca="1" si="6"/>
        <v>847.6941431755921</v>
      </c>
      <c r="H54" s="2">
        <f t="shared" ca="1" si="2"/>
        <v>0.44126544439277393</v>
      </c>
      <c r="I54" s="2">
        <f t="shared" ca="1" si="3"/>
        <v>0</v>
      </c>
    </row>
    <row r="55" spans="2:9" x14ac:dyDescent="0.2">
      <c r="B55" s="4">
        <f t="shared" ca="1" si="9"/>
        <v>44092</v>
      </c>
      <c r="C55">
        <f t="shared" si="9"/>
        <v>44</v>
      </c>
      <c r="D55">
        <f t="shared" ca="1" si="0"/>
        <v>6</v>
      </c>
      <c r="E55" s="2">
        <f t="shared" ca="1" si="5"/>
        <v>848.1354086199849</v>
      </c>
      <c r="F55" s="2">
        <f t="shared" ca="1" si="8"/>
        <v>0</v>
      </c>
      <c r="G55" s="2">
        <f t="shared" ca="1" si="6"/>
        <v>848.1354086199849</v>
      </c>
      <c r="H55" s="2">
        <f t="shared" ca="1" si="2"/>
        <v>0.44149514421314284</v>
      </c>
      <c r="I55" s="2">
        <f t="shared" ca="1" si="3"/>
        <v>0</v>
      </c>
    </row>
    <row r="56" spans="2:9" x14ac:dyDescent="0.2">
      <c r="B56" s="4">
        <f t="shared" ca="1" si="9"/>
        <v>44093</v>
      </c>
      <c r="C56">
        <f t="shared" si="9"/>
        <v>45</v>
      </c>
      <c r="D56">
        <f t="shared" ca="1" si="0"/>
        <v>7</v>
      </c>
      <c r="E56" s="2">
        <f t="shared" ca="1" si="5"/>
        <v>848.57690376419805</v>
      </c>
      <c r="F56" s="2">
        <f t="shared" ca="1" si="8"/>
        <v>0</v>
      </c>
      <c r="G56" s="2">
        <f t="shared" ca="1" si="6"/>
        <v>848.57690376419805</v>
      </c>
      <c r="H56" s="2">
        <f t="shared" ca="1" si="2"/>
        <v>0.44172496360328117</v>
      </c>
      <c r="I56" s="2">
        <f t="shared" ca="1" si="3"/>
        <v>20</v>
      </c>
    </row>
    <row r="57" spans="2:9" x14ac:dyDescent="0.2">
      <c r="B57" s="4">
        <f t="shared" ca="1" si="9"/>
        <v>44094</v>
      </c>
      <c r="C57">
        <f t="shared" si="9"/>
        <v>46</v>
      </c>
      <c r="D57">
        <f t="shared" ca="1" si="0"/>
        <v>1</v>
      </c>
      <c r="E57" s="2">
        <f t="shared" ca="1" si="5"/>
        <v>869.01862872780134</v>
      </c>
      <c r="F57" s="2">
        <f t="shared" ca="1" si="8"/>
        <v>0</v>
      </c>
      <c r="G57" s="2">
        <f t="shared" ca="1" si="6"/>
        <v>869.01862872780134</v>
      </c>
      <c r="H57" s="2">
        <f t="shared" ca="1" si="2"/>
        <v>0.45236586152954039</v>
      </c>
      <c r="I57" s="2">
        <f t="shared" ca="1" si="3"/>
        <v>0</v>
      </c>
    </row>
    <row r="58" spans="2:9" x14ac:dyDescent="0.2">
      <c r="B58" s="4">
        <f t="shared" ca="1" si="9"/>
        <v>44095</v>
      </c>
      <c r="C58">
        <f t="shared" si="9"/>
        <v>47</v>
      </c>
      <c r="D58">
        <f t="shared" ca="1" si="0"/>
        <v>2</v>
      </c>
      <c r="E58" s="2">
        <f t="shared" ca="1" si="5"/>
        <v>869.47099458933087</v>
      </c>
      <c r="F58" s="2">
        <f t="shared" ca="1" si="8"/>
        <v>0</v>
      </c>
      <c r="G58" s="2">
        <f t="shared" ca="1" si="6"/>
        <v>869.47099458933087</v>
      </c>
      <c r="H58" s="2">
        <f t="shared" ca="1" si="2"/>
        <v>0.45260133964924076</v>
      </c>
      <c r="I58" s="2">
        <f t="shared" ca="1" si="3"/>
        <v>0</v>
      </c>
    </row>
    <row r="59" spans="2:9" x14ac:dyDescent="0.2">
      <c r="B59" s="4">
        <f t="shared" ca="1" si="9"/>
        <v>44096</v>
      </c>
      <c r="C59">
        <f t="shared" si="9"/>
        <v>48</v>
      </c>
      <c r="D59">
        <f t="shared" ca="1" si="0"/>
        <v>3</v>
      </c>
      <c r="E59" s="2">
        <f t="shared" ca="1" si="5"/>
        <v>869.92359592898015</v>
      </c>
      <c r="F59" s="2">
        <f t="shared" ca="1" si="8"/>
        <v>0</v>
      </c>
      <c r="G59" s="2">
        <f t="shared" ca="1" si="6"/>
        <v>869.92359592898015</v>
      </c>
      <c r="H59" s="2">
        <f t="shared" ca="1" si="2"/>
        <v>0.45283694034659244</v>
      </c>
      <c r="I59" s="2">
        <f t="shared" ca="1" si="3"/>
        <v>0</v>
      </c>
    </row>
    <row r="60" spans="2:9" x14ac:dyDescent="0.2">
      <c r="B60" s="4">
        <f t="shared" ca="1" si="9"/>
        <v>44097</v>
      </c>
      <c r="C60">
        <f t="shared" si="9"/>
        <v>49</v>
      </c>
      <c r="D60">
        <f t="shared" ca="1" si="0"/>
        <v>4</v>
      </c>
      <c r="E60" s="2">
        <f t="shared" ca="1" si="5"/>
        <v>870.37643286932678</v>
      </c>
      <c r="F60" s="2">
        <f t="shared" ca="1" si="8"/>
        <v>0</v>
      </c>
      <c r="G60" s="2">
        <f t="shared" ca="1" si="6"/>
        <v>870.37643286932678</v>
      </c>
      <c r="H60" s="2">
        <f t="shared" ca="1" si="2"/>
        <v>0.453072663685403</v>
      </c>
      <c r="I60" s="2">
        <f t="shared" ca="1" si="3"/>
        <v>0</v>
      </c>
    </row>
    <row r="61" spans="2:9" x14ac:dyDescent="0.2">
      <c r="B61" s="4">
        <f t="shared" ref="B61:C76" ca="1" si="10">B60+1</f>
        <v>44098</v>
      </c>
      <c r="C61">
        <f t="shared" si="10"/>
        <v>50</v>
      </c>
      <c r="D61">
        <f t="shared" ca="1" si="0"/>
        <v>5</v>
      </c>
      <c r="E61" s="2">
        <f t="shared" ca="1" si="5"/>
        <v>870.82950553301214</v>
      </c>
      <c r="F61" s="2">
        <f t="shared" ca="1" si="8"/>
        <v>0</v>
      </c>
      <c r="G61" s="2">
        <f t="shared" ca="1" si="6"/>
        <v>870.82950553301214</v>
      </c>
      <c r="H61" s="2">
        <f t="shared" ca="1" si="2"/>
        <v>0.4533085097295132</v>
      </c>
      <c r="I61" s="2">
        <f t="shared" ca="1" si="3"/>
        <v>0</v>
      </c>
    </row>
    <row r="62" spans="2:9" x14ac:dyDescent="0.2">
      <c r="B62" s="4">
        <f t="shared" ca="1" si="10"/>
        <v>44099</v>
      </c>
      <c r="C62">
        <f t="shared" si="10"/>
        <v>51</v>
      </c>
      <c r="D62">
        <f t="shared" ca="1" si="0"/>
        <v>6</v>
      </c>
      <c r="E62" s="2">
        <f t="shared" ca="1" si="5"/>
        <v>871.28281404274162</v>
      </c>
      <c r="F62" s="2">
        <f t="shared" ca="1" si="8"/>
        <v>0</v>
      </c>
      <c r="G62" s="2">
        <f t="shared" ca="1" si="6"/>
        <v>871.28281404274162</v>
      </c>
      <c r="H62" s="2">
        <f t="shared" ca="1" si="2"/>
        <v>0.45354447854279706</v>
      </c>
      <c r="I62" s="2">
        <f t="shared" ca="1" si="3"/>
        <v>0</v>
      </c>
    </row>
    <row r="63" spans="2:9" x14ac:dyDescent="0.2">
      <c r="B63" s="4">
        <f t="shared" ca="1" si="10"/>
        <v>44100</v>
      </c>
      <c r="C63">
        <f t="shared" si="10"/>
        <v>52</v>
      </c>
      <c r="D63">
        <f t="shared" ca="1" si="0"/>
        <v>7</v>
      </c>
      <c r="E63" s="2">
        <f t="shared" ca="1" si="5"/>
        <v>871.73635852128439</v>
      </c>
      <c r="F63" s="2">
        <f t="shared" ca="1" si="8"/>
        <v>0</v>
      </c>
      <c r="G63" s="2">
        <f t="shared" ca="1" si="6"/>
        <v>871.73635852128439</v>
      </c>
      <c r="H63" s="2">
        <f t="shared" ca="1" si="2"/>
        <v>0.45378057018916179</v>
      </c>
      <c r="I63" s="2">
        <f t="shared" ca="1" si="3"/>
        <v>20</v>
      </c>
    </row>
    <row r="64" spans="2:9" x14ac:dyDescent="0.2">
      <c r="B64" s="4">
        <f t="shared" ca="1" si="10"/>
        <v>44101</v>
      </c>
      <c r="C64">
        <f t="shared" si="10"/>
        <v>53</v>
      </c>
      <c r="D64">
        <f t="shared" ca="1" si="0"/>
        <v>1</v>
      </c>
      <c r="E64" s="2">
        <f t="shared" ca="1" si="5"/>
        <v>892.1901390914735</v>
      </c>
      <c r="F64" s="2">
        <f t="shared" ca="1" si="8"/>
        <v>0</v>
      </c>
      <c r="G64" s="2">
        <f t="shared" ca="1" si="6"/>
        <v>892.1901390914735</v>
      </c>
      <c r="H64" s="2">
        <f t="shared" ca="1" si="2"/>
        <v>0.4644277436366574</v>
      </c>
      <c r="I64" s="2">
        <f t="shared" ca="1" si="3"/>
        <v>0</v>
      </c>
    </row>
    <row r="65" spans="2:9" x14ac:dyDescent="0.2">
      <c r="B65" s="4">
        <f t="shared" ca="1" si="10"/>
        <v>44102</v>
      </c>
      <c r="C65">
        <f t="shared" si="10"/>
        <v>54</v>
      </c>
      <c r="D65">
        <f t="shared" ca="1" si="0"/>
        <v>2</v>
      </c>
      <c r="E65" s="2">
        <f t="shared" ca="1" si="5"/>
        <v>892.65456683511013</v>
      </c>
      <c r="F65" s="2">
        <f t="shared" ca="1" si="8"/>
        <v>0</v>
      </c>
      <c r="G65" s="2">
        <f t="shared" ca="1" si="6"/>
        <v>892.65456683511013</v>
      </c>
      <c r="H65" s="2">
        <f t="shared" ca="1" si="2"/>
        <v>0.46466950054430389</v>
      </c>
      <c r="I65" s="2">
        <f t="shared" ca="1" si="3"/>
        <v>0</v>
      </c>
    </row>
    <row r="66" spans="2:9" x14ac:dyDescent="0.2">
      <c r="B66" s="4">
        <f t="shared" ca="1" si="10"/>
        <v>44103</v>
      </c>
      <c r="C66">
        <f t="shared" si="10"/>
        <v>55</v>
      </c>
      <c r="D66">
        <f t="shared" ca="1" si="0"/>
        <v>3</v>
      </c>
      <c r="E66" s="2">
        <f t="shared" ca="1" si="5"/>
        <v>893.11923633565448</v>
      </c>
      <c r="F66" s="2">
        <f t="shared" ca="1" si="8"/>
        <v>0</v>
      </c>
      <c r="G66" s="2">
        <f t="shared" ca="1" si="6"/>
        <v>893.11923633565448</v>
      </c>
      <c r="H66" s="2">
        <f t="shared" ca="1" si="2"/>
        <v>0.4649113832980119</v>
      </c>
      <c r="I66" s="2">
        <f t="shared" ca="1" si="3"/>
        <v>0</v>
      </c>
    </row>
    <row r="67" spans="2:9" x14ac:dyDescent="0.2">
      <c r="B67" s="4">
        <f t="shared" ca="1" si="10"/>
        <v>44104</v>
      </c>
      <c r="C67">
        <f t="shared" si="10"/>
        <v>56</v>
      </c>
      <c r="D67">
        <f t="shared" ca="1" si="0"/>
        <v>4</v>
      </c>
      <c r="E67" s="2">
        <f t="shared" ca="1" si="5"/>
        <v>893.58414771895252</v>
      </c>
      <c r="F67" s="2">
        <f t="shared" ca="1" si="8"/>
        <v>0</v>
      </c>
      <c r="G67" s="2">
        <f t="shared" ca="1" si="6"/>
        <v>893.58414771895252</v>
      </c>
      <c r="H67" s="2">
        <f t="shared" ca="1" si="2"/>
        <v>0.46515339196329031</v>
      </c>
      <c r="I67" s="2">
        <f t="shared" ca="1" si="3"/>
        <v>0</v>
      </c>
    </row>
    <row r="68" spans="2:9" x14ac:dyDescent="0.2">
      <c r="B68" s="4">
        <f t="shared" ca="1" si="10"/>
        <v>44105</v>
      </c>
      <c r="C68">
        <f t="shared" si="10"/>
        <v>57</v>
      </c>
      <c r="D68">
        <f t="shared" ca="1" si="0"/>
        <v>5</v>
      </c>
      <c r="E68" s="2">
        <f t="shared" ca="1" si="5"/>
        <v>894.04930111091585</v>
      </c>
      <c r="F68" s="2">
        <f t="shared" ca="1" si="8"/>
        <v>0</v>
      </c>
      <c r="G68" s="2">
        <f t="shared" ca="1" si="6"/>
        <v>894.04930111091585</v>
      </c>
      <c r="H68" s="2">
        <f t="shared" ca="1" si="2"/>
        <v>0.46539552660568223</v>
      </c>
      <c r="I68" s="2">
        <f t="shared" ca="1" si="3"/>
        <v>0</v>
      </c>
    </row>
    <row r="69" spans="2:9" x14ac:dyDescent="0.2">
      <c r="B69" s="4">
        <f t="shared" ca="1" si="10"/>
        <v>44106</v>
      </c>
      <c r="C69">
        <f t="shared" si="10"/>
        <v>58</v>
      </c>
      <c r="D69">
        <f t="shared" ca="1" si="0"/>
        <v>6</v>
      </c>
      <c r="E69" s="2">
        <f t="shared" ca="1" si="5"/>
        <v>894.51469663752152</v>
      </c>
      <c r="F69" s="2">
        <f t="shared" ca="1" si="8"/>
        <v>0</v>
      </c>
      <c r="G69" s="2">
        <f t="shared" ca="1" si="6"/>
        <v>894.51469663752152</v>
      </c>
      <c r="H69" s="2">
        <f t="shared" ca="1" si="2"/>
        <v>0.46563778729076466</v>
      </c>
      <c r="I69" s="2">
        <f t="shared" ca="1" si="3"/>
        <v>0</v>
      </c>
    </row>
    <row r="70" spans="2:9" x14ac:dyDescent="0.2">
      <c r="B70" s="4">
        <f t="shared" ca="1" si="10"/>
        <v>44107</v>
      </c>
      <c r="C70">
        <f t="shared" si="10"/>
        <v>59</v>
      </c>
      <c r="D70">
        <f t="shared" ca="1" si="0"/>
        <v>7</v>
      </c>
      <c r="E70" s="2">
        <f t="shared" ca="1" si="5"/>
        <v>894.98033442481233</v>
      </c>
      <c r="F70" s="2">
        <f t="shared" ca="1" si="8"/>
        <v>0</v>
      </c>
      <c r="G70" s="2">
        <f t="shared" ca="1" si="6"/>
        <v>894.98033442481233</v>
      </c>
      <c r="H70" s="2">
        <f t="shared" ca="1" si="2"/>
        <v>0.46588017408414889</v>
      </c>
      <c r="I70" s="2">
        <f t="shared" ca="1" si="3"/>
        <v>20</v>
      </c>
    </row>
    <row r="71" spans="2:9" x14ac:dyDescent="0.2">
      <c r="B71" s="4">
        <f t="shared" ca="1" si="10"/>
        <v>44108</v>
      </c>
      <c r="C71">
        <f t="shared" si="10"/>
        <v>60</v>
      </c>
      <c r="D71">
        <f t="shared" ca="1" si="0"/>
        <v>1</v>
      </c>
      <c r="E71" s="2">
        <f t="shared" ca="1" si="5"/>
        <v>915.44621459889652</v>
      </c>
      <c r="F71" s="2">
        <f t="shared" ca="1" si="8"/>
        <v>0</v>
      </c>
      <c r="G71" s="2">
        <f t="shared" ca="1" si="6"/>
        <v>915.44621459889652</v>
      </c>
      <c r="H71" s="2">
        <f t="shared" ca="1" si="2"/>
        <v>0.47653364595559</v>
      </c>
      <c r="I71" s="2">
        <f t="shared" ca="1" si="3"/>
        <v>0</v>
      </c>
    </row>
    <row r="72" spans="2:9" x14ac:dyDescent="0.2">
      <c r="B72" s="4">
        <f t="shared" ca="1" si="10"/>
        <v>44109</v>
      </c>
      <c r="C72">
        <f t="shared" si="10"/>
        <v>61</v>
      </c>
      <c r="D72">
        <f t="shared" ca="1" si="0"/>
        <v>2</v>
      </c>
      <c r="E72" s="2">
        <f t="shared" ca="1" si="5"/>
        <v>915.92274824485207</v>
      </c>
      <c r="F72" s="2">
        <f t="shared" ca="1" si="8"/>
        <v>294.44386588802428</v>
      </c>
      <c r="G72" s="2">
        <f t="shared" ca="1" si="6"/>
        <v>621.47888235682785</v>
      </c>
      <c r="H72" s="2">
        <f t="shared" ca="1" si="2"/>
        <v>0.32350955519944463</v>
      </c>
      <c r="I72" s="2">
        <f t="shared" ca="1" si="3"/>
        <v>0</v>
      </c>
    </row>
    <row r="73" spans="2:9" x14ac:dyDescent="0.2">
      <c r="B73" s="4">
        <f t="shared" ca="1" si="10"/>
        <v>44110</v>
      </c>
      <c r="C73">
        <f t="shared" si="10"/>
        <v>62</v>
      </c>
      <c r="D73">
        <f t="shared" ca="1" si="0"/>
        <v>3</v>
      </c>
      <c r="E73" s="2">
        <f t="shared" ca="1" si="5"/>
        <v>621.80239191202725</v>
      </c>
      <c r="F73" s="2">
        <f t="shared" ca="1" si="8"/>
        <v>0</v>
      </c>
      <c r="G73" s="2">
        <f t="shared" ca="1" si="6"/>
        <v>621.80239191202725</v>
      </c>
      <c r="H73" s="2">
        <f t="shared" ca="1" si="2"/>
        <v>0.32367795743365801</v>
      </c>
      <c r="I73" s="2">
        <f t="shared" ca="1" si="3"/>
        <v>0</v>
      </c>
    </row>
    <row r="74" spans="2:9" x14ac:dyDescent="0.2">
      <c r="B74" s="4">
        <f t="shared" ca="1" si="10"/>
        <v>44111</v>
      </c>
      <c r="C74">
        <f t="shared" si="10"/>
        <v>63</v>
      </c>
      <c r="D74">
        <f t="shared" ca="1" si="0"/>
        <v>4</v>
      </c>
      <c r="E74" s="2">
        <f t="shared" ca="1" si="5"/>
        <v>622.12606986946093</v>
      </c>
      <c r="F74" s="2">
        <f t="shared" ca="1" si="8"/>
        <v>0</v>
      </c>
      <c r="G74" s="2">
        <f t="shared" ca="1" si="6"/>
        <v>622.12606986946093</v>
      </c>
      <c r="H74" s="2">
        <f t="shared" ca="1" si="2"/>
        <v>0.32384644732930845</v>
      </c>
      <c r="I74" s="2">
        <f t="shared" ca="1" si="3"/>
        <v>0</v>
      </c>
    </row>
    <row r="75" spans="2:9" x14ac:dyDescent="0.2">
      <c r="B75" s="4">
        <f t="shared" ca="1" si="10"/>
        <v>44112</v>
      </c>
      <c r="C75">
        <f t="shared" si="10"/>
        <v>64</v>
      </c>
      <c r="D75">
        <f t="shared" ca="1" si="0"/>
        <v>5</v>
      </c>
      <c r="E75" s="2">
        <f t="shared" ca="1" si="5"/>
        <v>622.44991631679022</v>
      </c>
      <c r="F75" s="2">
        <f t="shared" ca="1" si="8"/>
        <v>0</v>
      </c>
      <c r="G75" s="2">
        <f t="shared" ca="1" si="6"/>
        <v>622.44991631679022</v>
      </c>
      <c r="H75" s="2">
        <f t="shared" ca="1" si="2"/>
        <v>0.32401502493202783</v>
      </c>
      <c r="I75" s="2">
        <f t="shared" ca="1" si="3"/>
        <v>0</v>
      </c>
    </row>
    <row r="76" spans="2:9" x14ac:dyDescent="0.2">
      <c r="B76" s="4">
        <f t="shared" ca="1" si="10"/>
        <v>44113</v>
      </c>
      <c r="C76">
        <f t="shared" si="10"/>
        <v>65</v>
      </c>
      <c r="D76">
        <f t="shared" ref="D76:D139" ca="1" si="11">WEEKDAY(B76,1)</f>
        <v>6</v>
      </c>
      <c r="E76" s="2">
        <f t="shared" ca="1" si="5"/>
        <v>622.77393134172223</v>
      </c>
      <c r="F76" s="2">
        <f t="shared" ca="1" si="8"/>
        <v>0</v>
      </c>
      <c r="G76" s="2">
        <f t="shared" ca="1" si="6"/>
        <v>622.77393134172223</v>
      </c>
      <c r="H76" s="2">
        <f t="shared" ref="H76:H139" ca="1" si="12">IF(C76&gt;$C$7,0,(G76)*$C$5/365)</f>
        <v>0.32418369028747185</v>
      </c>
      <c r="I76" s="2">
        <f t="shared" ref="I76:I139" ca="1" si="13">IF(AND(C76=0,D76=7),$C$6,IF(C76=$C$7,0,IF(C76&lt;$C$7,IF(D76=7,$C$6,0),0)))</f>
        <v>0</v>
      </c>
    </row>
    <row r="77" spans="2:9" x14ac:dyDescent="0.2">
      <c r="B77" s="4">
        <f t="shared" ref="B77:C92" ca="1" si="14">B76+1</f>
        <v>44114</v>
      </c>
      <c r="C77">
        <f t="shared" si="14"/>
        <v>66</v>
      </c>
      <c r="D77">
        <f t="shared" ca="1" si="11"/>
        <v>7</v>
      </c>
      <c r="E77" s="2">
        <f t="shared" ref="E77:E140" ca="1" si="15">IF(C77&gt;$C$7,0,G76+H76+I76)</f>
        <v>623.09811503200967</v>
      </c>
      <c r="F77" s="2">
        <f t="shared" ca="1" si="8"/>
        <v>0</v>
      </c>
      <c r="G77" s="2">
        <f t="shared" ref="G77:G140" ca="1" si="16">IF(C77&gt;$C$7,G76,E77-F77)</f>
        <v>623.09811503200967</v>
      </c>
      <c r="H77" s="2">
        <f t="shared" ca="1" si="12"/>
        <v>0.32435244344132008</v>
      </c>
      <c r="I77" s="2">
        <f t="shared" ca="1" si="13"/>
        <v>20</v>
      </c>
    </row>
    <row r="78" spans="2:9" x14ac:dyDescent="0.2">
      <c r="B78" s="4">
        <f t="shared" ca="1" si="14"/>
        <v>44115</v>
      </c>
      <c r="C78">
        <f t="shared" si="14"/>
        <v>67</v>
      </c>
      <c r="D78">
        <f t="shared" ca="1" si="11"/>
        <v>1</v>
      </c>
      <c r="E78" s="2">
        <f t="shared" ca="1" si="15"/>
        <v>643.42246747545096</v>
      </c>
      <c r="F78" s="2">
        <f t="shared" ca="1" si="8"/>
        <v>0</v>
      </c>
      <c r="G78" s="2">
        <f t="shared" ca="1" si="16"/>
        <v>643.42246747545096</v>
      </c>
      <c r="H78" s="2">
        <f t="shared" ca="1" si="12"/>
        <v>0.33493224334338539</v>
      </c>
      <c r="I78" s="2">
        <f t="shared" ca="1" si="13"/>
        <v>0</v>
      </c>
    </row>
    <row r="79" spans="2:9" x14ac:dyDescent="0.2">
      <c r="B79" s="4">
        <f t="shared" ca="1" si="14"/>
        <v>44116</v>
      </c>
      <c r="C79">
        <f t="shared" si="14"/>
        <v>68</v>
      </c>
      <c r="D79">
        <f t="shared" ca="1" si="11"/>
        <v>2</v>
      </c>
      <c r="E79" s="2">
        <f t="shared" ca="1" si="15"/>
        <v>643.75739971879432</v>
      </c>
      <c r="F79" s="2">
        <f t="shared" ca="1" si="8"/>
        <v>0</v>
      </c>
      <c r="G79" s="2">
        <f t="shared" ca="1" si="16"/>
        <v>643.75739971879432</v>
      </c>
      <c r="H79" s="2">
        <f t="shared" ca="1" si="12"/>
        <v>0.3351065916344409</v>
      </c>
      <c r="I79" s="2">
        <f t="shared" ca="1" si="13"/>
        <v>0</v>
      </c>
    </row>
    <row r="80" spans="2:9" x14ac:dyDescent="0.2">
      <c r="B80" s="4">
        <f t="shared" ca="1" si="14"/>
        <v>44117</v>
      </c>
      <c r="C80">
        <f t="shared" si="14"/>
        <v>69</v>
      </c>
      <c r="D80">
        <f t="shared" ca="1" si="11"/>
        <v>3</v>
      </c>
      <c r="E80" s="2">
        <f t="shared" ca="1" si="15"/>
        <v>644.0925063104288</v>
      </c>
      <c r="F80" s="2">
        <f t="shared" ca="1" si="8"/>
        <v>0</v>
      </c>
      <c r="G80" s="2">
        <f t="shared" ca="1" si="16"/>
        <v>644.0925063104288</v>
      </c>
      <c r="H80" s="2">
        <f t="shared" ca="1" si="12"/>
        <v>0.33528103068214105</v>
      </c>
      <c r="I80" s="2">
        <f t="shared" ca="1" si="13"/>
        <v>0</v>
      </c>
    </row>
    <row r="81" spans="2:9" x14ac:dyDescent="0.2">
      <c r="B81" s="4">
        <f t="shared" ca="1" si="14"/>
        <v>44118</v>
      </c>
      <c r="C81">
        <f t="shared" si="14"/>
        <v>70</v>
      </c>
      <c r="D81">
        <f t="shared" ca="1" si="11"/>
        <v>4</v>
      </c>
      <c r="E81" s="2">
        <f t="shared" ca="1" si="15"/>
        <v>644.42778734111096</v>
      </c>
      <c r="F81" s="2">
        <f t="shared" ca="1" si="8"/>
        <v>0</v>
      </c>
      <c r="G81" s="2">
        <f t="shared" ca="1" si="16"/>
        <v>644.42778734111096</v>
      </c>
      <c r="H81" s="2">
        <f t="shared" ca="1" si="12"/>
        <v>0.33545556053372899</v>
      </c>
      <c r="I81" s="2">
        <f t="shared" ca="1" si="13"/>
        <v>0</v>
      </c>
    </row>
    <row r="82" spans="2:9" x14ac:dyDescent="0.2">
      <c r="B82" s="4">
        <f t="shared" ca="1" si="14"/>
        <v>44119</v>
      </c>
      <c r="C82">
        <f t="shared" si="14"/>
        <v>71</v>
      </c>
      <c r="D82">
        <f t="shared" ca="1" si="11"/>
        <v>5</v>
      </c>
      <c r="E82" s="2">
        <f t="shared" ca="1" si="15"/>
        <v>644.76324290164473</v>
      </c>
      <c r="F82" s="2">
        <f t="shared" ca="1" si="8"/>
        <v>0</v>
      </c>
      <c r="G82" s="2">
        <f t="shared" ca="1" si="16"/>
        <v>644.76324290164473</v>
      </c>
      <c r="H82" s="2">
        <f t="shared" ca="1" si="12"/>
        <v>0.33563018123647259</v>
      </c>
      <c r="I82" s="2">
        <f t="shared" ca="1" si="13"/>
        <v>0</v>
      </c>
    </row>
    <row r="83" spans="2:9" x14ac:dyDescent="0.2">
      <c r="B83" s="4">
        <f t="shared" ca="1" si="14"/>
        <v>44120</v>
      </c>
      <c r="C83">
        <f t="shared" si="14"/>
        <v>72</v>
      </c>
      <c r="D83">
        <f t="shared" ca="1" si="11"/>
        <v>6</v>
      </c>
      <c r="E83" s="2">
        <f t="shared" ca="1" si="15"/>
        <v>645.09887308288125</v>
      </c>
      <c r="F83" s="2">
        <f t="shared" ca="1" si="8"/>
        <v>0</v>
      </c>
      <c r="G83" s="2">
        <f t="shared" ca="1" si="16"/>
        <v>645.09887308288125</v>
      </c>
      <c r="H83" s="2">
        <f t="shared" ca="1" si="12"/>
        <v>0.33580489283766424</v>
      </c>
      <c r="I83" s="2">
        <f t="shared" ca="1" si="13"/>
        <v>0</v>
      </c>
    </row>
    <row r="84" spans="2:9" x14ac:dyDescent="0.2">
      <c r="B84" s="4">
        <f t="shared" ca="1" si="14"/>
        <v>44121</v>
      </c>
      <c r="C84">
        <f t="shared" si="14"/>
        <v>73</v>
      </c>
      <c r="D84">
        <f t="shared" ca="1" si="11"/>
        <v>7</v>
      </c>
      <c r="E84" s="2">
        <f t="shared" ca="1" si="15"/>
        <v>645.43467797571896</v>
      </c>
      <c r="F84" s="2">
        <f t="shared" ca="1" si="8"/>
        <v>0</v>
      </c>
      <c r="G84" s="2">
        <f t="shared" ca="1" si="16"/>
        <v>645.43467797571896</v>
      </c>
      <c r="H84" s="2">
        <f t="shared" ca="1" si="12"/>
        <v>0.3359796953846208</v>
      </c>
      <c r="I84" s="2">
        <f t="shared" ca="1" si="13"/>
        <v>20</v>
      </c>
    </row>
    <row r="85" spans="2:9" x14ac:dyDescent="0.2">
      <c r="B85" s="4">
        <f t="shared" ca="1" si="14"/>
        <v>44122</v>
      </c>
      <c r="C85">
        <f t="shared" si="14"/>
        <v>74</v>
      </c>
      <c r="D85">
        <f t="shared" ca="1" si="11"/>
        <v>1</v>
      </c>
      <c r="E85" s="2">
        <f t="shared" ca="1" si="15"/>
        <v>665.77065767110355</v>
      </c>
      <c r="F85" s="2">
        <f t="shared" ca="1" si="8"/>
        <v>0</v>
      </c>
      <c r="G85" s="2">
        <f t="shared" ca="1" si="16"/>
        <v>665.77065767110355</v>
      </c>
      <c r="H85" s="2">
        <f t="shared" ca="1" si="12"/>
        <v>0.34656554782879362</v>
      </c>
      <c r="I85" s="2">
        <f t="shared" ca="1" si="13"/>
        <v>0</v>
      </c>
    </row>
    <row r="86" spans="2:9" x14ac:dyDescent="0.2">
      <c r="B86" s="4">
        <f t="shared" ca="1" si="14"/>
        <v>44123</v>
      </c>
      <c r="C86">
        <f t="shared" si="14"/>
        <v>75</v>
      </c>
      <c r="D86">
        <f t="shared" ca="1" si="11"/>
        <v>2</v>
      </c>
      <c r="E86" s="2">
        <f t="shared" ca="1" si="15"/>
        <v>666.11722321893239</v>
      </c>
      <c r="F86" s="2">
        <f t="shared" ca="1" si="8"/>
        <v>0</v>
      </c>
      <c r="G86" s="2">
        <f t="shared" ca="1" si="16"/>
        <v>666.11722321893239</v>
      </c>
      <c r="H86" s="2">
        <f t="shared" ca="1" si="12"/>
        <v>0.34674595181259499</v>
      </c>
      <c r="I86" s="2">
        <f t="shared" ca="1" si="13"/>
        <v>0</v>
      </c>
    </row>
    <row r="87" spans="2:9" x14ac:dyDescent="0.2">
      <c r="B87" s="4">
        <f t="shared" ca="1" si="14"/>
        <v>44124</v>
      </c>
      <c r="C87">
        <f t="shared" si="14"/>
        <v>76</v>
      </c>
      <c r="D87">
        <f t="shared" ca="1" si="11"/>
        <v>3</v>
      </c>
      <c r="E87" s="2">
        <f t="shared" ca="1" si="15"/>
        <v>666.46396917074503</v>
      </c>
      <c r="F87" s="2">
        <f t="shared" ca="1" si="8"/>
        <v>0</v>
      </c>
      <c r="G87" s="2">
        <f t="shared" ca="1" si="16"/>
        <v>666.46396917074503</v>
      </c>
      <c r="H87" s="2">
        <f t="shared" ca="1" si="12"/>
        <v>0.34692644970531933</v>
      </c>
      <c r="I87" s="2">
        <f t="shared" ca="1" si="13"/>
        <v>0</v>
      </c>
    </row>
    <row r="88" spans="2:9" x14ac:dyDescent="0.2">
      <c r="B88" s="4">
        <f t="shared" ca="1" si="14"/>
        <v>44125</v>
      </c>
      <c r="C88">
        <f t="shared" si="14"/>
        <v>77</v>
      </c>
      <c r="D88">
        <f t="shared" ca="1" si="11"/>
        <v>4</v>
      </c>
      <c r="E88" s="2">
        <f t="shared" ca="1" si="15"/>
        <v>666.81089562045031</v>
      </c>
      <c r="F88" s="2">
        <f t="shared" ca="1" si="8"/>
        <v>0</v>
      </c>
      <c r="G88" s="2">
        <f t="shared" ca="1" si="16"/>
        <v>666.81089562045031</v>
      </c>
      <c r="H88" s="2">
        <f t="shared" ca="1" si="12"/>
        <v>0.34710704155585081</v>
      </c>
      <c r="I88" s="2">
        <f t="shared" ca="1" si="13"/>
        <v>0</v>
      </c>
    </row>
    <row r="89" spans="2:9" x14ac:dyDescent="0.2">
      <c r="B89" s="4">
        <f t="shared" ca="1" si="14"/>
        <v>44126</v>
      </c>
      <c r="C89">
        <f t="shared" si="14"/>
        <v>78</v>
      </c>
      <c r="D89">
        <f t="shared" ca="1" si="11"/>
        <v>5</v>
      </c>
      <c r="E89" s="2">
        <f t="shared" ca="1" si="15"/>
        <v>667.1580026620062</v>
      </c>
      <c r="F89" s="2">
        <f t="shared" ca="1" si="8"/>
        <v>0</v>
      </c>
      <c r="G89" s="2">
        <f t="shared" ca="1" si="16"/>
        <v>667.1580026620062</v>
      </c>
      <c r="H89" s="2">
        <f t="shared" ca="1" si="12"/>
        <v>0.34728772741309916</v>
      </c>
      <c r="I89" s="2">
        <f t="shared" ca="1" si="13"/>
        <v>0</v>
      </c>
    </row>
    <row r="90" spans="2:9" x14ac:dyDescent="0.2">
      <c r="B90" s="4">
        <f t="shared" ca="1" si="14"/>
        <v>44127</v>
      </c>
      <c r="C90">
        <f t="shared" si="14"/>
        <v>79</v>
      </c>
      <c r="D90">
        <f t="shared" ca="1" si="11"/>
        <v>6</v>
      </c>
      <c r="E90" s="2">
        <f t="shared" ca="1" si="15"/>
        <v>667.50529038941932</v>
      </c>
      <c r="F90" s="2">
        <f t="shared" ca="1" si="8"/>
        <v>0</v>
      </c>
      <c r="G90" s="2">
        <f t="shared" ca="1" si="16"/>
        <v>667.50529038941932</v>
      </c>
      <c r="H90" s="2">
        <f t="shared" ca="1" si="12"/>
        <v>0.3474685073259991</v>
      </c>
      <c r="I90" s="2">
        <f t="shared" ca="1" si="13"/>
        <v>0</v>
      </c>
    </row>
    <row r="91" spans="2:9" x14ac:dyDescent="0.2">
      <c r="B91" s="4">
        <f t="shared" ca="1" si="14"/>
        <v>44128</v>
      </c>
      <c r="C91">
        <f t="shared" si="14"/>
        <v>80</v>
      </c>
      <c r="D91">
        <f t="shared" ca="1" si="11"/>
        <v>7</v>
      </c>
      <c r="E91" s="2">
        <f t="shared" ca="1" si="15"/>
        <v>667.85275889674529</v>
      </c>
      <c r="F91" s="2">
        <f t="shared" ca="1" si="8"/>
        <v>0</v>
      </c>
      <c r="G91" s="2">
        <f t="shared" ca="1" si="16"/>
        <v>667.85275889674529</v>
      </c>
      <c r="H91" s="2">
        <f t="shared" ca="1" si="12"/>
        <v>0.34764938134351125</v>
      </c>
      <c r="I91" s="2">
        <f t="shared" ca="1" si="13"/>
        <v>20</v>
      </c>
    </row>
    <row r="92" spans="2:9" x14ac:dyDescent="0.2">
      <c r="B92" s="4">
        <f t="shared" ca="1" si="14"/>
        <v>44129</v>
      </c>
      <c r="C92">
        <f t="shared" si="14"/>
        <v>81</v>
      </c>
      <c r="D92">
        <f t="shared" ca="1" si="11"/>
        <v>1</v>
      </c>
      <c r="E92" s="2">
        <f t="shared" ca="1" si="15"/>
        <v>688.20040827808884</v>
      </c>
      <c r="F92" s="2">
        <f t="shared" ca="1" si="8"/>
        <v>0</v>
      </c>
      <c r="G92" s="2">
        <f t="shared" ca="1" si="16"/>
        <v>688.20040827808884</v>
      </c>
      <c r="H92" s="2">
        <f t="shared" ca="1" si="12"/>
        <v>0.35824130841873114</v>
      </c>
      <c r="I92" s="2">
        <f t="shared" ca="1" si="13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1"/>
        <v>2</v>
      </c>
      <c r="E93" s="2">
        <f t="shared" ca="1" si="15"/>
        <v>688.55864958650761</v>
      </c>
      <c r="F93" s="2">
        <f t="shared" ca="1" si="8"/>
        <v>0</v>
      </c>
      <c r="G93" s="2">
        <f t="shared" ca="1" si="16"/>
        <v>688.55864958650761</v>
      </c>
      <c r="H93" s="2">
        <f t="shared" ca="1" si="12"/>
        <v>0.3584277901957163</v>
      </c>
      <c r="I93" s="2">
        <f t="shared" ca="1" si="13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1"/>
        <v>3</v>
      </c>
      <c r="E94" s="2">
        <f t="shared" ca="1" si="15"/>
        <v>688.91707737670333</v>
      </c>
      <c r="F94" s="2">
        <f t="shared" ca="1" si="8"/>
        <v>0</v>
      </c>
      <c r="G94" s="2">
        <f t="shared" ca="1" si="16"/>
        <v>688.91707737670333</v>
      </c>
      <c r="H94" s="2">
        <f t="shared" ca="1" si="12"/>
        <v>0.35861436904540722</v>
      </c>
      <c r="I94" s="2">
        <f t="shared" ca="1" si="13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1"/>
        <v>4</v>
      </c>
      <c r="E95" s="2">
        <f t="shared" ca="1" si="15"/>
        <v>689.27569174574876</v>
      </c>
      <c r="F95" s="2">
        <f t="shared" ca="1" si="8"/>
        <v>0</v>
      </c>
      <c r="G95" s="2">
        <f t="shared" ca="1" si="16"/>
        <v>689.27569174574876</v>
      </c>
      <c r="H95" s="2">
        <f t="shared" ca="1" si="12"/>
        <v>0.35880104501833499</v>
      </c>
      <c r="I95" s="2">
        <f t="shared" ca="1" si="13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1"/>
        <v>5</v>
      </c>
      <c r="E96" s="2">
        <f t="shared" ca="1" si="15"/>
        <v>689.63449279076713</v>
      </c>
      <c r="F96" s="2">
        <f t="shared" ca="1" si="8"/>
        <v>0</v>
      </c>
      <c r="G96" s="2">
        <f t="shared" ca="1" si="16"/>
        <v>689.63449279076713</v>
      </c>
      <c r="H96" s="2">
        <f t="shared" ca="1" si="12"/>
        <v>0.35898781816505687</v>
      </c>
      <c r="I96" s="2">
        <f t="shared" ca="1" si="13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1"/>
        <v>6</v>
      </c>
      <c r="E97" s="2">
        <f t="shared" ca="1" si="15"/>
        <v>689.99348060893215</v>
      </c>
      <c r="F97" s="2">
        <f t="shared" ca="1" si="8"/>
        <v>0</v>
      </c>
      <c r="G97" s="2">
        <f t="shared" ca="1" si="16"/>
        <v>689.99348060893215</v>
      </c>
      <c r="H97" s="2">
        <f t="shared" ca="1" si="12"/>
        <v>0.35917468853615647</v>
      </c>
      <c r="I97" s="2">
        <f t="shared" ca="1" si="13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1"/>
        <v>7</v>
      </c>
      <c r="E98" s="2">
        <f t="shared" ca="1" si="15"/>
        <v>690.35265529746835</v>
      </c>
      <c r="F98" s="2">
        <f t="shared" ca="1" si="8"/>
        <v>0</v>
      </c>
      <c r="G98" s="2">
        <f t="shared" ca="1" si="16"/>
        <v>690.35265529746835</v>
      </c>
      <c r="H98" s="2">
        <f t="shared" ca="1" si="12"/>
        <v>0.3593616561822438</v>
      </c>
      <c r="I98" s="2">
        <f t="shared" ca="1" si="13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1"/>
        <v>1</v>
      </c>
      <c r="E99" s="2">
        <f t="shared" ca="1" si="15"/>
        <v>710.71201695365062</v>
      </c>
      <c r="F99" s="2">
        <f t="shared" ca="1" si="8"/>
        <v>0</v>
      </c>
      <c r="G99" s="2">
        <f t="shared" ca="1" si="16"/>
        <v>710.71201695365062</v>
      </c>
      <c r="H99" s="2">
        <f t="shared" ca="1" si="12"/>
        <v>0.36995968005806473</v>
      </c>
      <c r="I99" s="2">
        <f t="shared" ca="1" si="13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1"/>
        <v>2</v>
      </c>
      <c r="E100" s="2">
        <f t="shared" ca="1" si="15"/>
        <v>711.08197663370868</v>
      </c>
      <c r="F100" s="2">
        <f t="shared" ref="F100:F163" ca="1" si="18">IF(C100&gt;$C$7,0,IF(ROUND(E100,0)&gt;0,IF(C100=0,0,IF(DAY($F$2)&lt;&gt;DAY(B100),0,$C$8)),0))</f>
        <v>0</v>
      </c>
      <c r="G100" s="2">
        <f t="shared" ca="1" si="16"/>
        <v>711.08197663370868</v>
      </c>
      <c r="H100" s="2">
        <f t="shared" ca="1" si="12"/>
        <v>0.37015226180932781</v>
      </c>
      <c r="I100" s="2">
        <f t="shared" ca="1" si="13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1"/>
        <v>3</v>
      </c>
      <c r="E101" s="2">
        <f t="shared" ca="1" si="15"/>
        <v>711.45212889551806</v>
      </c>
      <c r="F101" s="2">
        <f t="shared" ca="1" si="18"/>
        <v>0</v>
      </c>
      <c r="G101" s="2">
        <f t="shared" ca="1" si="16"/>
        <v>711.45212889551806</v>
      </c>
      <c r="H101" s="2">
        <f t="shared" ca="1" si="12"/>
        <v>0.37034494380862587</v>
      </c>
      <c r="I101" s="2">
        <f t="shared" ca="1" si="13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1"/>
        <v>4</v>
      </c>
      <c r="E102" s="2">
        <f t="shared" ca="1" si="15"/>
        <v>711.82247383932668</v>
      </c>
      <c r="F102" s="2">
        <f t="shared" ca="1" si="18"/>
        <v>0</v>
      </c>
      <c r="G102" s="2">
        <f t="shared" ca="1" si="16"/>
        <v>711.82247383932668</v>
      </c>
      <c r="H102" s="2">
        <f t="shared" ca="1" si="12"/>
        <v>0.37053772610814267</v>
      </c>
      <c r="I102" s="2">
        <f t="shared" ca="1" si="13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1"/>
        <v>5</v>
      </c>
      <c r="E103" s="2">
        <f t="shared" ca="1" si="15"/>
        <v>712.19301156543486</v>
      </c>
      <c r="F103" s="2">
        <f t="shared" ca="1" si="18"/>
        <v>294.44386588802428</v>
      </c>
      <c r="G103" s="2">
        <f t="shared" ca="1" si="16"/>
        <v>417.74914567741058</v>
      </c>
      <c r="H103" s="2">
        <f t="shared" ca="1" si="12"/>
        <v>0.21745845939372058</v>
      </c>
      <c r="I103" s="2">
        <f t="shared" ca="1" si="13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1"/>
        <v>6</v>
      </c>
      <c r="E104" s="2">
        <f t="shared" ca="1" si="15"/>
        <v>417.96660413680428</v>
      </c>
      <c r="F104" s="2">
        <f t="shared" ca="1" si="18"/>
        <v>0</v>
      </c>
      <c r="G104" s="2">
        <f t="shared" ca="1" si="16"/>
        <v>417.96660413680428</v>
      </c>
      <c r="H104" s="2">
        <f t="shared" ca="1" si="12"/>
        <v>0.21757165694792552</v>
      </c>
      <c r="I104" s="2">
        <f t="shared" ca="1" si="13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1"/>
        <v>7</v>
      </c>
      <c r="E105" s="2">
        <f t="shared" ca="1" si="15"/>
        <v>418.18417579375222</v>
      </c>
      <c r="F105" s="2">
        <f t="shared" ca="1" si="18"/>
        <v>0</v>
      </c>
      <c r="G105" s="2">
        <f t="shared" ca="1" si="16"/>
        <v>418.18417579375222</v>
      </c>
      <c r="H105" s="2">
        <f t="shared" ca="1" si="12"/>
        <v>0.21768491342688473</v>
      </c>
      <c r="I105" s="2">
        <f t="shared" ca="1" si="13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1"/>
        <v>1</v>
      </c>
      <c r="E106" s="2">
        <f t="shared" ca="1" si="15"/>
        <v>438.40186070717908</v>
      </c>
      <c r="F106" s="2">
        <f t="shared" ca="1" si="18"/>
        <v>0</v>
      </c>
      <c r="G106" s="2">
        <f t="shared" ca="1" si="16"/>
        <v>438.40186070717908</v>
      </c>
      <c r="H106" s="2">
        <f t="shared" ca="1" si="12"/>
        <v>0.22820918776538091</v>
      </c>
      <c r="I106" s="2">
        <f t="shared" ca="1" si="13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1"/>
        <v>2</v>
      </c>
      <c r="E107" s="2">
        <f t="shared" ca="1" si="15"/>
        <v>438.63006989494448</v>
      </c>
      <c r="F107" s="2">
        <f t="shared" ca="1" si="18"/>
        <v>0</v>
      </c>
      <c r="G107" s="2">
        <f t="shared" ca="1" si="16"/>
        <v>438.63006989494448</v>
      </c>
      <c r="H107" s="2">
        <f t="shared" ca="1" si="12"/>
        <v>0.22832798158914916</v>
      </c>
      <c r="I107" s="2">
        <f t="shared" ca="1" si="13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1"/>
        <v>3</v>
      </c>
      <c r="E108" s="2">
        <f t="shared" ca="1" si="15"/>
        <v>438.85839787653362</v>
      </c>
      <c r="F108" s="2">
        <f t="shared" ca="1" si="18"/>
        <v>0</v>
      </c>
      <c r="G108" s="2">
        <f t="shared" ca="1" si="16"/>
        <v>438.85839787653362</v>
      </c>
      <c r="H108" s="2">
        <f t="shared" ca="1" si="12"/>
        <v>0.22844683725079834</v>
      </c>
      <c r="I108" s="2">
        <f t="shared" ca="1" si="13"/>
        <v>0</v>
      </c>
    </row>
    <row r="109" spans="2:9" x14ac:dyDescent="0.2">
      <c r="B109" s="4">
        <f t="shared" ref="B109:C124" ca="1" si="19">B108+1</f>
        <v>44146</v>
      </c>
      <c r="C109">
        <f t="shared" si="19"/>
        <v>98</v>
      </c>
      <c r="D109">
        <f t="shared" ca="1" si="11"/>
        <v>4</v>
      </c>
      <c r="E109" s="2">
        <f t="shared" ca="1" si="15"/>
        <v>439.08684471378439</v>
      </c>
      <c r="F109" s="2">
        <f t="shared" ca="1" si="18"/>
        <v>0</v>
      </c>
      <c r="G109" s="2">
        <f t="shared" ca="1" si="16"/>
        <v>439.08684471378439</v>
      </c>
      <c r="H109" s="2">
        <f t="shared" ca="1" si="12"/>
        <v>0.22856575478251792</v>
      </c>
      <c r="I109" s="2">
        <f t="shared" ca="1" si="13"/>
        <v>0</v>
      </c>
    </row>
    <row r="110" spans="2:9" x14ac:dyDescent="0.2">
      <c r="B110" s="4">
        <f t="shared" ca="1" si="19"/>
        <v>44147</v>
      </c>
      <c r="C110">
        <f t="shared" si="19"/>
        <v>99</v>
      </c>
      <c r="D110">
        <f t="shared" ca="1" si="11"/>
        <v>5</v>
      </c>
      <c r="E110" s="2">
        <f t="shared" ca="1" si="15"/>
        <v>439.31541046856688</v>
      </c>
      <c r="F110" s="2">
        <f t="shared" ca="1" si="18"/>
        <v>0</v>
      </c>
      <c r="G110" s="2">
        <f t="shared" ca="1" si="16"/>
        <v>439.31541046856688</v>
      </c>
      <c r="H110" s="2">
        <f t="shared" ca="1" si="12"/>
        <v>0.22868473421651428</v>
      </c>
      <c r="I110" s="2">
        <f t="shared" ca="1" si="13"/>
        <v>0</v>
      </c>
    </row>
    <row r="111" spans="2:9" x14ac:dyDescent="0.2">
      <c r="B111" s="4">
        <f t="shared" ca="1" si="19"/>
        <v>44148</v>
      </c>
      <c r="C111">
        <f t="shared" si="19"/>
        <v>100</v>
      </c>
      <c r="D111">
        <f t="shared" ca="1" si="11"/>
        <v>6</v>
      </c>
      <c r="E111" s="2">
        <f t="shared" ca="1" si="15"/>
        <v>439.54409520278341</v>
      </c>
      <c r="F111" s="2">
        <f t="shared" ca="1" si="18"/>
        <v>0</v>
      </c>
      <c r="G111" s="2">
        <f t="shared" ca="1" si="16"/>
        <v>439.54409520278341</v>
      </c>
      <c r="H111" s="2">
        <f t="shared" ca="1" si="12"/>
        <v>0.22880377558501055</v>
      </c>
      <c r="I111" s="2">
        <f t="shared" ca="1" si="13"/>
        <v>0</v>
      </c>
    </row>
    <row r="112" spans="2:9" x14ac:dyDescent="0.2">
      <c r="B112" s="4">
        <f t="shared" ca="1" si="19"/>
        <v>44149</v>
      </c>
      <c r="C112">
        <f t="shared" si="19"/>
        <v>101</v>
      </c>
      <c r="D112">
        <f t="shared" ca="1" si="11"/>
        <v>7</v>
      </c>
      <c r="E112" s="2">
        <f t="shared" ca="1" si="15"/>
        <v>439.7728989783684</v>
      </c>
      <c r="F112" s="2">
        <f t="shared" ca="1" si="18"/>
        <v>0</v>
      </c>
      <c r="G112" s="2">
        <f t="shared" ca="1" si="16"/>
        <v>439.7728989783684</v>
      </c>
      <c r="H112" s="2">
        <f t="shared" ca="1" si="12"/>
        <v>0.22892287892024657</v>
      </c>
      <c r="I112" s="2">
        <f t="shared" ca="1" si="13"/>
        <v>20</v>
      </c>
    </row>
    <row r="113" spans="2:9" x14ac:dyDescent="0.2">
      <c r="B113" s="4">
        <f t="shared" ca="1" si="19"/>
        <v>44150</v>
      </c>
      <c r="C113">
        <f t="shared" si="19"/>
        <v>102</v>
      </c>
      <c r="D113">
        <f t="shared" ca="1" si="11"/>
        <v>1</v>
      </c>
      <c r="E113" s="2">
        <f t="shared" ca="1" si="15"/>
        <v>460.00182185728863</v>
      </c>
      <c r="F113" s="2">
        <f t="shared" ca="1" si="18"/>
        <v>0</v>
      </c>
      <c r="G113" s="2">
        <f t="shared" ca="1" si="16"/>
        <v>460.00182185728863</v>
      </c>
      <c r="H113" s="2">
        <f t="shared" ca="1" si="12"/>
        <v>0.23945300315858858</v>
      </c>
      <c r="I113" s="2">
        <f t="shared" ca="1" si="13"/>
        <v>0</v>
      </c>
    </row>
    <row r="114" spans="2:9" x14ac:dyDescent="0.2">
      <c r="B114" s="4">
        <f t="shared" ca="1" si="19"/>
        <v>44151</v>
      </c>
      <c r="C114">
        <f t="shared" si="19"/>
        <v>103</v>
      </c>
      <c r="D114">
        <f t="shared" ca="1" si="11"/>
        <v>2</v>
      </c>
      <c r="E114" s="2">
        <f t="shared" ca="1" si="15"/>
        <v>460.24127486044722</v>
      </c>
      <c r="F114" s="2">
        <f t="shared" ca="1" si="18"/>
        <v>0</v>
      </c>
      <c r="G114" s="2">
        <f t="shared" ca="1" si="16"/>
        <v>460.24127486044722</v>
      </c>
      <c r="H114" s="2">
        <f t="shared" ca="1" si="12"/>
        <v>0.23957764992735608</v>
      </c>
      <c r="I114" s="2">
        <f t="shared" ca="1" si="13"/>
        <v>0</v>
      </c>
    </row>
    <row r="115" spans="2:9" x14ac:dyDescent="0.2">
      <c r="B115" s="4">
        <f t="shared" ca="1" si="19"/>
        <v>44152</v>
      </c>
      <c r="C115">
        <f t="shared" si="19"/>
        <v>104</v>
      </c>
      <c r="D115">
        <f t="shared" ca="1" si="11"/>
        <v>3</v>
      </c>
      <c r="E115" s="2">
        <f t="shared" ca="1" si="15"/>
        <v>460.48085251037458</v>
      </c>
      <c r="F115" s="2">
        <f t="shared" ca="1" si="18"/>
        <v>0</v>
      </c>
      <c r="G115" s="2">
        <f t="shared" ca="1" si="16"/>
        <v>460.48085251037458</v>
      </c>
      <c r="H115" s="2">
        <f t="shared" ca="1" si="12"/>
        <v>0.23970236158074296</v>
      </c>
      <c r="I115" s="2">
        <f t="shared" ca="1" si="13"/>
        <v>0</v>
      </c>
    </row>
    <row r="116" spans="2:9" x14ac:dyDescent="0.2">
      <c r="B116" s="4">
        <f t="shared" ca="1" si="19"/>
        <v>44153</v>
      </c>
      <c r="C116">
        <f t="shared" si="19"/>
        <v>105</v>
      </c>
      <c r="D116">
        <f t="shared" ca="1" si="11"/>
        <v>4</v>
      </c>
      <c r="E116" s="2">
        <f t="shared" ca="1" si="15"/>
        <v>460.7205548719553</v>
      </c>
      <c r="F116" s="2">
        <f t="shared" ca="1" si="18"/>
        <v>0</v>
      </c>
      <c r="G116" s="2">
        <f t="shared" ca="1" si="16"/>
        <v>460.7205548719553</v>
      </c>
      <c r="H116" s="2">
        <f t="shared" ca="1" si="12"/>
        <v>0.23982713815252468</v>
      </c>
      <c r="I116" s="2">
        <f t="shared" ca="1" si="13"/>
        <v>0</v>
      </c>
    </row>
    <row r="117" spans="2:9" x14ac:dyDescent="0.2">
      <c r="B117" s="4">
        <f t="shared" ca="1" si="19"/>
        <v>44154</v>
      </c>
      <c r="C117">
        <f t="shared" si="19"/>
        <v>106</v>
      </c>
      <c r="D117">
        <f t="shared" ca="1" si="11"/>
        <v>5</v>
      </c>
      <c r="E117" s="2">
        <f t="shared" ca="1" si="15"/>
        <v>460.96038201010782</v>
      </c>
      <c r="F117" s="2">
        <f t="shared" ca="1" si="18"/>
        <v>0</v>
      </c>
      <c r="G117" s="2">
        <f t="shared" ca="1" si="16"/>
        <v>460.96038201010782</v>
      </c>
      <c r="H117" s="2">
        <f t="shared" ca="1" si="12"/>
        <v>0.23995197967649448</v>
      </c>
      <c r="I117" s="2">
        <f t="shared" ca="1" si="13"/>
        <v>0</v>
      </c>
    </row>
    <row r="118" spans="2:9" x14ac:dyDescent="0.2">
      <c r="B118" s="4">
        <f t="shared" ca="1" si="19"/>
        <v>44155</v>
      </c>
      <c r="C118">
        <f t="shared" si="19"/>
        <v>107</v>
      </c>
      <c r="D118">
        <f t="shared" ca="1" si="11"/>
        <v>6</v>
      </c>
      <c r="E118" s="2">
        <f t="shared" ca="1" si="15"/>
        <v>461.20033398978433</v>
      </c>
      <c r="F118" s="2">
        <f t="shared" ca="1" si="18"/>
        <v>0</v>
      </c>
      <c r="G118" s="2">
        <f t="shared" ca="1" si="16"/>
        <v>461.20033398978433</v>
      </c>
      <c r="H118" s="2">
        <f t="shared" ca="1" si="12"/>
        <v>0.24007688618646306</v>
      </c>
      <c r="I118" s="2">
        <f t="shared" ca="1" si="13"/>
        <v>0</v>
      </c>
    </row>
    <row r="119" spans="2:9" x14ac:dyDescent="0.2">
      <c r="B119" s="4">
        <f t="shared" ca="1" si="19"/>
        <v>44156</v>
      </c>
      <c r="C119">
        <f t="shared" si="19"/>
        <v>108</v>
      </c>
      <c r="D119">
        <f t="shared" ca="1" si="11"/>
        <v>7</v>
      </c>
      <c r="E119" s="2">
        <f t="shared" ca="1" si="15"/>
        <v>461.44041087597077</v>
      </c>
      <c r="F119" s="2">
        <f t="shared" ca="1" si="18"/>
        <v>0</v>
      </c>
      <c r="G119" s="2">
        <f t="shared" ca="1" si="16"/>
        <v>461.44041087597077</v>
      </c>
      <c r="H119" s="2">
        <f t="shared" ca="1" si="12"/>
        <v>0.24020185771625877</v>
      </c>
      <c r="I119" s="2">
        <f t="shared" ca="1" si="13"/>
        <v>20</v>
      </c>
    </row>
    <row r="120" spans="2:9" x14ac:dyDescent="0.2">
      <c r="B120" s="4">
        <f t="shared" ca="1" si="19"/>
        <v>44157</v>
      </c>
      <c r="C120">
        <f t="shared" si="19"/>
        <v>109</v>
      </c>
      <c r="D120">
        <f t="shared" ca="1" si="11"/>
        <v>1</v>
      </c>
      <c r="E120" s="2">
        <f t="shared" ca="1" si="15"/>
        <v>481.68061273368704</v>
      </c>
      <c r="F120" s="2">
        <f t="shared" ca="1" si="18"/>
        <v>0</v>
      </c>
      <c r="G120" s="2">
        <f t="shared" ca="1" si="16"/>
        <v>481.68061273368704</v>
      </c>
      <c r="H120" s="2">
        <f t="shared" ca="1" si="12"/>
        <v>0.25073785320383707</v>
      </c>
      <c r="I120" s="2">
        <f t="shared" ca="1" si="13"/>
        <v>0</v>
      </c>
    </row>
    <row r="121" spans="2:9" x14ac:dyDescent="0.2">
      <c r="B121" s="4">
        <f t="shared" ca="1" si="19"/>
        <v>44158</v>
      </c>
      <c r="C121">
        <f t="shared" si="19"/>
        <v>110</v>
      </c>
      <c r="D121">
        <f t="shared" ca="1" si="11"/>
        <v>2</v>
      </c>
      <c r="E121" s="2">
        <f t="shared" ca="1" si="15"/>
        <v>481.93135058689086</v>
      </c>
      <c r="F121" s="2">
        <f t="shared" ca="1" si="18"/>
        <v>0</v>
      </c>
      <c r="G121" s="2">
        <f t="shared" ca="1" si="16"/>
        <v>481.93135058689086</v>
      </c>
      <c r="H121" s="2">
        <f t="shared" ca="1" si="12"/>
        <v>0.2508683742781076</v>
      </c>
      <c r="I121" s="2">
        <f t="shared" ca="1" si="13"/>
        <v>0</v>
      </c>
    </row>
    <row r="122" spans="2:9" x14ac:dyDescent="0.2">
      <c r="B122" s="4">
        <f t="shared" ca="1" si="19"/>
        <v>44159</v>
      </c>
      <c r="C122">
        <f t="shared" si="19"/>
        <v>111</v>
      </c>
      <c r="D122">
        <f t="shared" ca="1" si="11"/>
        <v>3</v>
      </c>
      <c r="E122" s="2">
        <f t="shared" ca="1" si="15"/>
        <v>482.18221896116899</v>
      </c>
      <c r="F122" s="2">
        <f t="shared" ca="1" si="18"/>
        <v>0</v>
      </c>
      <c r="G122" s="2">
        <f t="shared" ca="1" si="16"/>
        <v>482.18221896116899</v>
      </c>
      <c r="H122" s="2">
        <f t="shared" ca="1" si="12"/>
        <v>0.2509989632948551</v>
      </c>
      <c r="I122" s="2">
        <f t="shared" ca="1" si="13"/>
        <v>0</v>
      </c>
    </row>
    <row r="123" spans="2:9" x14ac:dyDescent="0.2">
      <c r="B123" s="4">
        <f t="shared" ca="1" si="19"/>
        <v>44160</v>
      </c>
      <c r="C123">
        <f t="shared" si="19"/>
        <v>112</v>
      </c>
      <c r="D123">
        <f t="shared" ca="1" si="11"/>
        <v>4</v>
      </c>
      <c r="E123" s="2">
        <f t="shared" ca="1" si="15"/>
        <v>482.43321792446386</v>
      </c>
      <c r="F123" s="2">
        <f t="shared" ca="1" si="18"/>
        <v>0</v>
      </c>
      <c r="G123" s="2">
        <f t="shared" ca="1" si="16"/>
        <v>482.43321792446386</v>
      </c>
      <c r="H123" s="2">
        <f t="shared" ca="1" si="12"/>
        <v>0.25112962028944696</v>
      </c>
      <c r="I123" s="2">
        <f t="shared" ca="1" si="13"/>
        <v>0</v>
      </c>
    </row>
    <row r="124" spans="2:9" x14ac:dyDescent="0.2">
      <c r="B124" s="4">
        <f t="shared" ca="1" si="19"/>
        <v>44161</v>
      </c>
      <c r="C124">
        <f t="shared" si="19"/>
        <v>113</v>
      </c>
      <c r="D124">
        <f t="shared" ca="1" si="11"/>
        <v>5</v>
      </c>
      <c r="E124" s="2">
        <f t="shared" ca="1" si="15"/>
        <v>482.68434754475328</v>
      </c>
      <c r="F124" s="2">
        <f t="shared" ca="1" si="18"/>
        <v>0</v>
      </c>
      <c r="G124" s="2">
        <f t="shared" ca="1" si="16"/>
        <v>482.68434754475328</v>
      </c>
      <c r="H124" s="2">
        <f t="shared" ca="1" si="12"/>
        <v>0.25126034529726882</v>
      </c>
      <c r="I124" s="2">
        <f t="shared" ca="1" si="13"/>
        <v>0</v>
      </c>
    </row>
    <row r="125" spans="2:9" x14ac:dyDescent="0.2">
      <c r="B125" s="4">
        <f t="shared" ref="B125:C140" ca="1" si="20">B124+1</f>
        <v>44162</v>
      </c>
      <c r="C125">
        <f t="shared" si="20"/>
        <v>114</v>
      </c>
      <c r="D125">
        <f t="shared" ca="1" si="11"/>
        <v>6</v>
      </c>
      <c r="E125" s="2">
        <f t="shared" ca="1" si="15"/>
        <v>482.93560789005056</v>
      </c>
      <c r="F125" s="2">
        <f t="shared" ca="1" si="18"/>
        <v>0</v>
      </c>
      <c r="G125" s="2">
        <f t="shared" ca="1" si="16"/>
        <v>482.93560789005056</v>
      </c>
      <c r="H125" s="2">
        <f t="shared" ca="1" si="12"/>
        <v>0.25139113835372495</v>
      </c>
      <c r="I125" s="2">
        <f t="shared" ca="1" si="13"/>
        <v>0</v>
      </c>
    </row>
    <row r="126" spans="2:9" x14ac:dyDescent="0.2">
      <c r="B126" s="4">
        <f t="shared" ca="1" si="20"/>
        <v>44163</v>
      </c>
      <c r="C126">
        <f t="shared" si="20"/>
        <v>115</v>
      </c>
      <c r="D126">
        <f t="shared" ca="1" si="11"/>
        <v>7</v>
      </c>
      <c r="E126" s="2">
        <f t="shared" ca="1" si="15"/>
        <v>483.18699902840427</v>
      </c>
      <c r="F126" s="2">
        <f t="shared" ca="1" si="18"/>
        <v>0</v>
      </c>
      <c r="G126" s="2">
        <f t="shared" ca="1" si="16"/>
        <v>483.18699902840427</v>
      </c>
      <c r="H126" s="2">
        <f t="shared" ca="1" si="12"/>
        <v>0.25152199949423781</v>
      </c>
      <c r="I126" s="2">
        <f t="shared" ca="1" si="13"/>
        <v>20</v>
      </c>
    </row>
    <row r="127" spans="2:9" x14ac:dyDescent="0.2">
      <c r="B127" s="4">
        <f t="shared" ca="1" si="20"/>
        <v>44164</v>
      </c>
      <c r="C127">
        <f t="shared" si="20"/>
        <v>116</v>
      </c>
      <c r="D127">
        <f t="shared" ca="1" si="11"/>
        <v>1</v>
      </c>
      <c r="E127" s="2">
        <f t="shared" ca="1" si="15"/>
        <v>503.4385210278985</v>
      </c>
      <c r="F127" s="2">
        <f t="shared" ca="1" si="18"/>
        <v>0</v>
      </c>
      <c r="G127" s="2">
        <f t="shared" ca="1" si="16"/>
        <v>503.4385210278985</v>
      </c>
      <c r="H127" s="2">
        <f t="shared" ca="1" si="12"/>
        <v>0.26206388765835814</v>
      </c>
      <c r="I127" s="2">
        <f t="shared" ca="1" si="13"/>
        <v>0</v>
      </c>
    </row>
    <row r="128" spans="2:9" x14ac:dyDescent="0.2">
      <c r="B128" s="4">
        <f t="shared" ca="1" si="20"/>
        <v>44165</v>
      </c>
      <c r="C128">
        <f t="shared" si="20"/>
        <v>117</v>
      </c>
      <c r="D128">
        <f t="shared" ca="1" si="11"/>
        <v>2</v>
      </c>
      <c r="E128" s="2">
        <f t="shared" ca="1" si="15"/>
        <v>503.70058491555687</v>
      </c>
      <c r="F128" s="2">
        <f t="shared" ca="1" si="18"/>
        <v>0</v>
      </c>
      <c r="G128" s="2">
        <f t="shared" ca="1" si="16"/>
        <v>503.70058491555687</v>
      </c>
      <c r="H128" s="2">
        <f t="shared" ca="1" si="12"/>
        <v>0.26220030447659126</v>
      </c>
      <c r="I128" s="2">
        <f t="shared" ca="1" si="13"/>
        <v>0</v>
      </c>
    </row>
    <row r="129" spans="2:9" x14ac:dyDescent="0.2">
      <c r="B129" s="4">
        <f t="shared" ca="1" si="20"/>
        <v>44166</v>
      </c>
      <c r="C129">
        <f t="shared" si="20"/>
        <v>118</v>
      </c>
      <c r="D129">
        <f t="shared" ca="1" si="11"/>
        <v>3</v>
      </c>
      <c r="E129" s="2">
        <f t="shared" ca="1" si="15"/>
        <v>503.96278522003348</v>
      </c>
      <c r="F129" s="2">
        <f t="shared" ca="1" si="18"/>
        <v>0</v>
      </c>
      <c r="G129" s="2">
        <f t="shared" ca="1" si="16"/>
        <v>503.96278522003348</v>
      </c>
      <c r="H129" s="2">
        <f t="shared" ca="1" si="12"/>
        <v>0.26233679230631879</v>
      </c>
      <c r="I129" s="2">
        <f t="shared" ca="1" si="13"/>
        <v>0</v>
      </c>
    </row>
    <row r="130" spans="2:9" x14ac:dyDescent="0.2">
      <c r="B130" s="4">
        <f t="shared" ca="1" si="20"/>
        <v>44167</v>
      </c>
      <c r="C130">
        <f t="shared" si="20"/>
        <v>119</v>
      </c>
      <c r="D130">
        <f t="shared" ca="1" si="11"/>
        <v>4</v>
      </c>
      <c r="E130" s="2">
        <f t="shared" ca="1" si="15"/>
        <v>504.2251220123398</v>
      </c>
      <c r="F130" s="2">
        <f t="shared" ca="1" si="18"/>
        <v>0</v>
      </c>
      <c r="G130" s="2">
        <f t="shared" ca="1" si="16"/>
        <v>504.2251220123398</v>
      </c>
      <c r="H130" s="2">
        <f t="shared" ca="1" si="12"/>
        <v>0.26247335118450565</v>
      </c>
      <c r="I130" s="2">
        <f t="shared" ca="1" si="13"/>
        <v>0</v>
      </c>
    </row>
    <row r="131" spans="2:9" x14ac:dyDescent="0.2">
      <c r="B131" s="4">
        <f t="shared" ca="1" si="20"/>
        <v>44168</v>
      </c>
      <c r="C131">
        <f t="shared" si="20"/>
        <v>120</v>
      </c>
      <c r="D131">
        <f t="shared" ca="1" si="11"/>
        <v>5</v>
      </c>
      <c r="E131" s="2">
        <f t="shared" ca="1" si="15"/>
        <v>504.48759536352429</v>
      </c>
      <c r="F131" s="2">
        <f t="shared" ca="1" si="18"/>
        <v>0</v>
      </c>
      <c r="G131" s="2">
        <f t="shared" ca="1" si="16"/>
        <v>504.48759536352429</v>
      </c>
      <c r="H131" s="2">
        <f t="shared" ca="1" si="12"/>
        <v>0.26260998114813594</v>
      </c>
      <c r="I131" s="2">
        <f t="shared" ca="1" si="13"/>
        <v>0</v>
      </c>
    </row>
    <row r="132" spans="2:9" x14ac:dyDescent="0.2">
      <c r="B132" s="4">
        <f t="shared" ca="1" si="20"/>
        <v>44169</v>
      </c>
      <c r="C132">
        <f t="shared" si="20"/>
        <v>121</v>
      </c>
      <c r="D132">
        <f t="shared" ca="1" si="11"/>
        <v>6</v>
      </c>
      <c r="E132" s="2">
        <f t="shared" ca="1" si="15"/>
        <v>504.75020534467245</v>
      </c>
      <c r="F132" s="2">
        <f t="shared" ca="1" si="18"/>
        <v>0</v>
      </c>
      <c r="G132" s="2">
        <f t="shared" ca="1" si="16"/>
        <v>504.75020534467245</v>
      </c>
      <c r="H132" s="2">
        <f t="shared" ca="1" si="12"/>
        <v>0.26274668223421305</v>
      </c>
      <c r="I132" s="2">
        <f t="shared" ca="1" si="13"/>
        <v>0</v>
      </c>
    </row>
    <row r="133" spans="2:9" x14ac:dyDescent="0.2">
      <c r="B133" s="4">
        <f t="shared" ca="1" si="20"/>
        <v>44170</v>
      </c>
      <c r="C133">
        <f t="shared" si="20"/>
        <v>122</v>
      </c>
      <c r="D133">
        <f t="shared" ca="1" si="11"/>
        <v>7</v>
      </c>
      <c r="E133" s="2">
        <f t="shared" ca="1" si="15"/>
        <v>505.01295202690665</v>
      </c>
      <c r="F133" s="2">
        <f t="shared" ca="1" si="18"/>
        <v>294.44386588802428</v>
      </c>
      <c r="G133" s="2">
        <f t="shared" ca="1" si="16"/>
        <v>210.56908613888237</v>
      </c>
      <c r="H133" s="2">
        <f t="shared" ca="1" si="12"/>
        <v>0.10961130511339082</v>
      </c>
      <c r="I133" s="2">
        <f t="shared" ca="1" si="13"/>
        <v>20</v>
      </c>
    </row>
    <row r="134" spans="2:9" x14ac:dyDescent="0.2">
      <c r="B134" s="4">
        <f t="shared" ca="1" si="20"/>
        <v>44171</v>
      </c>
      <c r="C134">
        <f t="shared" si="20"/>
        <v>123</v>
      </c>
      <c r="D134">
        <f t="shared" ca="1" si="11"/>
        <v>1</v>
      </c>
      <c r="E134" s="2">
        <f t="shared" ca="1" si="15"/>
        <v>230.67869744399576</v>
      </c>
      <c r="F134" s="2">
        <f t="shared" ca="1" si="18"/>
        <v>0</v>
      </c>
      <c r="G134" s="2">
        <f t="shared" ca="1" si="16"/>
        <v>230.67869744399576</v>
      </c>
      <c r="H134" s="2">
        <f t="shared" ca="1" si="12"/>
        <v>0.12007932195714847</v>
      </c>
      <c r="I134" s="2">
        <f t="shared" ca="1" si="13"/>
        <v>0</v>
      </c>
    </row>
    <row r="135" spans="2:9" x14ac:dyDescent="0.2">
      <c r="B135" s="4">
        <f t="shared" ca="1" si="20"/>
        <v>44172</v>
      </c>
      <c r="C135">
        <f t="shared" si="20"/>
        <v>124</v>
      </c>
      <c r="D135">
        <f t="shared" ca="1" si="11"/>
        <v>2</v>
      </c>
      <c r="E135" s="2">
        <f t="shared" ca="1" si="15"/>
        <v>230.79877676595291</v>
      </c>
      <c r="F135" s="2">
        <f t="shared" ca="1" si="18"/>
        <v>0</v>
      </c>
      <c r="G135" s="2">
        <f t="shared" ca="1" si="16"/>
        <v>230.79877676595291</v>
      </c>
      <c r="H135" s="2">
        <f t="shared" ca="1" si="12"/>
        <v>0.12014182900145493</v>
      </c>
      <c r="I135" s="2">
        <f t="shared" ca="1" si="13"/>
        <v>0</v>
      </c>
    </row>
    <row r="136" spans="2:9" x14ac:dyDescent="0.2">
      <c r="B136" s="4">
        <f t="shared" ca="1" si="20"/>
        <v>44173</v>
      </c>
      <c r="C136">
        <f t="shared" si="20"/>
        <v>125</v>
      </c>
      <c r="D136">
        <f t="shared" ca="1" si="11"/>
        <v>3</v>
      </c>
      <c r="E136" s="2">
        <f t="shared" ca="1" si="15"/>
        <v>230.91891859495436</v>
      </c>
      <c r="F136" s="2">
        <f t="shared" ca="1" si="18"/>
        <v>0</v>
      </c>
      <c r="G136" s="2">
        <f t="shared" ca="1" si="16"/>
        <v>230.91891859495436</v>
      </c>
      <c r="H136" s="2">
        <f t="shared" ca="1" si="12"/>
        <v>0.12020436858367488</v>
      </c>
      <c r="I136" s="2">
        <f t="shared" ca="1" si="13"/>
        <v>0</v>
      </c>
    </row>
    <row r="137" spans="2:9" x14ac:dyDescent="0.2">
      <c r="B137" s="4">
        <f t="shared" ca="1" si="20"/>
        <v>44174</v>
      </c>
      <c r="C137">
        <f t="shared" si="20"/>
        <v>126</v>
      </c>
      <c r="D137">
        <f t="shared" ca="1" si="11"/>
        <v>4</v>
      </c>
      <c r="E137" s="2">
        <f t="shared" ca="1" si="15"/>
        <v>231.03912296353803</v>
      </c>
      <c r="F137" s="2">
        <f t="shared" ca="1" si="18"/>
        <v>0</v>
      </c>
      <c r="G137" s="2">
        <f t="shared" ca="1" si="16"/>
        <v>231.03912296353803</v>
      </c>
      <c r="H137" s="2">
        <f t="shared" ca="1" si="12"/>
        <v>0.12026694072074581</v>
      </c>
      <c r="I137" s="2">
        <f t="shared" ca="1" si="13"/>
        <v>0</v>
      </c>
    </row>
    <row r="138" spans="2:9" x14ac:dyDescent="0.2">
      <c r="B138" s="4">
        <f t="shared" ca="1" si="20"/>
        <v>44175</v>
      </c>
      <c r="C138">
        <f t="shared" si="20"/>
        <v>127</v>
      </c>
      <c r="D138">
        <f t="shared" ca="1" si="11"/>
        <v>5</v>
      </c>
      <c r="E138" s="2">
        <f t="shared" ca="1" si="15"/>
        <v>231.15938990425877</v>
      </c>
      <c r="F138" s="2">
        <f t="shared" ca="1" si="18"/>
        <v>0</v>
      </c>
      <c r="G138" s="2">
        <f t="shared" ca="1" si="16"/>
        <v>231.15938990425877</v>
      </c>
      <c r="H138" s="2">
        <f t="shared" ca="1" si="12"/>
        <v>0.12032954542961415</v>
      </c>
      <c r="I138" s="2">
        <f t="shared" ca="1" si="13"/>
        <v>0</v>
      </c>
    </row>
    <row r="139" spans="2:9" x14ac:dyDescent="0.2">
      <c r="B139" s="4">
        <f t="shared" ca="1" si="20"/>
        <v>44176</v>
      </c>
      <c r="C139">
        <f t="shared" si="20"/>
        <v>128</v>
      </c>
      <c r="D139">
        <f t="shared" ca="1" si="11"/>
        <v>6</v>
      </c>
      <c r="E139" s="2">
        <f t="shared" ca="1" si="15"/>
        <v>231.2797194496884</v>
      </c>
      <c r="F139" s="2">
        <f t="shared" ca="1" si="18"/>
        <v>0</v>
      </c>
      <c r="G139" s="2">
        <f t="shared" ca="1" si="16"/>
        <v>231.2797194496884</v>
      </c>
      <c r="H139" s="2">
        <f t="shared" ca="1" si="12"/>
        <v>0.12039218272723505</v>
      </c>
      <c r="I139" s="2">
        <f t="shared" ca="1" si="13"/>
        <v>0</v>
      </c>
    </row>
    <row r="140" spans="2:9" x14ac:dyDescent="0.2">
      <c r="B140" s="4">
        <f t="shared" ca="1" si="20"/>
        <v>44177</v>
      </c>
      <c r="C140">
        <f t="shared" si="20"/>
        <v>129</v>
      </c>
      <c r="D140">
        <f t="shared" ref="D140:D203" ca="1" si="21">WEEKDAY(B140,1)</f>
        <v>7</v>
      </c>
      <c r="E140" s="2">
        <f t="shared" ca="1" si="15"/>
        <v>231.40011163241564</v>
      </c>
      <c r="F140" s="2">
        <f t="shared" ca="1" si="18"/>
        <v>0</v>
      </c>
      <c r="G140" s="2">
        <f t="shared" ca="1" si="16"/>
        <v>231.40011163241564</v>
      </c>
      <c r="H140" s="2">
        <f t="shared" ref="H140:H203" ca="1" si="22">IF(C140&gt;$C$7,0,(G140)*$C$5/365)</f>
        <v>0.12045485263057253</v>
      </c>
      <c r="I140" s="2">
        <f t="shared" ref="I140:I203" ca="1" si="23">IF(AND(C140=0,D140=7),$C$6,IF(C140=$C$7,0,IF(C140&lt;$C$7,IF(D140=7,$C$6,0),0)))</f>
        <v>20</v>
      </c>
    </row>
    <row r="141" spans="2:9" x14ac:dyDescent="0.2">
      <c r="B141" s="4">
        <f t="shared" ref="B141:C156" ca="1" si="24">B140+1</f>
        <v>44178</v>
      </c>
      <c r="C141">
        <f t="shared" si="24"/>
        <v>130</v>
      </c>
      <c r="D141">
        <f t="shared" ca="1" si="21"/>
        <v>1</v>
      </c>
      <c r="E141" s="2">
        <f t="shared" ref="E141:E204" ca="1" si="25">IF(C141&gt;$C$7,0,G140+H140+I140)</f>
        <v>251.5205664850462</v>
      </c>
      <c r="F141" s="2">
        <f t="shared" ca="1" si="18"/>
        <v>0</v>
      </c>
      <c r="G141" s="2">
        <f t="shared" ref="G141:G204" ca="1" si="26">IF(C141&gt;$C$7,G140,E141-F141)</f>
        <v>251.5205664850462</v>
      </c>
      <c r="H141" s="2">
        <f t="shared" ca="1" si="22"/>
        <v>0.13092851406070899</v>
      </c>
      <c r="I141" s="2">
        <f t="shared" ca="1" si="23"/>
        <v>0</v>
      </c>
    </row>
    <row r="142" spans="2:9" x14ac:dyDescent="0.2">
      <c r="B142" s="4">
        <f t="shared" ca="1" si="24"/>
        <v>44179</v>
      </c>
      <c r="C142">
        <f t="shared" si="24"/>
        <v>131</v>
      </c>
      <c r="D142">
        <f t="shared" ca="1" si="21"/>
        <v>2</v>
      </c>
      <c r="E142" s="2">
        <f t="shared" ca="1" si="25"/>
        <v>251.65149499910692</v>
      </c>
      <c r="F142" s="2">
        <f t="shared" ca="1" si="18"/>
        <v>0</v>
      </c>
      <c r="G142" s="2">
        <f t="shared" ca="1" si="26"/>
        <v>251.65149499910692</v>
      </c>
      <c r="H142" s="2">
        <f t="shared" ca="1" si="22"/>
        <v>0.1309966686296721</v>
      </c>
      <c r="I142" s="2">
        <f t="shared" ca="1" si="23"/>
        <v>0</v>
      </c>
    </row>
    <row r="143" spans="2:9" x14ac:dyDescent="0.2">
      <c r="B143" s="4">
        <f t="shared" ca="1" si="24"/>
        <v>44180</v>
      </c>
      <c r="C143">
        <f t="shared" si="24"/>
        <v>132</v>
      </c>
      <c r="D143">
        <f t="shared" ca="1" si="21"/>
        <v>3</v>
      </c>
      <c r="E143" s="2">
        <f t="shared" ca="1" si="25"/>
        <v>251.78249166773659</v>
      </c>
      <c r="F143" s="2">
        <f t="shared" ca="1" si="18"/>
        <v>0</v>
      </c>
      <c r="G143" s="2">
        <f t="shared" ca="1" si="26"/>
        <v>251.78249166773659</v>
      </c>
      <c r="H143" s="2">
        <f t="shared" ca="1" si="22"/>
        <v>0.13106485867635603</v>
      </c>
      <c r="I143" s="2">
        <f t="shared" ca="1" si="23"/>
        <v>0</v>
      </c>
    </row>
    <row r="144" spans="2:9" x14ac:dyDescent="0.2">
      <c r="B144" s="4">
        <f t="shared" ca="1" si="24"/>
        <v>44181</v>
      </c>
      <c r="C144">
        <f t="shared" si="24"/>
        <v>133</v>
      </c>
      <c r="D144">
        <f t="shared" ca="1" si="21"/>
        <v>4</v>
      </c>
      <c r="E144" s="2">
        <f t="shared" ca="1" si="25"/>
        <v>251.91355652641295</v>
      </c>
      <c r="F144" s="2">
        <f t="shared" ca="1" si="18"/>
        <v>0</v>
      </c>
      <c r="G144" s="2">
        <f t="shared" ca="1" si="26"/>
        <v>251.91355652641295</v>
      </c>
      <c r="H144" s="2">
        <f t="shared" ca="1" si="22"/>
        <v>0.13113308421922867</v>
      </c>
      <c r="I144" s="2">
        <f t="shared" ca="1" si="23"/>
        <v>0</v>
      </c>
    </row>
    <row r="145" spans="2:9" x14ac:dyDescent="0.2">
      <c r="B145" s="4">
        <f t="shared" ca="1" si="24"/>
        <v>44182</v>
      </c>
      <c r="C145">
        <f t="shared" si="24"/>
        <v>134</v>
      </c>
      <c r="D145">
        <f t="shared" ca="1" si="21"/>
        <v>5</v>
      </c>
      <c r="E145" s="2">
        <f t="shared" ca="1" si="25"/>
        <v>252.04468961063216</v>
      </c>
      <c r="F145" s="2">
        <f t="shared" ca="1" si="18"/>
        <v>0</v>
      </c>
      <c r="G145" s="2">
        <f t="shared" ca="1" si="26"/>
        <v>252.04468961063216</v>
      </c>
      <c r="H145" s="2">
        <f t="shared" ca="1" si="22"/>
        <v>0.13120134527676744</v>
      </c>
      <c r="I145" s="2">
        <f t="shared" ca="1" si="23"/>
        <v>0</v>
      </c>
    </row>
    <row r="146" spans="2:9" x14ac:dyDescent="0.2">
      <c r="B146" s="4">
        <f t="shared" ca="1" si="24"/>
        <v>44183</v>
      </c>
      <c r="C146">
        <f t="shared" si="24"/>
        <v>135</v>
      </c>
      <c r="D146">
        <f t="shared" ca="1" si="21"/>
        <v>6</v>
      </c>
      <c r="E146" s="2">
        <f t="shared" ca="1" si="25"/>
        <v>252.17589095590893</v>
      </c>
      <c r="F146" s="2">
        <f t="shared" ca="1" si="18"/>
        <v>0</v>
      </c>
      <c r="G146" s="2">
        <f t="shared" ca="1" si="26"/>
        <v>252.17589095590893</v>
      </c>
      <c r="H146" s="2">
        <f t="shared" ca="1" si="22"/>
        <v>0.13126964186745943</v>
      </c>
      <c r="I146" s="2">
        <f t="shared" ca="1" si="23"/>
        <v>0</v>
      </c>
    </row>
    <row r="147" spans="2:9" x14ac:dyDescent="0.2">
      <c r="B147" s="4">
        <f t="shared" ca="1" si="24"/>
        <v>44184</v>
      </c>
      <c r="C147">
        <f t="shared" si="24"/>
        <v>136</v>
      </c>
      <c r="D147">
        <f t="shared" ca="1" si="21"/>
        <v>7</v>
      </c>
      <c r="E147" s="2">
        <f t="shared" ca="1" si="25"/>
        <v>252.30716059777637</v>
      </c>
      <c r="F147" s="2">
        <f t="shared" ca="1" si="18"/>
        <v>0</v>
      </c>
      <c r="G147" s="2">
        <f t="shared" ca="1" si="26"/>
        <v>252.30716059777637</v>
      </c>
      <c r="H147" s="2">
        <f t="shared" ca="1" si="22"/>
        <v>0.13133797400980141</v>
      </c>
      <c r="I147" s="2">
        <f t="shared" ca="1" si="23"/>
        <v>20</v>
      </c>
    </row>
    <row r="148" spans="2:9" x14ac:dyDescent="0.2">
      <c r="B148" s="4">
        <f t="shared" ca="1" si="24"/>
        <v>44185</v>
      </c>
      <c r="C148">
        <f t="shared" si="24"/>
        <v>137</v>
      </c>
      <c r="D148">
        <f t="shared" ca="1" si="21"/>
        <v>1</v>
      </c>
      <c r="E148" s="2">
        <f t="shared" ca="1" si="25"/>
        <v>272.43849857178617</v>
      </c>
      <c r="F148" s="2">
        <f t="shared" ca="1" si="18"/>
        <v>0</v>
      </c>
      <c r="G148" s="2">
        <f t="shared" ca="1" si="26"/>
        <v>272.43849857178617</v>
      </c>
      <c r="H148" s="2">
        <f t="shared" ca="1" si="22"/>
        <v>0.14181730062640924</v>
      </c>
      <c r="I148" s="2">
        <f t="shared" ca="1" si="23"/>
        <v>0</v>
      </c>
    </row>
    <row r="149" spans="2:9" x14ac:dyDescent="0.2">
      <c r="B149" s="4">
        <f t="shared" ca="1" si="24"/>
        <v>44186</v>
      </c>
      <c r="C149">
        <f t="shared" si="24"/>
        <v>138</v>
      </c>
      <c r="D149">
        <f t="shared" ca="1" si="21"/>
        <v>2</v>
      </c>
      <c r="E149" s="2">
        <f t="shared" ca="1" si="25"/>
        <v>272.5803158724126</v>
      </c>
      <c r="F149" s="2">
        <f t="shared" ca="1" si="18"/>
        <v>0</v>
      </c>
      <c r="G149" s="2">
        <f t="shared" ca="1" si="26"/>
        <v>272.5803158724126</v>
      </c>
      <c r="H149" s="2">
        <f t="shared" ca="1" si="22"/>
        <v>0.14189112333084491</v>
      </c>
      <c r="I149" s="2">
        <f t="shared" ca="1" si="23"/>
        <v>0</v>
      </c>
    </row>
    <row r="150" spans="2:9" x14ac:dyDescent="0.2">
      <c r="B150" s="4">
        <f t="shared" ca="1" si="24"/>
        <v>44187</v>
      </c>
      <c r="C150">
        <f t="shared" si="24"/>
        <v>139</v>
      </c>
      <c r="D150">
        <f t="shared" ca="1" si="21"/>
        <v>3</v>
      </c>
      <c r="E150" s="2">
        <f t="shared" ca="1" si="25"/>
        <v>272.72220699574342</v>
      </c>
      <c r="F150" s="2">
        <f t="shared" ca="1" si="18"/>
        <v>0</v>
      </c>
      <c r="G150" s="2">
        <f t="shared" ca="1" si="26"/>
        <v>272.72220699574342</v>
      </c>
      <c r="H150" s="2">
        <f t="shared" ca="1" si="22"/>
        <v>0.14196498446353767</v>
      </c>
      <c r="I150" s="2">
        <f t="shared" ca="1" si="23"/>
        <v>0</v>
      </c>
    </row>
    <row r="151" spans="2:9" x14ac:dyDescent="0.2">
      <c r="B151" s="4">
        <f t="shared" ca="1" si="24"/>
        <v>44188</v>
      </c>
      <c r="C151">
        <f t="shared" si="24"/>
        <v>140</v>
      </c>
      <c r="D151">
        <f t="shared" ca="1" si="21"/>
        <v>4</v>
      </c>
      <c r="E151" s="2">
        <f t="shared" ca="1" si="25"/>
        <v>272.86417198020695</v>
      </c>
      <c r="F151" s="2">
        <f t="shared" ca="1" si="18"/>
        <v>0</v>
      </c>
      <c r="G151" s="2">
        <f t="shared" ca="1" si="26"/>
        <v>272.86417198020695</v>
      </c>
      <c r="H151" s="2">
        <f t="shared" ca="1" si="22"/>
        <v>0.1420388840444913</v>
      </c>
      <c r="I151" s="2">
        <f t="shared" ca="1" si="23"/>
        <v>0</v>
      </c>
    </row>
    <row r="152" spans="2:9" x14ac:dyDescent="0.2">
      <c r="B152" s="4">
        <f t="shared" ca="1" si="24"/>
        <v>44189</v>
      </c>
      <c r="C152">
        <f t="shared" si="24"/>
        <v>141</v>
      </c>
      <c r="D152">
        <f t="shared" ca="1" si="21"/>
        <v>5</v>
      </c>
      <c r="E152" s="2">
        <f t="shared" ca="1" si="25"/>
        <v>273.00621086425144</v>
      </c>
      <c r="F152" s="2">
        <f t="shared" ca="1" si="18"/>
        <v>0</v>
      </c>
      <c r="G152" s="2">
        <f t="shared" ca="1" si="26"/>
        <v>273.00621086425144</v>
      </c>
      <c r="H152" s="2">
        <f t="shared" ca="1" si="22"/>
        <v>0.14211282209371995</v>
      </c>
      <c r="I152" s="2">
        <f t="shared" ca="1" si="23"/>
        <v>0</v>
      </c>
    </row>
    <row r="153" spans="2:9" x14ac:dyDescent="0.2">
      <c r="B153" s="4">
        <f t="shared" ca="1" si="24"/>
        <v>44190</v>
      </c>
      <c r="C153">
        <f t="shared" si="24"/>
        <v>142</v>
      </c>
      <c r="D153">
        <f t="shared" ca="1" si="21"/>
        <v>6</v>
      </c>
      <c r="E153" s="2">
        <f t="shared" ca="1" si="25"/>
        <v>273.14832368634518</v>
      </c>
      <c r="F153" s="2">
        <f t="shared" ca="1" si="18"/>
        <v>0</v>
      </c>
      <c r="G153" s="2">
        <f t="shared" ca="1" si="26"/>
        <v>273.14832368634518</v>
      </c>
      <c r="H153" s="2">
        <f t="shared" ca="1" si="22"/>
        <v>0.14218679863124817</v>
      </c>
      <c r="I153" s="2">
        <f t="shared" ca="1" si="23"/>
        <v>0</v>
      </c>
    </row>
    <row r="154" spans="2:9" x14ac:dyDescent="0.2">
      <c r="B154" s="4">
        <f t="shared" ca="1" si="24"/>
        <v>44191</v>
      </c>
      <c r="C154">
        <f t="shared" si="24"/>
        <v>143</v>
      </c>
      <c r="D154">
        <f t="shared" ca="1" si="21"/>
        <v>7</v>
      </c>
      <c r="E154" s="2">
        <f t="shared" ca="1" si="25"/>
        <v>273.29051048497644</v>
      </c>
      <c r="F154" s="2">
        <f t="shared" ca="1" si="18"/>
        <v>0</v>
      </c>
      <c r="G154" s="2">
        <f t="shared" ca="1" si="26"/>
        <v>273.29051048497644</v>
      </c>
      <c r="H154" s="2">
        <f t="shared" ca="1" si="22"/>
        <v>0.14226081367711102</v>
      </c>
      <c r="I154" s="2">
        <f t="shared" ca="1" si="23"/>
        <v>20</v>
      </c>
    </row>
    <row r="155" spans="2:9" x14ac:dyDescent="0.2">
      <c r="B155" s="4">
        <f t="shared" ca="1" si="24"/>
        <v>44192</v>
      </c>
      <c r="C155">
        <f t="shared" si="24"/>
        <v>144</v>
      </c>
      <c r="D155">
        <f t="shared" ca="1" si="21"/>
        <v>1</v>
      </c>
      <c r="E155" s="2">
        <f t="shared" ca="1" si="25"/>
        <v>293.43277129865356</v>
      </c>
      <c r="F155" s="2">
        <f t="shared" ca="1" si="18"/>
        <v>0</v>
      </c>
      <c r="G155" s="2">
        <f t="shared" ca="1" si="26"/>
        <v>293.43277129865356</v>
      </c>
      <c r="H155" s="2">
        <f t="shared" ca="1" si="22"/>
        <v>0.1527458261554635</v>
      </c>
      <c r="I155" s="2">
        <f t="shared" ca="1" si="23"/>
        <v>0</v>
      </c>
    </row>
    <row r="156" spans="2:9" x14ac:dyDescent="0.2">
      <c r="B156" s="4">
        <f t="shared" ca="1" si="24"/>
        <v>44193</v>
      </c>
      <c r="C156">
        <f t="shared" si="24"/>
        <v>145</v>
      </c>
      <c r="D156">
        <f t="shared" ca="1" si="21"/>
        <v>2</v>
      </c>
      <c r="E156" s="2">
        <f t="shared" ca="1" si="25"/>
        <v>293.58551712480903</v>
      </c>
      <c r="F156" s="2">
        <f t="shared" ca="1" si="18"/>
        <v>0</v>
      </c>
      <c r="G156" s="2">
        <f t="shared" ca="1" si="26"/>
        <v>293.58551712480903</v>
      </c>
      <c r="H156" s="2">
        <f t="shared" ca="1" si="22"/>
        <v>0.15282533768140744</v>
      </c>
      <c r="I156" s="2">
        <f t="shared" ca="1" si="23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1"/>
        <v>3</v>
      </c>
      <c r="E157" s="2">
        <f t="shared" ca="1" si="25"/>
        <v>293.73834246249044</v>
      </c>
      <c r="F157" s="2">
        <f t="shared" ca="1" si="18"/>
        <v>0</v>
      </c>
      <c r="G157" s="2">
        <f t="shared" ca="1" si="26"/>
        <v>293.73834246249044</v>
      </c>
      <c r="H157" s="2">
        <f t="shared" ca="1" si="22"/>
        <v>0.15290489059691281</v>
      </c>
      <c r="I157" s="2">
        <f t="shared" ca="1" si="23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1"/>
        <v>4</v>
      </c>
      <c r="E158" s="2">
        <f t="shared" ca="1" si="25"/>
        <v>293.89124735308735</v>
      </c>
      <c r="F158" s="2">
        <f t="shared" ca="1" si="18"/>
        <v>0</v>
      </c>
      <c r="G158" s="2">
        <f t="shared" ca="1" si="26"/>
        <v>293.89124735308735</v>
      </c>
      <c r="H158" s="2">
        <f t="shared" ca="1" si="22"/>
        <v>0.15298448492352493</v>
      </c>
      <c r="I158" s="2">
        <f t="shared" ca="1" si="23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1"/>
        <v>5</v>
      </c>
      <c r="E159" s="2">
        <f t="shared" ca="1" si="25"/>
        <v>294.04423183801089</v>
      </c>
      <c r="F159" s="2">
        <f t="shared" ca="1" si="18"/>
        <v>0</v>
      </c>
      <c r="G159" s="2">
        <f t="shared" ca="1" si="26"/>
        <v>294.04423183801089</v>
      </c>
      <c r="H159" s="2">
        <f t="shared" ca="1" si="22"/>
        <v>0.1530641206828002</v>
      </c>
      <c r="I159" s="2">
        <f t="shared" ca="1" si="23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1"/>
        <v>6</v>
      </c>
      <c r="E160" s="2">
        <f t="shared" ca="1" si="25"/>
        <v>294.1972959586937</v>
      </c>
      <c r="F160" s="2">
        <f t="shared" ca="1" si="18"/>
        <v>0</v>
      </c>
      <c r="G160" s="2">
        <f t="shared" ca="1" si="26"/>
        <v>294.1972959586937</v>
      </c>
      <c r="H160" s="2">
        <f t="shared" ca="1" si="22"/>
        <v>0.15314379789630631</v>
      </c>
      <c r="I160" s="2">
        <f t="shared" ca="1" si="23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1"/>
        <v>7</v>
      </c>
      <c r="E161" s="2">
        <f t="shared" ca="1" si="25"/>
        <v>294.35043975658999</v>
      </c>
      <c r="F161" s="2">
        <f t="shared" ca="1" si="18"/>
        <v>0</v>
      </c>
      <c r="G161" s="2">
        <f t="shared" ca="1" si="26"/>
        <v>294.35043975658999</v>
      </c>
      <c r="H161" s="2">
        <f t="shared" ca="1" si="22"/>
        <v>0.15322351658562219</v>
      </c>
      <c r="I161" s="2">
        <f t="shared" ca="1" si="23"/>
        <v>20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1"/>
        <v>1</v>
      </c>
      <c r="E162" s="2">
        <f t="shared" ca="1" si="25"/>
        <v>314.50366327317562</v>
      </c>
      <c r="F162" s="2">
        <f t="shared" ca="1" si="18"/>
        <v>0</v>
      </c>
      <c r="G162" s="2">
        <f t="shared" ca="1" si="26"/>
        <v>314.50366327317562</v>
      </c>
      <c r="H162" s="2">
        <f t="shared" ca="1" si="22"/>
        <v>0.16371423567644758</v>
      </c>
      <c r="I162" s="2">
        <f t="shared" ca="1" si="23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1"/>
        <v>2</v>
      </c>
      <c r="E163" s="2">
        <f t="shared" ca="1" si="25"/>
        <v>314.66737750885204</v>
      </c>
      <c r="F163" s="2">
        <f t="shared" ca="1" si="18"/>
        <v>0</v>
      </c>
      <c r="G163" s="2">
        <f t="shared" ca="1" si="26"/>
        <v>314.66737750885204</v>
      </c>
      <c r="H163" s="2">
        <f t="shared" ca="1" si="22"/>
        <v>0.16379945678542981</v>
      </c>
      <c r="I163" s="2">
        <f t="shared" ca="1" si="23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1"/>
        <v>3</v>
      </c>
      <c r="E164" s="2">
        <f t="shared" ca="1" si="25"/>
        <v>314.8311769656375</v>
      </c>
      <c r="F164" s="2">
        <f t="shared" ref="F164:F211" ca="1" si="28">IF(C164&gt;$C$7,0,IF(ROUND(E164,0)&gt;0,IF(C164=0,0,IF(DAY($F$2)&lt;&gt;DAY(B164),0,$C$8)),0))</f>
        <v>294.44386588802428</v>
      </c>
      <c r="G164" s="2">
        <f t="shared" ca="1" si="26"/>
        <v>20.387311077613219</v>
      </c>
      <c r="H164" s="2">
        <f t="shared" ca="1" si="22"/>
        <v>1.0612572889716471E-2</v>
      </c>
      <c r="I164" s="2">
        <f t="shared" ca="1" si="23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1"/>
        <v>4</v>
      </c>
      <c r="E165" s="2">
        <f t="shared" ca="1" si="25"/>
        <v>0</v>
      </c>
      <c r="F165" s="2">
        <f t="shared" ca="1" si="28"/>
        <v>0</v>
      </c>
      <c r="G165" s="2">
        <f t="shared" ca="1" si="26"/>
        <v>20.387311077613219</v>
      </c>
      <c r="H165" s="2">
        <f t="shared" ca="1" si="22"/>
        <v>0</v>
      </c>
      <c r="I165" s="2">
        <f t="shared" ca="1" si="23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1"/>
        <v>5</v>
      </c>
      <c r="E166" s="2">
        <f t="shared" ca="1" si="25"/>
        <v>0</v>
      </c>
      <c r="F166" s="2">
        <f t="shared" ca="1" si="28"/>
        <v>0</v>
      </c>
      <c r="G166" s="2">
        <f t="shared" ca="1" si="26"/>
        <v>20.387311077613219</v>
      </c>
      <c r="H166" s="2">
        <f t="shared" ca="1" si="22"/>
        <v>0</v>
      </c>
      <c r="I166" s="2">
        <f t="shared" ca="1" si="23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1"/>
        <v>6</v>
      </c>
      <c r="E167" s="2">
        <f t="shared" ca="1" si="25"/>
        <v>0</v>
      </c>
      <c r="F167" s="2">
        <f t="shared" ca="1" si="28"/>
        <v>0</v>
      </c>
      <c r="G167" s="2">
        <f t="shared" ca="1" si="26"/>
        <v>20.387311077613219</v>
      </c>
      <c r="H167" s="2">
        <f t="shared" ca="1" si="22"/>
        <v>0</v>
      </c>
      <c r="I167" s="2">
        <f t="shared" ca="1" si="23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1"/>
        <v>7</v>
      </c>
      <c r="E168" s="2">
        <f t="shared" ca="1" si="25"/>
        <v>0</v>
      </c>
      <c r="F168" s="2">
        <f t="shared" ca="1" si="28"/>
        <v>0</v>
      </c>
      <c r="G168" s="2">
        <f t="shared" ca="1" si="26"/>
        <v>20.387311077613219</v>
      </c>
      <c r="H168" s="2">
        <f t="shared" ca="1" si="22"/>
        <v>0</v>
      </c>
      <c r="I168" s="2">
        <f t="shared" ca="1" si="23"/>
        <v>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1"/>
        <v>1</v>
      </c>
      <c r="E169" s="2">
        <f t="shared" ca="1" si="25"/>
        <v>0</v>
      </c>
      <c r="F169" s="2">
        <f t="shared" ca="1" si="28"/>
        <v>0</v>
      </c>
      <c r="G169" s="2">
        <f t="shared" ca="1" si="26"/>
        <v>20.387311077613219</v>
      </c>
      <c r="H169" s="2">
        <f t="shared" ca="1" si="22"/>
        <v>0</v>
      </c>
      <c r="I169" s="2">
        <f t="shared" ca="1" si="23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1"/>
        <v>2</v>
      </c>
      <c r="E170" s="2">
        <f t="shared" ca="1" si="25"/>
        <v>0</v>
      </c>
      <c r="F170" s="2">
        <f t="shared" ca="1" si="28"/>
        <v>0</v>
      </c>
      <c r="G170" s="2">
        <f t="shared" ca="1" si="26"/>
        <v>20.387311077613219</v>
      </c>
      <c r="H170" s="2">
        <f t="shared" ca="1" si="22"/>
        <v>0</v>
      </c>
      <c r="I170" s="2">
        <f t="shared" ca="1" si="23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1"/>
        <v>3</v>
      </c>
      <c r="E171" s="2">
        <f t="shared" ca="1" si="25"/>
        <v>0</v>
      </c>
      <c r="F171" s="2">
        <f t="shared" ca="1" si="28"/>
        <v>0</v>
      </c>
      <c r="G171" s="2">
        <f t="shared" ca="1" si="26"/>
        <v>20.387311077613219</v>
      </c>
      <c r="H171" s="2">
        <f t="shared" ca="1" si="22"/>
        <v>0</v>
      </c>
      <c r="I171" s="2">
        <f t="shared" ca="1" si="23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1"/>
        <v>4</v>
      </c>
      <c r="E172" s="2">
        <f t="shared" ca="1" si="25"/>
        <v>0</v>
      </c>
      <c r="F172" s="2">
        <f t="shared" ca="1" si="28"/>
        <v>0</v>
      </c>
      <c r="G172" s="2">
        <f t="shared" ca="1" si="26"/>
        <v>20.387311077613219</v>
      </c>
      <c r="H172" s="2">
        <f t="shared" ca="1" si="22"/>
        <v>0</v>
      </c>
      <c r="I172" s="2">
        <f t="shared" ca="1" si="23"/>
        <v>0</v>
      </c>
    </row>
    <row r="173" spans="2:9" x14ac:dyDescent="0.2">
      <c r="B173" s="4">
        <f t="shared" ref="B173:C188" ca="1" si="29">B172+1</f>
        <v>44210</v>
      </c>
      <c r="C173">
        <f t="shared" si="29"/>
        <v>162</v>
      </c>
      <c r="D173">
        <f t="shared" ca="1" si="21"/>
        <v>5</v>
      </c>
      <c r="E173" s="2">
        <f t="shared" ca="1" si="25"/>
        <v>0</v>
      </c>
      <c r="F173" s="2">
        <f t="shared" ca="1" si="28"/>
        <v>0</v>
      </c>
      <c r="G173" s="2">
        <f t="shared" ca="1" si="26"/>
        <v>20.387311077613219</v>
      </c>
      <c r="H173" s="2">
        <f t="shared" ca="1" si="22"/>
        <v>0</v>
      </c>
      <c r="I173" s="2">
        <f t="shared" ca="1" si="23"/>
        <v>0</v>
      </c>
    </row>
    <row r="174" spans="2:9" x14ac:dyDescent="0.2">
      <c r="B174" s="4">
        <f t="shared" ca="1" si="29"/>
        <v>44211</v>
      </c>
      <c r="C174">
        <f t="shared" si="29"/>
        <v>163</v>
      </c>
      <c r="D174">
        <f t="shared" ca="1" si="21"/>
        <v>6</v>
      </c>
      <c r="E174" s="2">
        <f t="shared" ca="1" si="25"/>
        <v>0</v>
      </c>
      <c r="F174" s="2">
        <f t="shared" ca="1" si="28"/>
        <v>0</v>
      </c>
      <c r="G174" s="2">
        <f t="shared" ca="1" si="26"/>
        <v>20.387311077613219</v>
      </c>
      <c r="H174" s="2">
        <f t="shared" ca="1" si="22"/>
        <v>0</v>
      </c>
      <c r="I174" s="2">
        <f t="shared" ca="1" si="23"/>
        <v>0</v>
      </c>
    </row>
    <row r="175" spans="2:9" x14ac:dyDescent="0.2">
      <c r="B175" s="4">
        <f t="shared" ca="1" si="29"/>
        <v>44212</v>
      </c>
      <c r="C175">
        <f t="shared" si="29"/>
        <v>164</v>
      </c>
      <c r="D175">
        <f t="shared" ca="1" si="21"/>
        <v>7</v>
      </c>
      <c r="E175" s="2">
        <f t="shared" ca="1" si="25"/>
        <v>0</v>
      </c>
      <c r="F175" s="2">
        <f t="shared" ca="1" si="28"/>
        <v>0</v>
      </c>
      <c r="G175" s="2">
        <f t="shared" ca="1" si="26"/>
        <v>20.387311077613219</v>
      </c>
      <c r="H175" s="2">
        <f t="shared" ca="1" si="22"/>
        <v>0</v>
      </c>
      <c r="I175" s="2">
        <f t="shared" ca="1" si="23"/>
        <v>0</v>
      </c>
    </row>
    <row r="176" spans="2:9" x14ac:dyDescent="0.2">
      <c r="B176" s="4">
        <f t="shared" ca="1" si="29"/>
        <v>44213</v>
      </c>
      <c r="C176">
        <f t="shared" si="29"/>
        <v>165</v>
      </c>
      <c r="D176">
        <f t="shared" ca="1" si="21"/>
        <v>1</v>
      </c>
      <c r="E176" s="2">
        <f t="shared" ca="1" si="25"/>
        <v>0</v>
      </c>
      <c r="F176" s="2">
        <f t="shared" ca="1" si="28"/>
        <v>0</v>
      </c>
      <c r="G176" s="2">
        <f t="shared" ca="1" si="26"/>
        <v>20.387311077613219</v>
      </c>
      <c r="H176" s="2">
        <f t="shared" ca="1" si="22"/>
        <v>0</v>
      </c>
      <c r="I176" s="2">
        <f t="shared" ca="1" si="23"/>
        <v>0</v>
      </c>
    </row>
    <row r="177" spans="2:9" x14ac:dyDescent="0.2">
      <c r="B177" s="4">
        <f t="shared" ca="1" si="29"/>
        <v>44214</v>
      </c>
      <c r="C177">
        <f t="shared" si="29"/>
        <v>166</v>
      </c>
      <c r="D177">
        <f t="shared" ca="1" si="21"/>
        <v>2</v>
      </c>
      <c r="E177" s="2">
        <f t="shared" ca="1" si="25"/>
        <v>0</v>
      </c>
      <c r="F177" s="2">
        <f t="shared" ca="1" si="28"/>
        <v>0</v>
      </c>
      <c r="G177" s="2">
        <f t="shared" ca="1" si="26"/>
        <v>20.387311077613219</v>
      </c>
      <c r="H177" s="2">
        <f t="shared" ca="1" si="22"/>
        <v>0</v>
      </c>
      <c r="I177" s="2">
        <f t="shared" ca="1" si="23"/>
        <v>0</v>
      </c>
    </row>
    <row r="178" spans="2:9" x14ac:dyDescent="0.2">
      <c r="B178" s="4">
        <f t="shared" ca="1" si="29"/>
        <v>44215</v>
      </c>
      <c r="C178">
        <f t="shared" si="29"/>
        <v>167</v>
      </c>
      <c r="D178">
        <f t="shared" ca="1" si="21"/>
        <v>3</v>
      </c>
      <c r="E178" s="2">
        <f t="shared" ca="1" si="25"/>
        <v>0</v>
      </c>
      <c r="F178" s="2">
        <f t="shared" ca="1" si="28"/>
        <v>0</v>
      </c>
      <c r="G178" s="2">
        <f t="shared" ca="1" si="26"/>
        <v>20.387311077613219</v>
      </c>
      <c r="H178" s="2">
        <f t="shared" ca="1" si="22"/>
        <v>0</v>
      </c>
      <c r="I178" s="2">
        <f t="shared" ca="1" si="23"/>
        <v>0</v>
      </c>
    </row>
    <row r="179" spans="2:9" x14ac:dyDescent="0.2">
      <c r="B179" s="4">
        <f t="shared" ca="1" si="29"/>
        <v>44216</v>
      </c>
      <c r="C179">
        <f t="shared" si="29"/>
        <v>168</v>
      </c>
      <c r="D179">
        <f t="shared" ca="1" si="21"/>
        <v>4</v>
      </c>
      <c r="E179" s="2">
        <f t="shared" ca="1" si="25"/>
        <v>0</v>
      </c>
      <c r="F179" s="2">
        <f t="shared" ca="1" si="28"/>
        <v>0</v>
      </c>
      <c r="G179" s="2">
        <f t="shared" ca="1" si="26"/>
        <v>20.387311077613219</v>
      </c>
      <c r="H179" s="2">
        <f t="shared" ca="1" si="22"/>
        <v>0</v>
      </c>
      <c r="I179" s="2">
        <f t="shared" ca="1" si="23"/>
        <v>0</v>
      </c>
    </row>
    <row r="180" spans="2:9" x14ac:dyDescent="0.2">
      <c r="B180" s="4">
        <f t="shared" ca="1" si="29"/>
        <v>44217</v>
      </c>
      <c r="C180">
        <f t="shared" si="29"/>
        <v>169</v>
      </c>
      <c r="D180">
        <f t="shared" ca="1" si="21"/>
        <v>5</v>
      </c>
      <c r="E180" s="2">
        <f t="shared" ca="1" si="25"/>
        <v>0</v>
      </c>
      <c r="F180" s="2">
        <f t="shared" ca="1" si="28"/>
        <v>0</v>
      </c>
      <c r="G180" s="2">
        <f t="shared" ca="1" si="26"/>
        <v>20.387311077613219</v>
      </c>
      <c r="H180" s="2">
        <f t="shared" ca="1" si="22"/>
        <v>0</v>
      </c>
      <c r="I180" s="2">
        <f t="shared" ca="1" si="23"/>
        <v>0</v>
      </c>
    </row>
    <row r="181" spans="2:9" x14ac:dyDescent="0.2">
      <c r="B181" s="4">
        <f t="shared" ca="1" si="29"/>
        <v>44218</v>
      </c>
      <c r="C181">
        <f t="shared" si="29"/>
        <v>170</v>
      </c>
      <c r="D181">
        <f t="shared" ca="1" si="21"/>
        <v>6</v>
      </c>
      <c r="E181" s="2">
        <f t="shared" ca="1" si="25"/>
        <v>0</v>
      </c>
      <c r="F181" s="2">
        <f t="shared" ca="1" si="28"/>
        <v>0</v>
      </c>
      <c r="G181" s="2">
        <f t="shared" ca="1" si="26"/>
        <v>20.387311077613219</v>
      </c>
      <c r="H181" s="2">
        <f t="shared" ca="1" si="22"/>
        <v>0</v>
      </c>
      <c r="I181" s="2">
        <f t="shared" ca="1" si="23"/>
        <v>0</v>
      </c>
    </row>
    <row r="182" spans="2:9" x14ac:dyDescent="0.2">
      <c r="B182" s="4">
        <f t="shared" ca="1" si="29"/>
        <v>44219</v>
      </c>
      <c r="C182">
        <f t="shared" si="29"/>
        <v>171</v>
      </c>
      <c r="D182">
        <f t="shared" ca="1" si="21"/>
        <v>7</v>
      </c>
      <c r="E182" s="2">
        <f t="shared" ca="1" si="25"/>
        <v>0</v>
      </c>
      <c r="F182" s="2">
        <f t="shared" ca="1" si="28"/>
        <v>0</v>
      </c>
      <c r="G182" s="2">
        <f t="shared" ca="1" si="26"/>
        <v>20.387311077613219</v>
      </c>
      <c r="H182" s="2">
        <f t="shared" ca="1" si="22"/>
        <v>0</v>
      </c>
      <c r="I182" s="2">
        <f t="shared" ca="1" si="23"/>
        <v>0</v>
      </c>
    </row>
    <row r="183" spans="2:9" x14ac:dyDescent="0.2">
      <c r="B183" s="4">
        <f t="shared" ca="1" si="29"/>
        <v>44220</v>
      </c>
      <c r="C183">
        <f t="shared" si="29"/>
        <v>172</v>
      </c>
      <c r="D183">
        <f t="shared" ca="1" si="21"/>
        <v>1</v>
      </c>
      <c r="E183" s="2">
        <f t="shared" ca="1" si="25"/>
        <v>0</v>
      </c>
      <c r="F183" s="2">
        <f t="shared" ca="1" si="28"/>
        <v>0</v>
      </c>
      <c r="G183" s="2">
        <f t="shared" ca="1" si="26"/>
        <v>20.387311077613219</v>
      </c>
      <c r="H183" s="2">
        <f t="shared" ca="1" si="22"/>
        <v>0</v>
      </c>
      <c r="I183" s="2">
        <f t="shared" ca="1" si="23"/>
        <v>0</v>
      </c>
    </row>
    <row r="184" spans="2:9" x14ac:dyDescent="0.2">
      <c r="B184" s="4">
        <f t="shared" ca="1" si="29"/>
        <v>44221</v>
      </c>
      <c r="C184">
        <f t="shared" si="29"/>
        <v>173</v>
      </c>
      <c r="D184">
        <f t="shared" ca="1" si="21"/>
        <v>2</v>
      </c>
      <c r="E184" s="2">
        <f t="shared" ca="1" si="25"/>
        <v>0</v>
      </c>
      <c r="F184" s="2">
        <f t="shared" ca="1" si="28"/>
        <v>0</v>
      </c>
      <c r="G184" s="2">
        <f t="shared" ca="1" si="26"/>
        <v>20.387311077613219</v>
      </c>
      <c r="H184" s="2">
        <f t="shared" ca="1" si="22"/>
        <v>0</v>
      </c>
      <c r="I184" s="2">
        <f t="shared" ca="1" si="23"/>
        <v>0</v>
      </c>
    </row>
    <row r="185" spans="2:9" x14ac:dyDescent="0.2">
      <c r="B185" s="4">
        <f t="shared" ca="1" si="29"/>
        <v>44222</v>
      </c>
      <c r="C185">
        <f t="shared" si="29"/>
        <v>174</v>
      </c>
      <c r="D185">
        <f t="shared" ca="1" si="21"/>
        <v>3</v>
      </c>
      <c r="E185" s="2">
        <f t="shared" ca="1" si="25"/>
        <v>0</v>
      </c>
      <c r="F185" s="2">
        <f t="shared" ca="1" si="28"/>
        <v>0</v>
      </c>
      <c r="G185" s="2">
        <f t="shared" ca="1" si="26"/>
        <v>20.387311077613219</v>
      </c>
      <c r="H185" s="2">
        <f t="shared" ca="1" si="22"/>
        <v>0</v>
      </c>
      <c r="I185" s="2">
        <f t="shared" ca="1" si="23"/>
        <v>0</v>
      </c>
    </row>
    <row r="186" spans="2:9" x14ac:dyDescent="0.2">
      <c r="B186" s="4">
        <f t="shared" ca="1" si="29"/>
        <v>44223</v>
      </c>
      <c r="C186">
        <f t="shared" si="29"/>
        <v>175</v>
      </c>
      <c r="D186">
        <f t="shared" ca="1" si="21"/>
        <v>4</v>
      </c>
      <c r="E186" s="2">
        <f t="shared" ca="1" si="25"/>
        <v>0</v>
      </c>
      <c r="F186" s="2">
        <f t="shared" ca="1" si="28"/>
        <v>0</v>
      </c>
      <c r="G186" s="2">
        <f t="shared" ca="1" si="26"/>
        <v>20.387311077613219</v>
      </c>
      <c r="H186" s="2">
        <f t="shared" ca="1" si="22"/>
        <v>0</v>
      </c>
      <c r="I186" s="2">
        <f t="shared" ca="1" si="23"/>
        <v>0</v>
      </c>
    </row>
    <row r="187" spans="2:9" x14ac:dyDescent="0.2">
      <c r="B187" s="4">
        <f t="shared" ca="1" si="29"/>
        <v>44224</v>
      </c>
      <c r="C187">
        <f t="shared" si="29"/>
        <v>176</v>
      </c>
      <c r="D187">
        <f t="shared" ca="1" si="21"/>
        <v>5</v>
      </c>
      <c r="E187" s="2">
        <f t="shared" ca="1" si="25"/>
        <v>0</v>
      </c>
      <c r="F187" s="2">
        <f t="shared" ca="1" si="28"/>
        <v>0</v>
      </c>
      <c r="G187" s="2">
        <f t="shared" ca="1" si="26"/>
        <v>20.387311077613219</v>
      </c>
      <c r="H187" s="2">
        <f t="shared" ca="1" si="22"/>
        <v>0</v>
      </c>
      <c r="I187" s="2">
        <f t="shared" ca="1" si="23"/>
        <v>0</v>
      </c>
    </row>
    <row r="188" spans="2:9" x14ac:dyDescent="0.2">
      <c r="B188" s="4">
        <f t="shared" ca="1" si="29"/>
        <v>44225</v>
      </c>
      <c r="C188">
        <f t="shared" si="29"/>
        <v>177</v>
      </c>
      <c r="D188">
        <f t="shared" ca="1" si="21"/>
        <v>6</v>
      </c>
      <c r="E188" s="2">
        <f t="shared" ca="1" si="25"/>
        <v>0</v>
      </c>
      <c r="F188" s="2">
        <f t="shared" ca="1" si="28"/>
        <v>0</v>
      </c>
      <c r="G188" s="2">
        <f t="shared" ca="1" si="26"/>
        <v>20.387311077613219</v>
      </c>
      <c r="H188" s="2">
        <f t="shared" ca="1" si="22"/>
        <v>0</v>
      </c>
      <c r="I188" s="2">
        <f t="shared" ca="1" si="23"/>
        <v>0</v>
      </c>
    </row>
    <row r="189" spans="2:9" x14ac:dyDescent="0.2">
      <c r="B189" s="4">
        <f t="shared" ref="B189:C204" ca="1" si="30">B188+1</f>
        <v>44226</v>
      </c>
      <c r="C189">
        <f t="shared" si="30"/>
        <v>178</v>
      </c>
      <c r="D189">
        <f t="shared" ca="1" si="21"/>
        <v>7</v>
      </c>
      <c r="E189" s="2">
        <f t="shared" ca="1" si="25"/>
        <v>0</v>
      </c>
      <c r="F189" s="2">
        <f t="shared" ca="1" si="28"/>
        <v>0</v>
      </c>
      <c r="G189" s="2">
        <f t="shared" ca="1" si="26"/>
        <v>20.387311077613219</v>
      </c>
      <c r="H189" s="2">
        <f t="shared" ca="1" si="22"/>
        <v>0</v>
      </c>
      <c r="I189" s="2">
        <f t="shared" ca="1" si="23"/>
        <v>0</v>
      </c>
    </row>
    <row r="190" spans="2:9" x14ac:dyDescent="0.2">
      <c r="B190" s="4">
        <f t="shared" ca="1" si="30"/>
        <v>44227</v>
      </c>
      <c r="C190">
        <f t="shared" si="30"/>
        <v>179</v>
      </c>
      <c r="D190">
        <f t="shared" ca="1" si="21"/>
        <v>1</v>
      </c>
      <c r="E190" s="2">
        <f t="shared" ca="1" si="25"/>
        <v>0</v>
      </c>
      <c r="F190" s="2">
        <f t="shared" ca="1" si="28"/>
        <v>0</v>
      </c>
      <c r="G190" s="2">
        <f t="shared" ca="1" si="26"/>
        <v>20.387311077613219</v>
      </c>
      <c r="H190" s="2">
        <f t="shared" ca="1" si="22"/>
        <v>0</v>
      </c>
      <c r="I190" s="2">
        <f t="shared" ca="1" si="23"/>
        <v>0</v>
      </c>
    </row>
    <row r="191" spans="2:9" x14ac:dyDescent="0.2">
      <c r="B191" s="4">
        <f t="shared" ca="1" si="30"/>
        <v>44228</v>
      </c>
      <c r="C191">
        <f t="shared" si="30"/>
        <v>180</v>
      </c>
      <c r="D191">
        <f t="shared" ca="1" si="21"/>
        <v>2</v>
      </c>
      <c r="E191" s="2">
        <f t="shared" ca="1" si="25"/>
        <v>0</v>
      </c>
      <c r="F191" s="2">
        <f t="shared" ca="1" si="28"/>
        <v>0</v>
      </c>
      <c r="G191" s="2">
        <f t="shared" ca="1" si="26"/>
        <v>20.387311077613219</v>
      </c>
      <c r="H191" s="2">
        <f t="shared" ca="1" si="22"/>
        <v>0</v>
      </c>
      <c r="I191" s="2">
        <f t="shared" ca="1" si="23"/>
        <v>0</v>
      </c>
    </row>
    <row r="192" spans="2:9" x14ac:dyDescent="0.2">
      <c r="B192" s="4">
        <f t="shared" ca="1" si="30"/>
        <v>44229</v>
      </c>
      <c r="C192">
        <f t="shared" si="30"/>
        <v>181</v>
      </c>
      <c r="D192">
        <f t="shared" ca="1" si="21"/>
        <v>3</v>
      </c>
      <c r="E192" s="2">
        <f t="shared" ca="1" si="25"/>
        <v>0</v>
      </c>
      <c r="F192" s="2">
        <f t="shared" ca="1" si="28"/>
        <v>0</v>
      </c>
      <c r="G192" s="2">
        <f t="shared" ca="1" si="26"/>
        <v>20.387311077613219</v>
      </c>
      <c r="H192" s="2">
        <f t="shared" ca="1" si="22"/>
        <v>0</v>
      </c>
      <c r="I192" s="2">
        <f t="shared" ca="1" si="23"/>
        <v>0</v>
      </c>
    </row>
    <row r="193" spans="2:9" x14ac:dyDescent="0.2">
      <c r="B193" s="4">
        <f t="shared" ca="1" si="30"/>
        <v>44230</v>
      </c>
      <c r="C193">
        <f t="shared" si="30"/>
        <v>182</v>
      </c>
      <c r="D193">
        <f t="shared" ca="1" si="21"/>
        <v>4</v>
      </c>
      <c r="E193" s="2">
        <f t="shared" ca="1" si="25"/>
        <v>0</v>
      </c>
      <c r="F193" s="2">
        <f t="shared" ca="1" si="28"/>
        <v>0</v>
      </c>
      <c r="G193" s="2">
        <f t="shared" ca="1" si="26"/>
        <v>20.387311077613219</v>
      </c>
      <c r="H193" s="2">
        <f t="shared" ca="1" si="22"/>
        <v>0</v>
      </c>
      <c r="I193" s="2">
        <f t="shared" ca="1" si="23"/>
        <v>0</v>
      </c>
    </row>
    <row r="194" spans="2:9" x14ac:dyDescent="0.2">
      <c r="B194" s="4">
        <f t="shared" ca="1" si="30"/>
        <v>44231</v>
      </c>
      <c r="C194">
        <f t="shared" si="30"/>
        <v>183</v>
      </c>
      <c r="D194">
        <f t="shared" ca="1" si="21"/>
        <v>5</v>
      </c>
      <c r="E194" s="2">
        <f t="shared" ca="1" si="25"/>
        <v>0</v>
      </c>
      <c r="F194" s="2">
        <f t="shared" ca="1" si="28"/>
        <v>0</v>
      </c>
      <c r="G194" s="2">
        <f t="shared" ca="1" si="26"/>
        <v>20.387311077613219</v>
      </c>
      <c r="H194" s="2">
        <f t="shared" ca="1" si="22"/>
        <v>0</v>
      </c>
      <c r="I194" s="2">
        <f t="shared" ca="1" si="23"/>
        <v>0</v>
      </c>
    </row>
    <row r="195" spans="2:9" x14ac:dyDescent="0.2">
      <c r="B195" s="4">
        <f t="shared" ca="1" si="30"/>
        <v>44232</v>
      </c>
      <c r="C195">
        <f t="shared" si="30"/>
        <v>184</v>
      </c>
      <c r="D195">
        <f t="shared" ca="1" si="21"/>
        <v>6</v>
      </c>
      <c r="E195" s="2">
        <f t="shared" ca="1" si="25"/>
        <v>0</v>
      </c>
      <c r="F195" s="2">
        <f t="shared" ca="1" si="28"/>
        <v>0</v>
      </c>
      <c r="G195" s="2">
        <f t="shared" ca="1" si="26"/>
        <v>20.387311077613219</v>
      </c>
      <c r="H195" s="2">
        <f t="shared" ca="1" si="22"/>
        <v>0</v>
      </c>
      <c r="I195" s="2">
        <f t="shared" ca="1" si="23"/>
        <v>0</v>
      </c>
    </row>
    <row r="196" spans="2:9" x14ac:dyDescent="0.2">
      <c r="B196" s="4">
        <f t="shared" ca="1" si="30"/>
        <v>44233</v>
      </c>
      <c r="C196">
        <f t="shared" si="30"/>
        <v>185</v>
      </c>
      <c r="D196">
        <f t="shared" ca="1" si="21"/>
        <v>7</v>
      </c>
      <c r="E196" s="2">
        <f t="shared" ca="1" si="25"/>
        <v>0</v>
      </c>
      <c r="F196" s="2">
        <f t="shared" ca="1" si="28"/>
        <v>0</v>
      </c>
      <c r="G196" s="2">
        <f t="shared" ca="1" si="26"/>
        <v>20.387311077613219</v>
      </c>
      <c r="H196" s="2">
        <f t="shared" ca="1" si="22"/>
        <v>0</v>
      </c>
      <c r="I196" s="2">
        <f t="shared" ca="1" si="23"/>
        <v>0</v>
      </c>
    </row>
    <row r="197" spans="2:9" x14ac:dyDescent="0.2">
      <c r="B197" s="4">
        <f t="shared" ca="1" si="30"/>
        <v>44234</v>
      </c>
      <c r="C197">
        <f t="shared" si="30"/>
        <v>186</v>
      </c>
      <c r="D197">
        <f t="shared" ca="1" si="21"/>
        <v>1</v>
      </c>
      <c r="E197" s="2">
        <f t="shared" ca="1" si="25"/>
        <v>0</v>
      </c>
      <c r="F197" s="2">
        <f t="shared" ca="1" si="28"/>
        <v>0</v>
      </c>
      <c r="G197" s="2">
        <f t="shared" ca="1" si="26"/>
        <v>20.387311077613219</v>
      </c>
      <c r="H197" s="2">
        <f t="shared" ca="1" si="22"/>
        <v>0</v>
      </c>
      <c r="I197" s="2">
        <f t="shared" ca="1" si="23"/>
        <v>0</v>
      </c>
    </row>
    <row r="198" spans="2:9" x14ac:dyDescent="0.2">
      <c r="B198" s="4">
        <f t="shared" ca="1" si="30"/>
        <v>44235</v>
      </c>
      <c r="C198">
        <f t="shared" si="30"/>
        <v>187</v>
      </c>
      <c r="D198">
        <f t="shared" ca="1" si="21"/>
        <v>2</v>
      </c>
      <c r="E198" s="2">
        <f t="shared" ca="1" si="25"/>
        <v>0</v>
      </c>
      <c r="F198" s="2">
        <f t="shared" ca="1" si="28"/>
        <v>0</v>
      </c>
      <c r="G198" s="2">
        <f t="shared" ca="1" si="26"/>
        <v>20.387311077613219</v>
      </c>
      <c r="H198" s="2">
        <f t="shared" ca="1" si="22"/>
        <v>0</v>
      </c>
      <c r="I198" s="2">
        <f t="shared" ca="1" si="23"/>
        <v>0</v>
      </c>
    </row>
    <row r="199" spans="2:9" x14ac:dyDescent="0.2">
      <c r="B199" s="4">
        <f t="shared" ca="1" si="30"/>
        <v>44236</v>
      </c>
      <c r="C199">
        <f t="shared" si="30"/>
        <v>188</v>
      </c>
      <c r="D199">
        <f t="shared" ca="1" si="21"/>
        <v>3</v>
      </c>
      <c r="E199" s="2">
        <f t="shared" ca="1" si="25"/>
        <v>0</v>
      </c>
      <c r="F199" s="2">
        <f t="shared" ca="1" si="28"/>
        <v>0</v>
      </c>
      <c r="G199" s="2">
        <f t="shared" ca="1" si="26"/>
        <v>20.387311077613219</v>
      </c>
      <c r="H199" s="2">
        <f t="shared" ca="1" si="22"/>
        <v>0</v>
      </c>
      <c r="I199" s="2">
        <f t="shared" ca="1" si="23"/>
        <v>0</v>
      </c>
    </row>
    <row r="200" spans="2:9" x14ac:dyDescent="0.2">
      <c r="B200" s="4">
        <f t="shared" ca="1" si="30"/>
        <v>44237</v>
      </c>
      <c r="C200">
        <f t="shared" si="30"/>
        <v>189</v>
      </c>
      <c r="D200">
        <f t="shared" ca="1" si="21"/>
        <v>4</v>
      </c>
      <c r="E200" s="2">
        <f t="shared" ca="1" si="25"/>
        <v>0</v>
      </c>
      <c r="F200" s="2">
        <f t="shared" ca="1" si="28"/>
        <v>0</v>
      </c>
      <c r="G200" s="2">
        <f t="shared" ca="1" si="26"/>
        <v>20.387311077613219</v>
      </c>
      <c r="H200" s="2">
        <f t="shared" ca="1" si="22"/>
        <v>0</v>
      </c>
      <c r="I200" s="2">
        <f t="shared" ca="1" si="23"/>
        <v>0</v>
      </c>
    </row>
    <row r="201" spans="2:9" x14ac:dyDescent="0.2">
      <c r="B201" s="4">
        <f t="shared" ca="1" si="30"/>
        <v>44238</v>
      </c>
      <c r="C201">
        <f t="shared" si="30"/>
        <v>190</v>
      </c>
      <c r="D201">
        <f t="shared" ca="1" si="21"/>
        <v>5</v>
      </c>
      <c r="E201" s="2">
        <f t="shared" ca="1" si="25"/>
        <v>0</v>
      </c>
      <c r="F201" s="2">
        <f t="shared" ca="1" si="28"/>
        <v>0</v>
      </c>
      <c r="G201" s="2">
        <f t="shared" ca="1" si="26"/>
        <v>20.387311077613219</v>
      </c>
      <c r="H201" s="2">
        <f t="shared" ca="1" si="22"/>
        <v>0</v>
      </c>
      <c r="I201" s="2">
        <f t="shared" ca="1" si="23"/>
        <v>0</v>
      </c>
    </row>
    <row r="202" spans="2:9" x14ac:dyDescent="0.2">
      <c r="B202" s="4">
        <f t="shared" ca="1" si="30"/>
        <v>44239</v>
      </c>
      <c r="C202">
        <f t="shared" si="30"/>
        <v>191</v>
      </c>
      <c r="D202">
        <f t="shared" ca="1" si="21"/>
        <v>6</v>
      </c>
      <c r="E202" s="2">
        <f t="shared" ca="1" si="25"/>
        <v>0</v>
      </c>
      <c r="F202" s="2">
        <f t="shared" ca="1" si="28"/>
        <v>0</v>
      </c>
      <c r="G202" s="2">
        <f t="shared" ca="1" si="26"/>
        <v>20.387311077613219</v>
      </c>
      <c r="H202" s="2">
        <f t="shared" ca="1" si="22"/>
        <v>0</v>
      </c>
      <c r="I202" s="2">
        <f t="shared" ca="1" si="23"/>
        <v>0</v>
      </c>
    </row>
    <row r="203" spans="2:9" x14ac:dyDescent="0.2">
      <c r="B203" s="4">
        <f t="shared" ca="1" si="30"/>
        <v>44240</v>
      </c>
      <c r="C203">
        <f t="shared" si="30"/>
        <v>192</v>
      </c>
      <c r="D203">
        <f t="shared" ca="1" si="21"/>
        <v>7</v>
      </c>
      <c r="E203" s="2">
        <f t="shared" ca="1" si="25"/>
        <v>0</v>
      </c>
      <c r="F203" s="2">
        <f t="shared" ca="1" si="28"/>
        <v>0</v>
      </c>
      <c r="G203" s="2">
        <f t="shared" ca="1" si="26"/>
        <v>20.387311077613219</v>
      </c>
      <c r="H203" s="2">
        <f t="shared" ca="1" si="22"/>
        <v>0</v>
      </c>
      <c r="I203" s="2">
        <f t="shared" ca="1" si="23"/>
        <v>0</v>
      </c>
    </row>
    <row r="204" spans="2:9" x14ac:dyDescent="0.2">
      <c r="B204" s="4">
        <f t="shared" ca="1" si="30"/>
        <v>44241</v>
      </c>
      <c r="C204">
        <f t="shared" si="30"/>
        <v>193</v>
      </c>
      <c r="D204">
        <f t="shared" ref="D204:D211" ca="1" si="31">WEEKDAY(B204,1)</f>
        <v>1</v>
      </c>
      <c r="E204" s="2">
        <f t="shared" ca="1" si="25"/>
        <v>0</v>
      </c>
      <c r="F204" s="2">
        <f t="shared" ca="1" si="28"/>
        <v>0</v>
      </c>
      <c r="G204" s="2">
        <f t="shared" ca="1" si="26"/>
        <v>20.387311077613219</v>
      </c>
      <c r="H204" s="2">
        <f t="shared" ref="H204:H211" ca="1" si="32">IF(C204&gt;$C$7,0,(G204)*$C$5/365)</f>
        <v>0</v>
      </c>
      <c r="I204" s="2">
        <f t="shared" ref="I204:I211" ca="1" si="33">IF(AND(C204=0,D204=7),$C$6,IF(C204=$C$7,0,IF(C204&lt;$C$7,IF(D204=7,$C$6,0),0)))</f>
        <v>0</v>
      </c>
    </row>
    <row r="205" spans="2:9" x14ac:dyDescent="0.2">
      <c r="B205" s="4">
        <f t="shared" ref="B205:C211" ca="1" si="34">B204+1</f>
        <v>44242</v>
      </c>
      <c r="C205">
        <f t="shared" si="34"/>
        <v>194</v>
      </c>
      <c r="D205">
        <f t="shared" ca="1" si="31"/>
        <v>2</v>
      </c>
      <c r="E205" s="2">
        <f t="shared" ref="E205:E211" ca="1" si="35">IF(C205&gt;$C$7,0,G204+H204+I204)</f>
        <v>0</v>
      </c>
      <c r="F205" s="2">
        <f t="shared" ca="1" si="28"/>
        <v>0</v>
      </c>
      <c r="G205" s="2">
        <f t="shared" ref="G205:G211" ca="1" si="36">IF(C205&gt;$C$7,G204,E205-F205)</f>
        <v>20.387311077613219</v>
      </c>
      <c r="H205" s="2">
        <f t="shared" ca="1" si="32"/>
        <v>0</v>
      </c>
      <c r="I205" s="2">
        <f t="shared" ca="1" si="33"/>
        <v>0</v>
      </c>
    </row>
    <row r="206" spans="2:9" x14ac:dyDescent="0.2">
      <c r="B206" s="4">
        <f t="shared" ca="1" si="34"/>
        <v>44243</v>
      </c>
      <c r="C206">
        <f t="shared" si="34"/>
        <v>195</v>
      </c>
      <c r="D206">
        <f t="shared" ca="1" si="31"/>
        <v>3</v>
      </c>
      <c r="E206" s="2">
        <f t="shared" ca="1" si="35"/>
        <v>0</v>
      </c>
      <c r="F206" s="2">
        <f t="shared" ca="1" si="28"/>
        <v>0</v>
      </c>
      <c r="G206" s="2">
        <f t="shared" ca="1" si="36"/>
        <v>20.387311077613219</v>
      </c>
      <c r="H206" s="2">
        <f t="shared" ca="1" si="32"/>
        <v>0</v>
      </c>
      <c r="I206" s="2">
        <f t="shared" ca="1" si="33"/>
        <v>0</v>
      </c>
    </row>
    <row r="207" spans="2:9" x14ac:dyDescent="0.2">
      <c r="B207" s="4">
        <f t="shared" ca="1" si="34"/>
        <v>44244</v>
      </c>
      <c r="C207">
        <f t="shared" si="34"/>
        <v>196</v>
      </c>
      <c r="D207">
        <f t="shared" ca="1" si="31"/>
        <v>4</v>
      </c>
      <c r="E207" s="2">
        <f t="shared" ca="1" si="35"/>
        <v>0</v>
      </c>
      <c r="F207" s="2">
        <f t="shared" ca="1" si="28"/>
        <v>0</v>
      </c>
      <c r="G207" s="2">
        <f t="shared" ca="1" si="36"/>
        <v>20.387311077613219</v>
      </c>
      <c r="H207" s="2">
        <f t="shared" ca="1" si="32"/>
        <v>0</v>
      </c>
      <c r="I207" s="2">
        <f t="shared" ca="1" si="33"/>
        <v>0</v>
      </c>
    </row>
    <row r="208" spans="2:9" x14ac:dyDescent="0.2">
      <c r="B208" s="4">
        <f t="shared" ca="1" si="34"/>
        <v>44245</v>
      </c>
      <c r="C208">
        <f t="shared" si="34"/>
        <v>197</v>
      </c>
      <c r="D208">
        <f t="shared" ca="1" si="31"/>
        <v>5</v>
      </c>
      <c r="E208" s="2">
        <f t="shared" ca="1" si="35"/>
        <v>0</v>
      </c>
      <c r="F208" s="2">
        <f t="shared" ca="1" si="28"/>
        <v>0</v>
      </c>
      <c r="G208" s="2">
        <f t="shared" ca="1" si="36"/>
        <v>20.387311077613219</v>
      </c>
      <c r="H208" s="2">
        <f t="shared" ca="1" si="32"/>
        <v>0</v>
      </c>
      <c r="I208" s="2">
        <f t="shared" ca="1" si="33"/>
        <v>0</v>
      </c>
    </row>
    <row r="209" spans="2:9" x14ac:dyDescent="0.2">
      <c r="B209" s="4">
        <f t="shared" ca="1" si="34"/>
        <v>44246</v>
      </c>
      <c r="C209">
        <f t="shared" si="34"/>
        <v>198</v>
      </c>
      <c r="D209">
        <f t="shared" ca="1" si="31"/>
        <v>6</v>
      </c>
      <c r="E209" s="2">
        <f t="shared" ca="1" si="35"/>
        <v>0</v>
      </c>
      <c r="F209" s="2">
        <f t="shared" ca="1" si="28"/>
        <v>0</v>
      </c>
      <c r="G209" s="2">
        <f t="shared" ca="1" si="36"/>
        <v>20.387311077613219</v>
      </c>
      <c r="H209" s="2">
        <f t="shared" ca="1" si="32"/>
        <v>0</v>
      </c>
      <c r="I209" s="2">
        <f t="shared" ca="1" si="33"/>
        <v>0</v>
      </c>
    </row>
    <row r="210" spans="2:9" x14ac:dyDescent="0.2">
      <c r="B210" s="4">
        <f t="shared" ca="1" si="34"/>
        <v>44247</v>
      </c>
      <c r="C210">
        <f t="shared" si="34"/>
        <v>199</v>
      </c>
      <c r="D210">
        <f t="shared" ca="1" si="31"/>
        <v>7</v>
      </c>
      <c r="E210" s="2">
        <f t="shared" ca="1" si="35"/>
        <v>0</v>
      </c>
      <c r="F210" s="2">
        <f t="shared" ca="1" si="28"/>
        <v>0</v>
      </c>
      <c r="G210" s="2">
        <f t="shared" ca="1" si="36"/>
        <v>20.387311077613219</v>
      </c>
      <c r="H210" s="2">
        <f t="shared" ca="1" si="32"/>
        <v>0</v>
      </c>
      <c r="I210" s="2">
        <f t="shared" ca="1" si="33"/>
        <v>0</v>
      </c>
    </row>
    <row r="211" spans="2:9" x14ac:dyDescent="0.2">
      <c r="B211" s="4">
        <f t="shared" ca="1" si="34"/>
        <v>44248</v>
      </c>
      <c r="C211">
        <f t="shared" si="34"/>
        <v>200</v>
      </c>
      <c r="D211">
        <f t="shared" ca="1" si="31"/>
        <v>1</v>
      </c>
      <c r="E211" s="2">
        <f t="shared" ca="1" si="35"/>
        <v>0</v>
      </c>
      <c r="F211" s="2">
        <f t="shared" ca="1" si="28"/>
        <v>0</v>
      </c>
      <c r="G211" s="2">
        <f t="shared" ca="1" si="36"/>
        <v>20.387311077613219</v>
      </c>
      <c r="H211" s="2">
        <f t="shared" ca="1" si="32"/>
        <v>0</v>
      </c>
      <c r="I211" s="2">
        <f t="shared" ca="1" si="33"/>
        <v>0</v>
      </c>
    </row>
  </sheetData>
  <mergeCells count="2">
    <mergeCell ref="H4:I6"/>
    <mergeCell ref="E7:F8"/>
  </mergeCells>
  <conditionalFormatting sqref="B212:I700">
    <cfRule type="expression" dxfId="11" priority="9">
      <formula>$C212=$C$7</formula>
    </cfRule>
    <cfRule type="expression" dxfId="10" priority="10">
      <formula>$C212&gt;$C$7</formula>
    </cfRule>
  </conditionalFormatting>
  <conditionalFormatting sqref="B11:I211">
    <cfRule type="expression" dxfId="9" priority="3">
      <formula>$C11=$C$7</formula>
    </cfRule>
    <cfRule type="expression" dxfId="8" priority="4">
      <formula>$C11&gt;$C$7</formula>
    </cfRule>
  </conditionalFormatting>
  <conditionalFormatting sqref="E7">
    <cfRule type="cellIs" dxfId="7" priority="1" operator="equal">
      <formula>"No RESET Required"</formula>
    </cfRule>
    <cfRule type="cellIs" dxfId="6" priority="2" operator="equal">
      <formula>"RESET"</formula>
    </cfRule>
  </conditionalFormatting>
  <hyperlinks>
    <hyperlink ref="H4:I6" location="Summary!A1" display="Return to Home" xr:uid="{EA39A9D1-A1B0-4942-94D6-1511288C9C7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203200</xdr:colOff>
                    <xdr:row>6</xdr:row>
                    <xdr:rowOff>38100</xdr:rowOff>
                  </from>
                  <to>
                    <xdr:col>8</xdr:col>
                    <xdr:colOff>1549400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ABA32-4854-4E35-9DF6-548E8078913B}">
  <sheetPr codeName="Sheet20">
    <tabColor rgb="FF00B050"/>
  </sheetPr>
  <dimension ref="B2:I211"/>
  <sheetViews>
    <sheetView zoomScale="85" zoomScaleNormal="85" workbookViewId="0">
      <pane ySplit="10" topLeftCell="A11" activePane="bottomLeft" state="frozen"/>
      <selection activeCell="A11" sqref="A11"/>
      <selection pane="bottomLeft" activeCell="I2" sqref="I2"/>
    </sheetView>
  </sheetViews>
  <sheetFormatPr baseColWidth="10" defaultColWidth="8.83203125" defaultRowHeight="15" x14ac:dyDescent="0.2"/>
  <cols>
    <col min="2" max="2" width="24.5" bestFit="1" customWidth="1"/>
    <col min="3" max="3" width="9.6640625" bestFit="1" customWidth="1"/>
    <col min="4" max="4" width="11.6640625" bestFit="1" customWidth="1"/>
    <col min="5" max="5" width="26" bestFit="1" customWidth="1"/>
    <col min="6" max="6" width="12.5" bestFit="1" customWidth="1"/>
    <col min="7" max="7" width="19" bestFit="1" customWidth="1"/>
    <col min="8" max="8" width="14.5" bestFit="1" customWidth="1"/>
    <col min="9" max="9" width="25" bestFit="1" customWidth="1"/>
  </cols>
  <sheetData>
    <row r="2" spans="2:9" x14ac:dyDescent="0.2">
      <c r="B2" s="1" t="s">
        <v>0</v>
      </c>
      <c r="C2" s="13">
        <v>1250</v>
      </c>
      <c r="E2" s="1" t="s">
        <v>1</v>
      </c>
      <c r="F2" s="16">
        <f ca="1">TODAY()-1</f>
        <v>44048</v>
      </c>
      <c r="H2" s="1" t="s">
        <v>16</v>
      </c>
      <c r="I2" s="10">
        <f ca="1">COUNTIF($F$12:$F$211,"&gt;0")</f>
        <v>6</v>
      </c>
    </row>
    <row r="3" spans="2:9" ht="16" thickBot="1" x14ac:dyDescent="0.25">
      <c r="B3" s="1" t="s">
        <v>2</v>
      </c>
      <c r="C3" s="14">
        <f ca="1">C7/I2</f>
        <v>30.666666666666668</v>
      </c>
      <c r="E3" s="1" t="s">
        <v>3</v>
      </c>
      <c r="F3" s="15">
        <f ca="1">SUM(H11:H211)</f>
        <v>75.485028585175627</v>
      </c>
    </row>
    <row r="4" spans="2:9" x14ac:dyDescent="0.2">
      <c r="B4" s="1" t="s">
        <v>17</v>
      </c>
      <c r="C4" s="11">
        <v>183</v>
      </c>
      <c r="E4" s="1" t="s">
        <v>5</v>
      </c>
      <c r="F4" s="15">
        <f ca="1">SUM(I11:I211)</f>
        <v>520</v>
      </c>
      <c r="H4" s="23" t="s">
        <v>34</v>
      </c>
      <c r="I4" s="24"/>
    </row>
    <row r="5" spans="2:9" x14ac:dyDescent="0.2">
      <c r="B5" s="1" t="s">
        <v>6</v>
      </c>
      <c r="C5" s="12">
        <v>0.19</v>
      </c>
      <c r="E5" s="1" t="s">
        <v>7</v>
      </c>
      <c r="F5" s="15">
        <f ca="1">SUM(F12:F211)</f>
        <v>1844.9690135687233</v>
      </c>
      <c r="H5" s="25"/>
      <c r="I5" s="26"/>
    </row>
    <row r="6" spans="2:9" ht="16" thickBot="1" x14ac:dyDescent="0.25">
      <c r="B6" s="1" t="s">
        <v>8</v>
      </c>
      <c r="C6" s="13">
        <v>20</v>
      </c>
      <c r="H6" s="27"/>
      <c r="I6" s="28"/>
    </row>
    <row r="7" spans="2:9" ht="15" customHeight="1" x14ac:dyDescent="0.2">
      <c r="B7" s="1" t="s">
        <v>9</v>
      </c>
      <c r="C7" s="10">
        <f ca="1">DATE(YEAR($F$2+$C$4),MONTH($F$2+$C$4),DAY($F$2)) - $F$2</f>
        <v>184</v>
      </c>
      <c r="E7" s="29" t="str">
        <f ca="1">IF(ROUND(G211,2)&lt;&gt;0,"RESET","No RESET Required")</f>
        <v>RESET</v>
      </c>
      <c r="F7" s="30"/>
    </row>
    <row r="8" spans="2:9" ht="15" customHeight="1" thickBot="1" x14ac:dyDescent="0.25">
      <c r="B8" s="1" t="s">
        <v>10</v>
      </c>
      <c r="C8" s="8">
        <v>307.49483559478722</v>
      </c>
      <c r="E8" s="31"/>
      <c r="F8" s="32"/>
    </row>
    <row r="9" spans="2:9" x14ac:dyDescent="0.2">
      <c r="C9" s="2"/>
      <c r="F9" s="3"/>
      <c r="G9" s="3"/>
      <c r="H9" s="3"/>
      <c r="I9" s="3"/>
    </row>
    <row r="10" spans="2:9" x14ac:dyDescent="0.2">
      <c r="B10" s="1" t="s">
        <v>11</v>
      </c>
      <c r="C10" s="1" t="s">
        <v>12</v>
      </c>
      <c r="D10" s="1" t="s">
        <v>13</v>
      </c>
      <c r="E10" s="1" t="s">
        <v>42</v>
      </c>
      <c r="F10" s="1" t="s">
        <v>15</v>
      </c>
      <c r="G10" s="1" t="s">
        <v>43</v>
      </c>
      <c r="H10" s="1" t="s">
        <v>14</v>
      </c>
      <c r="I10" s="1" t="s">
        <v>8</v>
      </c>
    </row>
    <row r="11" spans="2:9" x14ac:dyDescent="0.2">
      <c r="B11" s="4">
        <f ca="1">$F$2</f>
        <v>44048</v>
      </c>
      <c r="C11">
        <v>0</v>
      </c>
      <c r="D11">
        <f ca="1">WEEKDAY(B11,1)</f>
        <v>4</v>
      </c>
      <c r="E11" s="2"/>
      <c r="F11" s="2"/>
      <c r="G11" s="2">
        <f ca="1">I11+$C$2</f>
        <v>1250</v>
      </c>
      <c r="H11" s="2">
        <f ca="1">IF(C11&gt;$C$7,0,(G11)*$C$5/365)</f>
        <v>0.65068493150684936</v>
      </c>
      <c r="I11" s="2">
        <f ca="1">IF(AND(C11=0,D11=7),$C$6,IF(C11=$C$7,0,IF(C11&lt;$C$7,IF(D11=7,$C$6,0),0)))</f>
        <v>0</v>
      </c>
    </row>
    <row r="12" spans="2:9" x14ac:dyDescent="0.2">
      <c r="B12" s="4">
        <f ca="1">B11+1</f>
        <v>44049</v>
      </c>
      <c r="C12">
        <f>C11+1</f>
        <v>1</v>
      </c>
      <c r="D12">
        <f t="shared" ref="D12:D75" ca="1" si="0">WEEKDAY(B12,1)</f>
        <v>5</v>
      </c>
      <c r="E12" s="2">
        <f ca="1">IF(C12&gt;$C$7,0,G11+H11+I11)</f>
        <v>1250.6506849315069</v>
      </c>
      <c r="F12" s="2">
        <f t="shared" ref="F12:F34" ca="1" si="1">IF(C12&gt;$C$7,0,IF(ROUND(E12,0)&gt;0,IF(C12=0,0,IF(DAY($F$2)&lt;&gt;DAY(B12),0,$C$8)),0))</f>
        <v>0</v>
      </c>
      <c r="G12" s="2">
        <f ca="1">IF(C12&gt;$C$7,G11,E12-F12)</f>
        <v>1250.6506849315069</v>
      </c>
      <c r="H12" s="2">
        <f t="shared" ref="H12:H75" ca="1" si="2">IF(C12&gt;$C$7,0,(G12)*$C$5/365)</f>
        <v>0.6510236442109214</v>
      </c>
      <c r="I12" s="2">
        <f t="shared" ref="I12:I75" ca="1" si="3">IF(AND(C12=0,D12=7),$C$6,IF(C12=$C$7,0,IF(C12&lt;$C$7,IF(D12=7,$C$6,0),0)))</f>
        <v>0</v>
      </c>
    </row>
    <row r="13" spans="2:9" x14ac:dyDescent="0.2">
      <c r="B13" s="4">
        <f t="shared" ref="B13:C28" ca="1" si="4">B12+1</f>
        <v>44050</v>
      </c>
      <c r="C13">
        <f t="shared" si="4"/>
        <v>2</v>
      </c>
      <c r="D13">
        <f t="shared" ca="1" si="0"/>
        <v>6</v>
      </c>
      <c r="E13" s="2">
        <f t="shared" ref="E13:E76" ca="1" si="5">IF(C13&gt;$C$7,0,G12+H12+I12)</f>
        <v>1251.3017085757178</v>
      </c>
      <c r="F13" s="2">
        <f t="shared" ca="1" si="1"/>
        <v>0</v>
      </c>
      <c r="G13" s="2">
        <f t="shared" ref="G13:G76" ca="1" si="6">IF(C13&gt;$C$7,G12,E13-F13)</f>
        <v>1251.3017085757178</v>
      </c>
      <c r="H13" s="2">
        <f t="shared" ca="1" si="2"/>
        <v>0.65136253323119553</v>
      </c>
      <c r="I13" s="2">
        <f t="shared" ca="1" si="3"/>
        <v>0</v>
      </c>
    </row>
    <row r="14" spans="2:9" x14ac:dyDescent="0.2">
      <c r="B14" s="4">
        <f t="shared" ca="1" si="4"/>
        <v>44051</v>
      </c>
      <c r="C14">
        <f t="shared" si="4"/>
        <v>3</v>
      </c>
      <c r="D14">
        <f t="shared" ca="1" si="0"/>
        <v>7</v>
      </c>
      <c r="E14" s="2">
        <f t="shared" ca="1" si="5"/>
        <v>1251.953071108949</v>
      </c>
      <c r="F14" s="2">
        <f t="shared" ca="1" si="1"/>
        <v>0</v>
      </c>
      <c r="G14" s="2">
        <f t="shared" ca="1" si="6"/>
        <v>1251.953071108949</v>
      </c>
      <c r="H14" s="2">
        <f t="shared" ca="1" si="2"/>
        <v>0.65170159865945287</v>
      </c>
      <c r="I14" s="2">
        <f t="shared" ca="1" si="3"/>
        <v>20</v>
      </c>
    </row>
    <row r="15" spans="2:9" x14ac:dyDescent="0.2">
      <c r="B15" s="4">
        <f t="shared" ca="1" si="4"/>
        <v>44052</v>
      </c>
      <c r="C15">
        <f t="shared" si="4"/>
        <v>4</v>
      </c>
      <c r="D15">
        <f t="shared" ca="1" si="0"/>
        <v>1</v>
      </c>
      <c r="E15" s="2">
        <f t="shared" ca="1" si="5"/>
        <v>1272.6047727076084</v>
      </c>
      <c r="F15" s="2">
        <f t="shared" ca="1" si="1"/>
        <v>0</v>
      </c>
      <c r="G15" s="2">
        <f t="shared" ca="1" si="6"/>
        <v>1272.6047727076084</v>
      </c>
      <c r="H15" s="2">
        <f t="shared" ca="1" si="2"/>
        <v>0.6624517994916318</v>
      </c>
      <c r="I15" s="2">
        <f t="shared" ca="1" si="3"/>
        <v>0</v>
      </c>
    </row>
    <row r="16" spans="2:9" x14ac:dyDescent="0.2">
      <c r="B16" s="4">
        <f t="shared" ca="1" si="4"/>
        <v>44053</v>
      </c>
      <c r="C16">
        <f t="shared" si="4"/>
        <v>5</v>
      </c>
      <c r="D16">
        <f t="shared" ca="1" si="0"/>
        <v>2</v>
      </c>
      <c r="E16" s="2">
        <f t="shared" ca="1" si="5"/>
        <v>1273.2672245071001</v>
      </c>
      <c r="F16" s="2">
        <f t="shared" ca="1" si="1"/>
        <v>0</v>
      </c>
      <c r="G16" s="2">
        <f t="shared" ca="1" si="6"/>
        <v>1273.2672245071001</v>
      </c>
      <c r="H16" s="2">
        <f t="shared" ca="1" si="2"/>
        <v>0.66279663741465489</v>
      </c>
      <c r="I16" s="2">
        <f t="shared" ca="1" si="3"/>
        <v>0</v>
      </c>
    </row>
    <row r="17" spans="2:9" x14ac:dyDescent="0.2">
      <c r="B17" s="4">
        <f t="shared" ca="1" si="4"/>
        <v>44054</v>
      </c>
      <c r="C17">
        <f t="shared" si="4"/>
        <v>6</v>
      </c>
      <c r="D17">
        <f t="shared" ca="1" si="0"/>
        <v>3</v>
      </c>
      <c r="E17" s="2">
        <f t="shared" ca="1" si="5"/>
        <v>1273.9300211445147</v>
      </c>
      <c r="F17" s="2">
        <f t="shared" ca="1" si="1"/>
        <v>0</v>
      </c>
      <c r="G17" s="2">
        <f t="shared" ca="1" si="6"/>
        <v>1273.9300211445147</v>
      </c>
      <c r="H17" s="2">
        <f t="shared" ca="1" si="2"/>
        <v>0.66314165484235021</v>
      </c>
      <c r="I17" s="2">
        <f t="shared" ca="1" si="3"/>
        <v>0</v>
      </c>
    </row>
    <row r="18" spans="2:9" x14ac:dyDescent="0.2">
      <c r="B18" s="4">
        <f t="shared" ca="1" si="4"/>
        <v>44055</v>
      </c>
      <c r="C18">
        <f t="shared" si="4"/>
        <v>7</v>
      </c>
      <c r="D18">
        <f t="shared" ca="1" si="0"/>
        <v>4</v>
      </c>
      <c r="E18" s="2">
        <f t="shared" ca="1" si="5"/>
        <v>1274.5931627993571</v>
      </c>
      <c r="F18" s="2">
        <f t="shared" ca="1" si="1"/>
        <v>0</v>
      </c>
      <c r="G18" s="2">
        <f t="shared" ca="1" si="6"/>
        <v>1274.5931627993571</v>
      </c>
      <c r="H18" s="2">
        <f t="shared" ca="1" si="2"/>
        <v>0.66348685186815848</v>
      </c>
      <c r="I18" s="2">
        <f t="shared" ca="1" si="3"/>
        <v>0</v>
      </c>
    </row>
    <row r="19" spans="2:9" x14ac:dyDescent="0.2">
      <c r="B19" s="4">
        <f t="shared" ca="1" si="4"/>
        <v>44056</v>
      </c>
      <c r="C19">
        <f t="shared" si="4"/>
        <v>8</v>
      </c>
      <c r="D19">
        <f t="shared" ca="1" si="0"/>
        <v>5</v>
      </c>
      <c r="E19" s="2">
        <f t="shared" ca="1" si="5"/>
        <v>1275.2566496512252</v>
      </c>
      <c r="F19" s="2">
        <f t="shared" ca="1" si="1"/>
        <v>0</v>
      </c>
      <c r="G19" s="2">
        <f t="shared" ca="1" si="6"/>
        <v>1275.2566496512252</v>
      </c>
      <c r="H19" s="2">
        <f t="shared" ca="1" si="2"/>
        <v>0.66383222858556934</v>
      </c>
      <c r="I19" s="2">
        <f t="shared" ca="1" si="3"/>
        <v>0</v>
      </c>
    </row>
    <row r="20" spans="2:9" x14ac:dyDescent="0.2">
      <c r="B20" s="4">
        <f t="shared" ca="1" si="4"/>
        <v>44057</v>
      </c>
      <c r="C20">
        <f t="shared" si="4"/>
        <v>9</v>
      </c>
      <c r="D20">
        <f t="shared" ca="1" si="0"/>
        <v>6</v>
      </c>
      <c r="E20" s="2">
        <f t="shared" ca="1" si="5"/>
        <v>1275.9204818798107</v>
      </c>
      <c r="F20" s="2">
        <f t="shared" ca="1" si="1"/>
        <v>0</v>
      </c>
      <c r="G20" s="2">
        <f t="shared" ca="1" si="6"/>
        <v>1275.9204818798107</v>
      </c>
      <c r="H20" s="2">
        <f t="shared" ca="1" si="2"/>
        <v>0.66417778508812064</v>
      </c>
      <c r="I20" s="2">
        <f t="shared" ca="1" si="3"/>
        <v>0</v>
      </c>
    </row>
    <row r="21" spans="2:9" x14ac:dyDescent="0.2">
      <c r="B21" s="4">
        <f t="shared" ca="1" si="4"/>
        <v>44058</v>
      </c>
      <c r="C21">
        <f t="shared" si="4"/>
        <v>10</v>
      </c>
      <c r="D21">
        <f t="shared" ca="1" si="0"/>
        <v>7</v>
      </c>
      <c r="E21" s="2">
        <f t="shared" ca="1" si="5"/>
        <v>1276.5846596648989</v>
      </c>
      <c r="F21" s="2">
        <f t="shared" ca="1" si="1"/>
        <v>0</v>
      </c>
      <c r="G21" s="2">
        <f t="shared" ca="1" si="6"/>
        <v>1276.5846596648989</v>
      </c>
      <c r="H21" s="2">
        <f t="shared" ca="1" si="2"/>
        <v>0.66452352146939941</v>
      </c>
      <c r="I21" s="2">
        <f t="shared" ca="1" si="3"/>
        <v>20</v>
      </c>
    </row>
    <row r="22" spans="2:9" x14ac:dyDescent="0.2">
      <c r="B22" s="4">
        <f t="shared" ca="1" si="4"/>
        <v>44059</v>
      </c>
      <c r="C22">
        <f t="shared" si="4"/>
        <v>11</v>
      </c>
      <c r="D22">
        <f t="shared" ca="1" si="0"/>
        <v>1</v>
      </c>
      <c r="E22" s="2">
        <f t="shared" ca="1" si="5"/>
        <v>1297.2491831863683</v>
      </c>
      <c r="F22" s="2">
        <f t="shared" ca="1" si="1"/>
        <v>0</v>
      </c>
      <c r="G22" s="2">
        <f t="shared" ca="1" si="6"/>
        <v>1297.2491831863683</v>
      </c>
      <c r="H22" s="2">
        <f t="shared" ca="1" si="2"/>
        <v>0.67528039672715068</v>
      </c>
      <c r="I22" s="2">
        <f t="shared" ca="1" si="3"/>
        <v>0</v>
      </c>
    </row>
    <row r="23" spans="2:9" x14ac:dyDescent="0.2">
      <c r="B23" s="4">
        <f t="shared" ca="1" si="4"/>
        <v>44060</v>
      </c>
      <c r="C23">
        <f t="shared" si="4"/>
        <v>12</v>
      </c>
      <c r="D23">
        <f t="shared" ca="1" si="0"/>
        <v>2</v>
      </c>
      <c r="E23" s="2">
        <f t="shared" ca="1" si="5"/>
        <v>1297.9244635830955</v>
      </c>
      <c r="F23" s="2">
        <f t="shared" ca="1" si="1"/>
        <v>0</v>
      </c>
      <c r="G23" s="2">
        <f t="shared" ca="1" si="6"/>
        <v>1297.9244635830955</v>
      </c>
      <c r="H23" s="2">
        <f t="shared" ca="1" si="2"/>
        <v>0.67563191255010446</v>
      </c>
      <c r="I23" s="2">
        <f t="shared" ca="1" si="3"/>
        <v>0</v>
      </c>
    </row>
    <row r="24" spans="2:9" x14ac:dyDescent="0.2">
      <c r="B24" s="4">
        <f t="shared" ca="1" si="4"/>
        <v>44061</v>
      </c>
      <c r="C24">
        <f t="shared" si="4"/>
        <v>13</v>
      </c>
      <c r="D24">
        <f t="shared" ca="1" si="0"/>
        <v>3</v>
      </c>
      <c r="E24" s="2">
        <f t="shared" ca="1" si="5"/>
        <v>1298.6000954956457</v>
      </c>
      <c r="F24" s="2">
        <f t="shared" ca="1" si="1"/>
        <v>0</v>
      </c>
      <c r="G24" s="2">
        <f t="shared" ca="1" si="6"/>
        <v>1298.6000954956457</v>
      </c>
      <c r="H24" s="2">
        <f t="shared" ca="1" si="2"/>
        <v>0.67598361135389784</v>
      </c>
      <c r="I24" s="2">
        <f t="shared" ca="1" si="3"/>
        <v>0</v>
      </c>
    </row>
    <row r="25" spans="2:9" x14ac:dyDescent="0.2">
      <c r="B25" s="4">
        <f t="shared" ca="1" si="4"/>
        <v>44062</v>
      </c>
      <c r="C25">
        <f t="shared" si="4"/>
        <v>14</v>
      </c>
      <c r="D25">
        <f t="shared" ca="1" si="0"/>
        <v>4</v>
      </c>
      <c r="E25" s="2">
        <f t="shared" ca="1" si="5"/>
        <v>1299.2760791069995</v>
      </c>
      <c r="F25" s="2">
        <f t="shared" ca="1" si="1"/>
        <v>0</v>
      </c>
      <c r="G25" s="2">
        <f t="shared" ca="1" si="6"/>
        <v>1299.2760791069995</v>
      </c>
      <c r="H25" s="2">
        <f t="shared" ca="1" si="2"/>
        <v>0.67633549323378062</v>
      </c>
      <c r="I25" s="2">
        <f t="shared" ca="1" si="3"/>
        <v>0</v>
      </c>
    </row>
    <row r="26" spans="2:9" x14ac:dyDescent="0.2">
      <c r="B26" s="4">
        <f t="shared" ca="1" si="4"/>
        <v>44063</v>
      </c>
      <c r="C26">
        <f t="shared" si="4"/>
        <v>15</v>
      </c>
      <c r="D26">
        <f t="shared" ca="1" si="0"/>
        <v>5</v>
      </c>
      <c r="E26" s="2">
        <f t="shared" ca="1" si="5"/>
        <v>1299.9524146002334</v>
      </c>
      <c r="F26" s="2">
        <f t="shared" ca="1" si="1"/>
        <v>0</v>
      </c>
      <c r="G26" s="2">
        <f t="shared" ca="1" si="6"/>
        <v>1299.9524146002334</v>
      </c>
      <c r="H26" s="2">
        <f t="shared" ca="1" si="2"/>
        <v>0.676687558285053</v>
      </c>
      <c r="I26" s="2">
        <f t="shared" ca="1" si="3"/>
        <v>0</v>
      </c>
    </row>
    <row r="27" spans="2:9" x14ac:dyDescent="0.2">
      <c r="B27" s="4">
        <f t="shared" ca="1" si="4"/>
        <v>44064</v>
      </c>
      <c r="C27">
        <f t="shared" si="4"/>
        <v>16</v>
      </c>
      <c r="D27">
        <f t="shared" ca="1" si="0"/>
        <v>6</v>
      </c>
      <c r="E27" s="2">
        <f t="shared" ca="1" si="5"/>
        <v>1300.6291021585184</v>
      </c>
      <c r="F27" s="2">
        <f t="shared" ca="1" si="1"/>
        <v>0</v>
      </c>
      <c r="G27" s="2">
        <f t="shared" ca="1" si="6"/>
        <v>1300.6291021585184</v>
      </c>
      <c r="H27" s="2">
        <f t="shared" ca="1" si="2"/>
        <v>0.6770398066030644</v>
      </c>
      <c r="I27" s="2">
        <f t="shared" ca="1" si="3"/>
        <v>0</v>
      </c>
    </row>
    <row r="28" spans="2:9" x14ac:dyDescent="0.2">
      <c r="B28" s="4">
        <f t="shared" ca="1" si="4"/>
        <v>44065</v>
      </c>
      <c r="C28">
        <f t="shared" si="4"/>
        <v>17</v>
      </c>
      <c r="D28">
        <f t="shared" ca="1" si="0"/>
        <v>7</v>
      </c>
      <c r="E28" s="2">
        <f t="shared" ca="1" si="5"/>
        <v>1301.3061419651215</v>
      </c>
      <c r="F28" s="2">
        <f t="shared" ca="1" si="1"/>
        <v>0</v>
      </c>
      <c r="G28" s="2">
        <f t="shared" ca="1" si="6"/>
        <v>1301.3061419651215</v>
      </c>
      <c r="H28" s="2">
        <f t="shared" ca="1" si="2"/>
        <v>0.67739223828321393</v>
      </c>
      <c r="I28" s="2">
        <f t="shared" ca="1" si="3"/>
        <v>20</v>
      </c>
    </row>
    <row r="29" spans="2:9" x14ac:dyDescent="0.2">
      <c r="B29" s="4">
        <f t="shared" ref="B29:C44" ca="1" si="7">B28+1</f>
        <v>44066</v>
      </c>
      <c r="C29">
        <f t="shared" si="7"/>
        <v>18</v>
      </c>
      <c r="D29">
        <f t="shared" ca="1" si="0"/>
        <v>1</v>
      </c>
      <c r="E29" s="2">
        <f t="shared" ca="1" si="5"/>
        <v>1321.9835342034046</v>
      </c>
      <c r="F29" s="2">
        <f t="shared" ca="1" si="1"/>
        <v>0</v>
      </c>
      <c r="G29" s="2">
        <f t="shared" ca="1" si="6"/>
        <v>1321.9835342034046</v>
      </c>
      <c r="H29" s="2">
        <f t="shared" ca="1" si="2"/>
        <v>0.68815581232505996</v>
      </c>
      <c r="I29" s="2">
        <f t="shared" ca="1" si="3"/>
        <v>0</v>
      </c>
    </row>
    <row r="30" spans="2:9" x14ac:dyDescent="0.2">
      <c r="B30" s="4">
        <f t="shared" ca="1" si="7"/>
        <v>44067</v>
      </c>
      <c r="C30">
        <f t="shared" si="7"/>
        <v>19</v>
      </c>
      <c r="D30">
        <f t="shared" ca="1" si="0"/>
        <v>2</v>
      </c>
      <c r="E30" s="2">
        <f t="shared" ca="1" si="5"/>
        <v>1322.6716900157296</v>
      </c>
      <c r="F30" s="2">
        <f t="shared" ca="1" si="1"/>
        <v>0</v>
      </c>
      <c r="G30" s="2">
        <f t="shared" ca="1" si="6"/>
        <v>1322.6716900157296</v>
      </c>
      <c r="H30" s="2">
        <f t="shared" ca="1" si="2"/>
        <v>0.68851403041914694</v>
      </c>
      <c r="I30" s="2">
        <f t="shared" ca="1" si="3"/>
        <v>0</v>
      </c>
    </row>
    <row r="31" spans="2:9" x14ac:dyDescent="0.2">
      <c r="B31" s="4">
        <f t="shared" ca="1" si="7"/>
        <v>44068</v>
      </c>
      <c r="C31">
        <f t="shared" si="7"/>
        <v>20</v>
      </c>
      <c r="D31">
        <f t="shared" ca="1" si="0"/>
        <v>3</v>
      </c>
      <c r="E31" s="2">
        <f t="shared" ca="1" si="5"/>
        <v>1323.3602040461487</v>
      </c>
      <c r="F31" s="2">
        <f t="shared" ca="1" si="1"/>
        <v>0</v>
      </c>
      <c r="G31" s="2">
        <f t="shared" ca="1" si="6"/>
        <v>1323.3602040461487</v>
      </c>
      <c r="H31" s="2">
        <f t="shared" ca="1" si="2"/>
        <v>0.68887243498292672</v>
      </c>
      <c r="I31" s="2">
        <f t="shared" ca="1" si="3"/>
        <v>0</v>
      </c>
    </row>
    <row r="32" spans="2:9" x14ac:dyDescent="0.2">
      <c r="B32" s="4">
        <f t="shared" ca="1" si="7"/>
        <v>44069</v>
      </c>
      <c r="C32">
        <f t="shared" si="7"/>
        <v>21</v>
      </c>
      <c r="D32">
        <f t="shared" ca="1" si="0"/>
        <v>4</v>
      </c>
      <c r="E32" s="2">
        <f t="shared" ca="1" si="5"/>
        <v>1324.0490764811316</v>
      </c>
      <c r="F32" s="2">
        <f t="shared" ca="1" si="1"/>
        <v>0</v>
      </c>
      <c r="G32" s="2">
        <f t="shared" ca="1" si="6"/>
        <v>1324.0490764811316</v>
      </c>
      <c r="H32" s="2">
        <f t="shared" ca="1" si="2"/>
        <v>0.68923102611346576</v>
      </c>
      <c r="I32" s="2">
        <f t="shared" ca="1" si="3"/>
        <v>0</v>
      </c>
    </row>
    <row r="33" spans="2:9" x14ac:dyDescent="0.2">
      <c r="B33" s="4">
        <f t="shared" ca="1" si="7"/>
        <v>44070</v>
      </c>
      <c r="C33">
        <f t="shared" si="7"/>
        <v>22</v>
      </c>
      <c r="D33">
        <f t="shared" ca="1" si="0"/>
        <v>5</v>
      </c>
      <c r="E33" s="2">
        <f t="shared" ca="1" si="5"/>
        <v>1324.7383075072451</v>
      </c>
      <c r="F33" s="2">
        <f t="shared" ca="1" si="1"/>
        <v>0</v>
      </c>
      <c r="G33" s="2">
        <f t="shared" ca="1" si="6"/>
        <v>1324.7383075072451</v>
      </c>
      <c r="H33" s="2">
        <f t="shared" ca="1" si="2"/>
        <v>0.68958980390788105</v>
      </c>
      <c r="I33" s="2">
        <f t="shared" ca="1" si="3"/>
        <v>0</v>
      </c>
    </row>
    <row r="34" spans="2:9" x14ac:dyDescent="0.2">
      <c r="B34" s="4">
        <f t="shared" ca="1" si="7"/>
        <v>44071</v>
      </c>
      <c r="C34">
        <f t="shared" si="7"/>
        <v>23</v>
      </c>
      <c r="D34">
        <f t="shared" ca="1" si="0"/>
        <v>6</v>
      </c>
      <c r="E34" s="2">
        <f t="shared" ca="1" si="5"/>
        <v>1325.4278973111529</v>
      </c>
      <c r="F34" s="2">
        <f t="shared" ca="1" si="1"/>
        <v>0</v>
      </c>
      <c r="G34" s="2">
        <f t="shared" ca="1" si="6"/>
        <v>1325.4278973111529</v>
      </c>
      <c r="H34" s="2">
        <f t="shared" ca="1" si="2"/>
        <v>0.68994876846333986</v>
      </c>
      <c r="I34" s="2">
        <f t="shared" ca="1" si="3"/>
        <v>0</v>
      </c>
    </row>
    <row r="35" spans="2:9" x14ac:dyDescent="0.2">
      <c r="B35" s="4">
        <f t="shared" ca="1" si="7"/>
        <v>44072</v>
      </c>
      <c r="C35">
        <f t="shared" si="7"/>
        <v>24</v>
      </c>
      <c r="D35">
        <f t="shared" ca="1" si="0"/>
        <v>7</v>
      </c>
      <c r="E35" s="2">
        <f t="shared" ca="1" si="5"/>
        <v>1326.1178460796164</v>
      </c>
      <c r="F35" s="2">
        <f ca="1">IF(C35&gt;$C$7,0,IF(ROUND(E35,0)&gt;0,IF(C35=0,0,IF(DAY($F$2)&lt;&gt;DAY(B35),0,$C$8)),0))</f>
        <v>0</v>
      </c>
      <c r="G35" s="2">
        <f t="shared" ca="1" si="6"/>
        <v>1326.1178460796164</v>
      </c>
      <c r="H35" s="2">
        <f t="shared" ca="1" si="2"/>
        <v>0.69030791987706053</v>
      </c>
      <c r="I35" s="2">
        <f t="shared" ca="1" si="3"/>
        <v>20</v>
      </c>
    </row>
    <row r="36" spans="2:9" x14ac:dyDescent="0.2">
      <c r="B36" s="4">
        <f t="shared" ca="1" si="7"/>
        <v>44073</v>
      </c>
      <c r="C36">
        <f t="shared" si="7"/>
        <v>25</v>
      </c>
      <c r="D36">
        <f t="shared" ca="1" si="0"/>
        <v>1</v>
      </c>
      <c r="E36" s="2">
        <f t="shared" ca="1" si="5"/>
        <v>1346.8081539994935</v>
      </c>
      <c r="F36" s="2">
        <f t="shared" ref="F36:F99" ca="1" si="8">IF(C36&gt;$C$7,0,IF(ROUND(E36,0)&gt;0,IF(C36=0,0,IF(DAY($F$2)&lt;&gt;DAY(B36),0,$C$8)),0))</f>
        <v>0</v>
      </c>
      <c r="G36" s="2">
        <f t="shared" ca="1" si="6"/>
        <v>1346.8081539994935</v>
      </c>
      <c r="H36" s="2">
        <f t="shared" ca="1" si="2"/>
        <v>0.70107821715042118</v>
      </c>
      <c r="I36" s="2">
        <f t="shared" ca="1" si="3"/>
        <v>0</v>
      </c>
    </row>
    <row r="37" spans="2:9" x14ac:dyDescent="0.2">
      <c r="B37" s="4">
        <f t="shared" ca="1" si="7"/>
        <v>44074</v>
      </c>
      <c r="C37">
        <f t="shared" si="7"/>
        <v>26</v>
      </c>
      <c r="D37">
        <f t="shared" ca="1" si="0"/>
        <v>2</v>
      </c>
      <c r="E37" s="2">
        <f t="shared" ca="1" si="5"/>
        <v>1347.5092322166438</v>
      </c>
      <c r="F37" s="2">
        <f t="shared" ca="1" si="8"/>
        <v>0</v>
      </c>
      <c r="G37" s="2">
        <f t="shared" ca="1" si="6"/>
        <v>1347.5092322166438</v>
      </c>
      <c r="H37" s="2">
        <f t="shared" ca="1" si="2"/>
        <v>0.70144316197578715</v>
      </c>
      <c r="I37" s="2">
        <f t="shared" ca="1" si="3"/>
        <v>0</v>
      </c>
    </row>
    <row r="38" spans="2:9" x14ac:dyDescent="0.2">
      <c r="B38" s="4">
        <f t="shared" ca="1" si="7"/>
        <v>44075</v>
      </c>
      <c r="C38">
        <f t="shared" si="7"/>
        <v>27</v>
      </c>
      <c r="D38">
        <f t="shared" ca="1" si="0"/>
        <v>3</v>
      </c>
      <c r="E38" s="2">
        <f t="shared" ca="1" si="5"/>
        <v>1348.2106753786195</v>
      </c>
      <c r="F38" s="2">
        <f t="shared" ca="1" si="8"/>
        <v>0</v>
      </c>
      <c r="G38" s="2">
        <f t="shared" ca="1" si="6"/>
        <v>1348.2106753786195</v>
      </c>
      <c r="H38" s="2">
        <f t="shared" ca="1" si="2"/>
        <v>0.70180829677243206</v>
      </c>
      <c r="I38" s="2">
        <f t="shared" ca="1" si="3"/>
        <v>0</v>
      </c>
    </row>
    <row r="39" spans="2:9" x14ac:dyDescent="0.2">
      <c r="B39" s="4">
        <f t="shared" ca="1" si="7"/>
        <v>44076</v>
      </c>
      <c r="C39">
        <f t="shared" si="7"/>
        <v>28</v>
      </c>
      <c r="D39">
        <f t="shared" ca="1" si="0"/>
        <v>4</v>
      </c>
      <c r="E39" s="2">
        <f t="shared" ca="1" si="5"/>
        <v>1348.912483675392</v>
      </c>
      <c r="F39" s="2">
        <f t="shared" ca="1" si="8"/>
        <v>0</v>
      </c>
      <c r="G39" s="2">
        <f t="shared" ca="1" si="6"/>
        <v>1348.912483675392</v>
      </c>
      <c r="H39" s="2">
        <f t="shared" ca="1" si="2"/>
        <v>0.70217362163924524</v>
      </c>
      <c r="I39" s="2">
        <f t="shared" ca="1" si="3"/>
        <v>0</v>
      </c>
    </row>
    <row r="40" spans="2:9" x14ac:dyDescent="0.2">
      <c r="B40" s="4">
        <f t="shared" ca="1" si="7"/>
        <v>44077</v>
      </c>
      <c r="C40">
        <f t="shared" si="7"/>
        <v>29</v>
      </c>
      <c r="D40">
        <f t="shared" ca="1" si="0"/>
        <v>5</v>
      </c>
      <c r="E40" s="2">
        <f t="shared" ca="1" si="5"/>
        <v>1349.6146572970313</v>
      </c>
      <c r="F40" s="2">
        <f t="shared" ca="1" si="8"/>
        <v>0</v>
      </c>
      <c r="G40" s="2">
        <f t="shared" ca="1" si="6"/>
        <v>1349.6146572970313</v>
      </c>
      <c r="H40" s="2">
        <f t="shared" ca="1" si="2"/>
        <v>0.70253913667516699</v>
      </c>
      <c r="I40" s="2">
        <f t="shared" ca="1" si="3"/>
        <v>0</v>
      </c>
    </row>
    <row r="41" spans="2:9" x14ac:dyDescent="0.2">
      <c r="B41" s="4">
        <f t="shared" ca="1" si="7"/>
        <v>44078</v>
      </c>
      <c r="C41">
        <f t="shared" si="7"/>
        <v>30</v>
      </c>
      <c r="D41">
        <f t="shared" ca="1" si="0"/>
        <v>6</v>
      </c>
      <c r="E41" s="2">
        <f t="shared" ca="1" si="5"/>
        <v>1350.3171964337064</v>
      </c>
      <c r="F41" s="2">
        <f t="shared" ca="1" si="8"/>
        <v>0</v>
      </c>
      <c r="G41" s="2">
        <f t="shared" ca="1" si="6"/>
        <v>1350.3171964337064</v>
      </c>
      <c r="H41" s="2">
        <f t="shared" ca="1" si="2"/>
        <v>0.70290484197918968</v>
      </c>
      <c r="I41" s="2">
        <f t="shared" ca="1" si="3"/>
        <v>0</v>
      </c>
    </row>
    <row r="42" spans="2:9" x14ac:dyDescent="0.2">
      <c r="B42" s="4">
        <f t="shared" ca="1" si="7"/>
        <v>44079</v>
      </c>
      <c r="C42">
        <f t="shared" si="7"/>
        <v>31</v>
      </c>
      <c r="D42">
        <f t="shared" ca="1" si="0"/>
        <v>7</v>
      </c>
      <c r="E42" s="2">
        <f t="shared" ca="1" si="5"/>
        <v>1351.0201012756856</v>
      </c>
      <c r="F42" s="2">
        <f t="shared" ca="1" si="8"/>
        <v>307.49483559478722</v>
      </c>
      <c r="G42" s="2">
        <f t="shared" ca="1" si="6"/>
        <v>1043.5252656808984</v>
      </c>
      <c r="H42" s="2">
        <f t="shared" ca="1" si="2"/>
        <v>0.54320493282019366</v>
      </c>
      <c r="I42" s="2">
        <f t="shared" ca="1" si="3"/>
        <v>20</v>
      </c>
    </row>
    <row r="43" spans="2:9" x14ac:dyDescent="0.2">
      <c r="B43" s="4">
        <f t="shared" ca="1" si="7"/>
        <v>44080</v>
      </c>
      <c r="C43">
        <f t="shared" si="7"/>
        <v>32</v>
      </c>
      <c r="D43">
        <f t="shared" ca="1" si="0"/>
        <v>1</v>
      </c>
      <c r="E43" s="2">
        <f t="shared" ca="1" si="5"/>
        <v>1064.0684706137185</v>
      </c>
      <c r="F43" s="2">
        <f t="shared" ca="1" si="8"/>
        <v>0</v>
      </c>
      <c r="G43" s="2">
        <f t="shared" ca="1" si="6"/>
        <v>1064.0684706137185</v>
      </c>
      <c r="H43" s="2">
        <f t="shared" ca="1" si="2"/>
        <v>0.55389865593590826</v>
      </c>
      <c r="I43" s="2">
        <f t="shared" ca="1" si="3"/>
        <v>0</v>
      </c>
    </row>
    <row r="44" spans="2:9" x14ac:dyDescent="0.2">
      <c r="B44" s="4">
        <f t="shared" ca="1" si="7"/>
        <v>44081</v>
      </c>
      <c r="C44">
        <f t="shared" si="7"/>
        <v>33</v>
      </c>
      <c r="D44">
        <f t="shared" ca="1" si="0"/>
        <v>2</v>
      </c>
      <c r="E44" s="2">
        <f t="shared" ca="1" si="5"/>
        <v>1064.6223692696544</v>
      </c>
      <c r="F44" s="2">
        <f t="shared" ca="1" si="8"/>
        <v>0</v>
      </c>
      <c r="G44" s="2">
        <f t="shared" ca="1" si="6"/>
        <v>1064.6223692696544</v>
      </c>
      <c r="H44" s="2">
        <f t="shared" ca="1" si="2"/>
        <v>0.55418698674310785</v>
      </c>
      <c r="I44" s="2">
        <f t="shared" ca="1" si="3"/>
        <v>0</v>
      </c>
    </row>
    <row r="45" spans="2:9" x14ac:dyDescent="0.2">
      <c r="B45" s="4">
        <f t="shared" ref="B45:C60" ca="1" si="9">B44+1</f>
        <v>44082</v>
      </c>
      <c r="C45">
        <f t="shared" si="9"/>
        <v>34</v>
      </c>
      <c r="D45">
        <f t="shared" ca="1" si="0"/>
        <v>3</v>
      </c>
      <c r="E45" s="2">
        <f t="shared" ca="1" si="5"/>
        <v>1065.1765562563976</v>
      </c>
      <c r="F45" s="2">
        <f t="shared" ca="1" si="8"/>
        <v>0</v>
      </c>
      <c r="G45" s="2">
        <f t="shared" ca="1" si="6"/>
        <v>1065.1765562563976</v>
      </c>
      <c r="H45" s="2">
        <f t="shared" ca="1" si="2"/>
        <v>0.55447546764031652</v>
      </c>
      <c r="I45" s="2">
        <f t="shared" ca="1" si="3"/>
        <v>0</v>
      </c>
    </row>
    <row r="46" spans="2:9" x14ac:dyDescent="0.2">
      <c r="B46" s="4">
        <f t="shared" ca="1" si="9"/>
        <v>44083</v>
      </c>
      <c r="C46">
        <f t="shared" si="9"/>
        <v>35</v>
      </c>
      <c r="D46">
        <f t="shared" ca="1" si="0"/>
        <v>4</v>
      </c>
      <c r="E46" s="2">
        <f t="shared" ca="1" si="5"/>
        <v>1065.7310317240378</v>
      </c>
      <c r="F46" s="2">
        <f t="shared" ca="1" si="8"/>
        <v>0</v>
      </c>
      <c r="G46" s="2">
        <f t="shared" ca="1" si="6"/>
        <v>1065.7310317240378</v>
      </c>
      <c r="H46" s="2">
        <f t="shared" ca="1" si="2"/>
        <v>0.55476409870566357</v>
      </c>
      <c r="I46" s="2">
        <f t="shared" ca="1" si="3"/>
        <v>0</v>
      </c>
    </row>
    <row r="47" spans="2:9" x14ac:dyDescent="0.2">
      <c r="B47" s="4">
        <f t="shared" ca="1" si="9"/>
        <v>44084</v>
      </c>
      <c r="C47">
        <f t="shared" si="9"/>
        <v>36</v>
      </c>
      <c r="D47">
        <f t="shared" ca="1" si="0"/>
        <v>5</v>
      </c>
      <c r="E47" s="2">
        <f t="shared" ca="1" si="5"/>
        <v>1066.2857958227435</v>
      </c>
      <c r="F47" s="2">
        <f t="shared" ca="1" si="8"/>
        <v>0</v>
      </c>
      <c r="G47" s="2">
        <f t="shared" ca="1" si="6"/>
        <v>1066.2857958227435</v>
      </c>
      <c r="H47" s="2">
        <f t="shared" ca="1" si="2"/>
        <v>0.55505288001731856</v>
      </c>
      <c r="I47" s="2">
        <f t="shared" ca="1" si="3"/>
        <v>0</v>
      </c>
    </row>
    <row r="48" spans="2:9" x14ac:dyDescent="0.2">
      <c r="B48" s="4">
        <f t="shared" ca="1" si="9"/>
        <v>44085</v>
      </c>
      <c r="C48">
        <f t="shared" si="9"/>
        <v>37</v>
      </c>
      <c r="D48">
        <f t="shared" ca="1" si="0"/>
        <v>6</v>
      </c>
      <c r="E48" s="2">
        <f t="shared" ca="1" si="5"/>
        <v>1066.8408487027607</v>
      </c>
      <c r="F48" s="2">
        <f t="shared" ca="1" si="8"/>
        <v>0</v>
      </c>
      <c r="G48" s="2">
        <f t="shared" ca="1" si="6"/>
        <v>1066.8408487027607</v>
      </c>
      <c r="H48" s="2">
        <f t="shared" ca="1" si="2"/>
        <v>0.55534181165349195</v>
      </c>
      <c r="I48" s="2">
        <f t="shared" ca="1" si="3"/>
        <v>0</v>
      </c>
    </row>
    <row r="49" spans="2:9" x14ac:dyDescent="0.2">
      <c r="B49" s="4">
        <f t="shared" ca="1" si="9"/>
        <v>44086</v>
      </c>
      <c r="C49">
        <f t="shared" si="9"/>
        <v>38</v>
      </c>
      <c r="D49">
        <f t="shared" ca="1" si="0"/>
        <v>7</v>
      </c>
      <c r="E49" s="2">
        <f t="shared" ca="1" si="5"/>
        <v>1067.3961905144142</v>
      </c>
      <c r="F49" s="2">
        <f t="shared" ca="1" si="8"/>
        <v>0</v>
      </c>
      <c r="G49" s="2">
        <f t="shared" ca="1" si="6"/>
        <v>1067.3961905144142</v>
      </c>
      <c r="H49" s="2">
        <f t="shared" ca="1" si="2"/>
        <v>0.55563089369243479</v>
      </c>
      <c r="I49" s="2">
        <f t="shared" ca="1" si="3"/>
        <v>20</v>
      </c>
    </row>
    <row r="50" spans="2:9" x14ac:dyDescent="0.2">
      <c r="B50" s="4">
        <f t="shared" ca="1" si="9"/>
        <v>44087</v>
      </c>
      <c r="C50">
        <f t="shared" si="9"/>
        <v>39</v>
      </c>
      <c r="D50">
        <f t="shared" ca="1" si="0"/>
        <v>1</v>
      </c>
      <c r="E50" s="2">
        <f t="shared" ca="1" si="5"/>
        <v>1087.9518214081068</v>
      </c>
      <c r="F50" s="2">
        <f t="shared" ca="1" si="8"/>
        <v>0</v>
      </c>
      <c r="G50" s="2">
        <f t="shared" ca="1" si="6"/>
        <v>1087.9518214081068</v>
      </c>
      <c r="H50" s="2">
        <f t="shared" ca="1" si="2"/>
        <v>0.56633108511654873</v>
      </c>
      <c r="I50" s="2">
        <f t="shared" ca="1" si="3"/>
        <v>0</v>
      </c>
    </row>
    <row r="51" spans="2:9" x14ac:dyDescent="0.2">
      <c r="B51" s="4">
        <f t="shared" ca="1" si="9"/>
        <v>44088</v>
      </c>
      <c r="C51">
        <f t="shared" si="9"/>
        <v>40</v>
      </c>
      <c r="D51">
        <f t="shared" ca="1" si="0"/>
        <v>2</v>
      </c>
      <c r="E51" s="2">
        <f t="shared" ca="1" si="5"/>
        <v>1088.5181524932234</v>
      </c>
      <c r="F51" s="2">
        <f t="shared" ca="1" si="8"/>
        <v>0</v>
      </c>
      <c r="G51" s="2">
        <f t="shared" ca="1" si="6"/>
        <v>1088.5181524932234</v>
      </c>
      <c r="H51" s="2">
        <f t="shared" ca="1" si="2"/>
        <v>0.56662588759921217</v>
      </c>
      <c r="I51" s="2">
        <f t="shared" ca="1" si="3"/>
        <v>0</v>
      </c>
    </row>
    <row r="52" spans="2:9" x14ac:dyDescent="0.2">
      <c r="B52" s="4">
        <f t="shared" ca="1" si="9"/>
        <v>44089</v>
      </c>
      <c r="C52">
        <f t="shared" si="9"/>
        <v>41</v>
      </c>
      <c r="D52">
        <f t="shared" ca="1" si="0"/>
        <v>3</v>
      </c>
      <c r="E52" s="2">
        <f t="shared" ca="1" si="5"/>
        <v>1089.0847783808226</v>
      </c>
      <c r="F52" s="2">
        <f t="shared" ca="1" si="8"/>
        <v>0</v>
      </c>
      <c r="G52" s="2">
        <f t="shared" ca="1" si="6"/>
        <v>1089.0847783808226</v>
      </c>
      <c r="H52" s="2">
        <f t="shared" ca="1" si="2"/>
        <v>0.56692084354070216</v>
      </c>
      <c r="I52" s="2">
        <f t="shared" ca="1" si="3"/>
        <v>0</v>
      </c>
    </row>
    <row r="53" spans="2:9" x14ac:dyDescent="0.2">
      <c r="B53" s="4">
        <f t="shared" ca="1" si="9"/>
        <v>44090</v>
      </c>
      <c r="C53">
        <f t="shared" si="9"/>
        <v>42</v>
      </c>
      <c r="D53">
        <f t="shared" ca="1" si="0"/>
        <v>4</v>
      </c>
      <c r="E53" s="2">
        <f t="shared" ca="1" si="5"/>
        <v>1089.6516992243633</v>
      </c>
      <c r="F53" s="2">
        <f t="shared" ca="1" si="8"/>
        <v>0</v>
      </c>
      <c r="G53" s="2">
        <f t="shared" ca="1" si="6"/>
        <v>1089.6516992243633</v>
      </c>
      <c r="H53" s="2">
        <f t="shared" ca="1" si="2"/>
        <v>0.56721595302090144</v>
      </c>
      <c r="I53" s="2">
        <f t="shared" ca="1" si="3"/>
        <v>0</v>
      </c>
    </row>
    <row r="54" spans="2:9" x14ac:dyDescent="0.2">
      <c r="B54" s="4">
        <f t="shared" ca="1" si="9"/>
        <v>44091</v>
      </c>
      <c r="C54">
        <f t="shared" si="9"/>
        <v>43</v>
      </c>
      <c r="D54">
        <f t="shared" ca="1" si="0"/>
        <v>5</v>
      </c>
      <c r="E54" s="2">
        <f t="shared" ca="1" si="5"/>
        <v>1090.2189151773841</v>
      </c>
      <c r="F54" s="2">
        <f t="shared" ca="1" si="8"/>
        <v>0</v>
      </c>
      <c r="G54" s="2">
        <f t="shared" ca="1" si="6"/>
        <v>1090.2189151773841</v>
      </c>
      <c r="H54" s="2">
        <f t="shared" ca="1" si="2"/>
        <v>0.56751121611973421</v>
      </c>
      <c r="I54" s="2">
        <f t="shared" ca="1" si="3"/>
        <v>0</v>
      </c>
    </row>
    <row r="55" spans="2:9" x14ac:dyDescent="0.2">
      <c r="B55" s="4">
        <f t="shared" ca="1" si="9"/>
        <v>44092</v>
      </c>
      <c r="C55">
        <f t="shared" si="9"/>
        <v>44</v>
      </c>
      <c r="D55">
        <f t="shared" ca="1" si="0"/>
        <v>6</v>
      </c>
      <c r="E55" s="2">
        <f t="shared" ca="1" si="5"/>
        <v>1090.7864263935039</v>
      </c>
      <c r="F55" s="2">
        <f t="shared" ca="1" si="8"/>
        <v>0</v>
      </c>
      <c r="G55" s="2">
        <f t="shared" ca="1" si="6"/>
        <v>1090.7864263935039</v>
      </c>
      <c r="H55" s="2">
        <f t="shared" ca="1" si="2"/>
        <v>0.56780663291716638</v>
      </c>
      <c r="I55" s="2">
        <f t="shared" ca="1" si="3"/>
        <v>0</v>
      </c>
    </row>
    <row r="56" spans="2:9" x14ac:dyDescent="0.2">
      <c r="B56" s="4">
        <f t="shared" ca="1" si="9"/>
        <v>44093</v>
      </c>
      <c r="C56">
        <f t="shared" si="9"/>
        <v>45</v>
      </c>
      <c r="D56">
        <f t="shared" ca="1" si="0"/>
        <v>7</v>
      </c>
      <c r="E56" s="2">
        <f t="shared" ca="1" si="5"/>
        <v>1091.3542330264211</v>
      </c>
      <c r="F56" s="2">
        <f t="shared" ca="1" si="8"/>
        <v>0</v>
      </c>
      <c r="G56" s="2">
        <f t="shared" ca="1" si="6"/>
        <v>1091.3542330264211</v>
      </c>
      <c r="H56" s="2">
        <f t="shared" ca="1" si="2"/>
        <v>0.5681022034932055</v>
      </c>
      <c r="I56" s="2">
        <f t="shared" ca="1" si="3"/>
        <v>20</v>
      </c>
    </row>
    <row r="57" spans="2:9" x14ac:dyDescent="0.2">
      <c r="B57" s="4">
        <f t="shared" ca="1" si="9"/>
        <v>44094</v>
      </c>
      <c r="C57">
        <f t="shared" si="9"/>
        <v>46</v>
      </c>
      <c r="D57">
        <f t="shared" ca="1" si="0"/>
        <v>1</v>
      </c>
      <c r="E57" s="2">
        <f t="shared" ca="1" si="5"/>
        <v>1111.9223352299143</v>
      </c>
      <c r="F57" s="2">
        <f t="shared" ca="1" si="8"/>
        <v>0</v>
      </c>
      <c r="G57" s="2">
        <f t="shared" ca="1" si="6"/>
        <v>1111.9223352299143</v>
      </c>
      <c r="H57" s="2">
        <f t="shared" ca="1" si="2"/>
        <v>0.57880888683201015</v>
      </c>
      <c r="I57" s="2">
        <f t="shared" ca="1" si="3"/>
        <v>0</v>
      </c>
    </row>
    <row r="58" spans="2:9" x14ac:dyDescent="0.2">
      <c r="B58" s="4">
        <f t="shared" ca="1" si="9"/>
        <v>44095</v>
      </c>
      <c r="C58">
        <f t="shared" si="9"/>
        <v>47</v>
      </c>
      <c r="D58">
        <f t="shared" ca="1" si="0"/>
        <v>2</v>
      </c>
      <c r="E58" s="2">
        <f t="shared" ca="1" si="5"/>
        <v>1112.5011441167464</v>
      </c>
      <c r="F58" s="2">
        <f t="shared" ca="1" si="8"/>
        <v>0</v>
      </c>
      <c r="G58" s="2">
        <f t="shared" ca="1" si="6"/>
        <v>1112.5011441167464</v>
      </c>
      <c r="H58" s="2">
        <f t="shared" ca="1" si="2"/>
        <v>0.57911018460871733</v>
      </c>
      <c r="I58" s="2">
        <f t="shared" ca="1" si="3"/>
        <v>0</v>
      </c>
    </row>
    <row r="59" spans="2:9" x14ac:dyDescent="0.2">
      <c r="B59" s="4">
        <f t="shared" ca="1" si="9"/>
        <v>44096</v>
      </c>
      <c r="C59">
        <f t="shared" si="9"/>
        <v>48</v>
      </c>
      <c r="D59">
        <f t="shared" ca="1" si="0"/>
        <v>3</v>
      </c>
      <c r="E59" s="2">
        <f t="shared" ca="1" si="5"/>
        <v>1113.0802543013551</v>
      </c>
      <c r="F59" s="2">
        <f t="shared" ca="1" si="8"/>
        <v>0</v>
      </c>
      <c r="G59" s="2">
        <f t="shared" ca="1" si="6"/>
        <v>1113.0802543013551</v>
      </c>
      <c r="H59" s="2">
        <f t="shared" ca="1" si="2"/>
        <v>0.57941163922536298</v>
      </c>
      <c r="I59" s="2">
        <f t="shared" ca="1" si="3"/>
        <v>0</v>
      </c>
    </row>
    <row r="60" spans="2:9" x14ac:dyDescent="0.2">
      <c r="B60" s="4">
        <f t="shared" ca="1" si="9"/>
        <v>44097</v>
      </c>
      <c r="C60">
        <f t="shared" si="9"/>
        <v>49</v>
      </c>
      <c r="D60">
        <f t="shared" ca="1" si="0"/>
        <v>4</v>
      </c>
      <c r="E60" s="2">
        <f t="shared" ca="1" si="5"/>
        <v>1113.6596659405805</v>
      </c>
      <c r="F60" s="2">
        <f t="shared" ca="1" si="8"/>
        <v>0</v>
      </c>
      <c r="G60" s="2">
        <f t="shared" ca="1" si="6"/>
        <v>1113.6596659405805</v>
      </c>
      <c r="H60" s="2">
        <f t="shared" ca="1" si="2"/>
        <v>0.57971325076358982</v>
      </c>
      <c r="I60" s="2">
        <f t="shared" ca="1" si="3"/>
        <v>0</v>
      </c>
    </row>
    <row r="61" spans="2:9" x14ac:dyDescent="0.2">
      <c r="B61" s="4">
        <f t="shared" ref="B61:C76" ca="1" si="10">B60+1</f>
        <v>44098</v>
      </c>
      <c r="C61">
        <f t="shared" si="10"/>
        <v>50</v>
      </c>
      <c r="D61">
        <f t="shared" ca="1" si="0"/>
        <v>5</v>
      </c>
      <c r="E61" s="2">
        <f t="shared" ca="1" si="5"/>
        <v>1114.2393791913441</v>
      </c>
      <c r="F61" s="2">
        <f t="shared" ca="1" si="8"/>
        <v>0</v>
      </c>
      <c r="G61" s="2">
        <f t="shared" ca="1" si="6"/>
        <v>1114.2393791913441</v>
      </c>
      <c r="H61" s="2">
        <f t="shared" ca="1" si="2"/>
        <v>0.58001501930508326</v>
      </c>
      <c r="I61" s="2">
        <f t="shared" ca="1" si="3"/>
        <v>0</v>
      </c>
    </row>
    <row r="62" spans="2:9" x14ac:dyDescent="0.2">
      <c r="B62" s="4">
        <f t="shared" ca="1" si="10"/>
        <v>44099</v>
      </c>
      <c r="C62">
        <f t="shared" si="10"/>
        <v>51</v>
      </c>
      <c r="D62">
        <f t="shared" ca="1" si="0"/>
        <v>6</v>
      </c>
      <c r="E62" s="2">
        <f t="shared" ca="1" si="5"/>
        <v>1114.8193942106493</v>
      </c>
      <c r="F62" s="2">
        <f t="shared" ca="1" si="8"/>
        <v>0</v>
      </c>
      <c r="G62" s="2">
        <f t="shared" ca="1" si="6"/>
        <v>1114.8193942106493</v>
      </c>
      <c r="H62" s="2">
        <f t="shared" ca="1" si="2"/>
        <v>0.58031694493157093</v>
      </c>
      <c r="I62" s="2">
        <f t="shared" ca="1" si="3"/>
        <v>0</v>
      </c>
    </row>
    <row r="63" spans="2:9" x14ac:dyDescent="0.2">
      <c r="B63" s="4">
        <f t="shared" ca="1" si="10"/>
        <v>44100</v>
      </c>
      <c r="C63">
        <f t="shared" si="10"/>
        <v>52</v>
      </c>
      <c r="D63">
        <f t="shared" ca="1" si="0"/>
        <v>7</v>
      </c>
      <c r="E63" s="2">
        <f t="shared" ca="1" si="5"/>
        <v>1115.3997111555809</v>
      </c>
      <c r="F63" s="2">
        <f t="shared" ca="1" si="8"/>
        <v>0</v>
      </c>
      <c r="G63" s="2">
        <f t="shared" ca="1" si="6"/>
        <v>1115.3997111555809</v>
      </c>
      <c r="H63" s="2">
        <f t="shared" ca="1" si="2"/>
        <v>0.58061902772482288</v>
      </c>
      <c r="I63" s="2">
        <f t="shared" ca="1" si="3"/>
        <v>20</v>
      </c>
    </row>
    <row r="64" spans="2:9" x14ac:dyDescent="0.2">
      <c r="B64" s="4">
        <f t="shared" ca="1" si="10"/>
        <v>44101</v>
      </c>
      <c r="C64">
        <f t="shared" si="10"/>
        <v>53</v>
      </c>
      <c r="D64">
        <f t="shared" ca="1" si="0"/>
        <v>1</v>
      </c>
      <c r="E64" s="2">
        <f t="shared" ca="1" si="5"/>
        <v>1135.9803301833058</v>
      </c>
      <c r="F64" s="2">
        <f t="shared" ca="1" si="8"/>
        <v>0</v>
      </c>
      <c r="G64" s="2">
        <f t="shared" ca="1" si="6"/>
        <v>1135.9803301833058</v>
      </c>
      <c r="H64" s="2">
        <f t="shared" ca="1" si="2"/>
        <v>0.59133222667076191</v>
      </c>
      <c r="I64" s="2">
        <f t="shared" ca="1" si="3"/>
        <v>0</v>
      </c>
    </row>
    <row r="65" spans="2:9" x14ac:dyDescent="0.2">
      <c r="B65" s="4">
        <f t="shared" ca="1" si="10"/>
        <v>44102</v>
      </c>
      <c r="C65">
        <f t="shared" si="10"/>
        <v>54</v>
      </c>
      <c r="D65">
        <f t="shared" ca="1" si="0"/>
        <v>2</v>
      </c>
      <c r="E65" s="2">
        <f t="shared" ca="1" si="5"/>
        <v>1136.5716624099766</v>
      </c>
      <c r="F65" s="2">
        <f t="shared" ca="1" si="8"/>
        <v>0</v>
      </c>
      <c r="G65" s="2">
        <f t="shared" ca="1" si="6"/>
        <v>1136.5716624099766</v>
      </c>
      <c r="H65" s="2">
        <f t="shared" ca="1" si="2"/>
        <v>0.59164004344628918</v>
      </c>
      <c r="I65" s="2">
        <f t="shared" ca="1" si="3"/>
        <v>0</v>
      </c>
    </row>
    <row r="66" spans="2:9" x14ac:dyDescent="0.2">
      <c r="B66" s="4">
        <f t="shared" ca="1" si="10"/>
        <v>44103</v>
      </c>
      <c r="C66">
        <f t="shared" si="10"/>
        <v>55</v>
      </c>
      <c r="D66">
        <f t="shared" ca="1" si="0"/>
        <v>3</v>
      </c>
      <c r="E66" s="2">
        <f t="shared" ca="1" si="5"/>
        <v>1137.1633024534228</v>
      </c>
      <c r="F66" s="2">
        <f t="shared" ca="1" si="8"/>
        <v>0</v>
      </c>
      <c r="G66" s="2">
        <f t="shared" ca="1" si="6"/>
        <v>1137.1633024534228</v>
      </c>
      <c r="H66" s="2">
        <f t="shared" ca="1" si="2"/>
        <v>0.59194802045520645</v>
      </c>
      <c r="I66" s="2">
        <f t="shared" ca="1" si="3"/>
        <v>0</v>
      </c>
    </row>
    <row r="67" spans="2:9" x14ac:dyDescent="0.2">
      <c r="B67" s="4">
        <f t="shared" ca="1" si="10"/>
        <v>44104</v>
      </c>
      <c r="C67">
        <f t="shared" si="10"/>
        <v>56</v>
      </c>
      <c r="D67">
        <f t="shared" ca="1" si="0"/>
        <v>4</v>
      </c>
      <c r="E67" s="2">
        <f t="shared" ca="1" si="5"/>
        <v>1137.755250473878</v>
      </c>
      <c r="F67" s="2">
        <f t="shared" ca="1" si="8"/>
        <v>0</v>
      </c>
      <c r="G67" s="2">
        <f t="shared" ca="1" si="6"/>
        <v>1137.755250473878</v>
      </c>
      <c r="H67" s="2">
        <f t="shared" ca="1" si="2"/>
        <v>0.59225615778092289</v>
      </c>
      <c r="I67" s="2">
        <f t="shared" ca="1" si="3"/>
        <v>0</v>
      </c>
    </row>
    <row r="68" spans="2:9" x14ac:dyDescent="0.2">
      <c r="B68" s="4">
        <f t="shared" ca="1" si="10"/>
        <v>44105</v>
      </c>
      <c r="C68">
        <f t="shared" si="10"/>
        <v>57</v>
      </c>
      <c r="D68">
        <f t="shared" ca="1" si="0"/>
        <v>5</v>
      </c>
      <c r="E68" s="2">
        <f t="shared" ca="1" si="5"/>
        <v>1138.3475066316589</v>
      </c>
      <c r="F68" s="2">
        <f t="shared" ca="1" si="8"/>
        <v>0</v>
      </c>
      <c r="G68" s="2">
        <f t="shared" ca="1" si="6"/>
        <v>1138.3475066316589</v>
      </c>
      <c r="H68" s="2">
        <f t="shared" ca="1" si="2"/>
        <v>0.59256445550689096</v>
      </c>
      <c r="I68" s="2">
        <f t="shared" ca="1" si="3"/>
        <v>0</v>
      </c>
    </row>
    <row r="69" spans="2:9" x14ac:dyDescent="0.2">
      <c r="B69" s="4">
        <f t="shared" ca="1" si="10"/>
        <v>44106</v>
      </c>
      <c r="C69">
        <f t="shared" si="10"/>
        <v>58</v>
      </c>
      <c r="D69">
        <f t="shared" ca="1" si="0"/>
        <v>6</v>
      </c>
      <c r="E69" s="2">
        <f t="shared" ca="1" si="5"/>
        <v>1138.9400710871657</v>
      </c>
      <c r="F69" s="2">
        <f t="shared" ca="1" si="8"/>
        <v>0</v>
      </c>
      <c r="G69" s="2">
        <f t="shared" ca="1" si="6"/>
        <v>1138.9400710871657</v>
      </c>
      <c r="H69" s="2">
        <f t="shared" ca="1" si="2"/>
        <v>0.59287291371660689</v>
      </c>
      <c r="I69" s="2">
        <f t="shared" ca="1" si="3"/>
        <v>0</v>
      </c>
    </row>
    <row r="70" spans="2:9" x14ac:dyDescent="0.2">
      <c r="B70" s="4">
        <f t="shared" ca="1" si="10"/>
        <v>44107</v>
      </c>
      <c r="C70">
        <f t="shared" si="10"/>
        <v>59</v>
      </c>
      <c r="D70">
        <f t="shared" ca="1" si="0"/>
        <v>7</v>
      </c>
      <c r="E70" s="2">
        <f t="shared" ca="1" si="5"/>
        <v>1139.5329440008823</v>
      </c>
      <c r="F70" s="2">
        <f t="shared" ca="1" si="8"/>
        <v>0</v>
      </c>
      <c r="G70" s="2">
        <f t="shared" ca="1" si="6"/>
        <v>1139.5329440008823</v>
      </c>
      <c r="H70" s="2">
        <f t="shared" ca="1" si="2"/>
        <v>0.59318153249360994</v>
      </c>
      <c r="I70" s="2">
        <f t="shared" ca="1" si="3"/>
        <v>20</v>
      </c>
    </row>
    <row r="71" spans="2:9" x14ac:dyDescent="0.2">
      <c r="B71" s="4">
        <f t="shared" ca="1" si="10"/>
        <v>44108</v>
      </c>
      <c r="C71">
        <f t="shared" si="10"/>
        <v>60</v>
      </c>
      <c r="D71">
        <f t="shared" ca="1" si="0"/>
        <v>1</v>
      </c>
      <c r="E71" s="2">
        <f t="shared" ca="1" si="5"/>
        <v>1160.1261255333759</v>
      </c>
      <c r="F71" s="2">
        <f t="shared" ca="1" si="8"/>
        <v>0</v>
      </c>
      <c r="G71" s="2">
        <f t="shared" ca="1" si="6"/>
        <v>1160.1261255333759</v>
      </c>
      <c r="H71" s="2">
        <f t="shared" ca="1" si="2"/>
        <v>0.60390127082559297</v>
      </c>
      <c r="I71" s="2">
        <f t="shared" ca="1" si="3"/>
        <v>0</v>
      </c>
    </row>
    <row r="72" spans="2:9" x14ac:dyDescent="0.2">
      <c r="B72" s="4">
        <f t="shared" ca="1" si="10"/>
        <v>44109</v>
      </c>
      <c r="C72">
        <f t="shared" si="10"/>
        <v>61</v>
      </c>
      <c r="D72">
        <f t="shared" ca="1" si="0"/>
        <v>2</v>
      </c>
      <c r="E72" s="2">
        <f t="shared" ca="1" si="5"/>
        <v>1160.7300268042015</v>
      </c>
      <c r="F72" s="2">
        <f t="shared" ca="1" si="8"/>
        <v>307.49483559478722</v>
      </c>
      <c r="G72" s="2">
        <f t="shared" ca="1" si="6"/>
        <v>853.23519120941432</v>
      </c>
      <c r="H72" s="2">
        <f t="shared" ca="1" si="2"/>
        <v>0.44414982556106503</v>
      </c>
      <c r="I72" s="2">
        <f t="shared" ca="1" si="3"/>
        <v>0</v>
      </c>
    </row>
    <row r="73" spans="2:9" x14ac:dyDescent="0.2">
      <c r="B73" s="4">
        <f t="shared" ca="1" si="10"/>
        <v>44110</v>
      </c>
      <c r="C73">
        <f t="shared" si="10"/>
        <v>62</v>
      </c>
      <c r="D73">
        <f t="shared" ca="1" si="0"/>
        <v>3</v>
      </c>
      <c r="E73" s="2">
        <f t="shared" ca="1" si="5"/>
        <v>853.67934103497544</v>
      </c>
      <c r="F73" s="2">
        <f t="shared" ca="1" si="8"/>
        <v>0</v>
      </c>
      <c r="G73" s="2">
        <f t="shared" ca="1" si="6"/>
        <v>853.67934103497544</v>
      </c>
      <c r="H73" s="2">
        <f t="shared" ca="1" si="2"/>
        <v>0.4443810268401242</v>
      </c>
      <c r="I73" s="2">
        <f t="shared" ca="1" si="3"/>
        <v>0</v>
      </c>
    </row>
    <row r="74" spans="2:9" x14ac:dyDescent="0.2">
      <c r="B74" s="4">
        <f t="shared" ca="1" si="10"/>
        <v>44111</v>
      </c>
      <c r="C74">
        <f t="shared" si="10"/>
        <v>63</v>
      </c>
      <c r="D74">
        <f t="shared" ca="1" si="0"/>
        <v>4</v>
      </c>
      <c r="E74" s="2">
        <f t="shared" ca="1" si="5"/>
        <v>854.12372206181556</v>
      </c>
      <c r="F74" s="2">
        <f t="shared" ca="1" si="8"/>
        <v>0</v>
      </c>
      <c r="G74" s="2">
        <f t="shared" ca="1" si="6"/>
        <v>854.12372206181556</v>
      </c>
      <c r="H74" s="2">
        <f t="shared" ca="1" si="2"/>
        <v>0.4446123484705341</v>
      </c>
      <c r="I74" s="2">
        <f t="shared" ca="1" si="3"/>
        <v>0</v>
      </c>
    </row>
    <row r="75" spans="2:9" x14ac:dyDescent="0.2">
      <c r="B75" s="4">
        <f t="shared" ca="1" si="10"/>
        <v>44112</v>
      </c>
      <c r="C75">
        <f t="shared" si="10"/>
        <v>64</v>
      </c>
      <c r="D75">
        <f t="shared" ca="1" si="0"/>
        <v>5</v>
      </c>
      <c r="E75" s="2">
        <f t="shared" ca="1" si="5"/>
        <v>854.56833441028607</v>
      </c>
      <c r="F75" s="2">
        <f t="shared" ca="1" si="8"/>
        <v>0</v>
      </c>
      <c r="G75" s="2">
        <f t="shared" ca="1" si="6"/>
        <v>854.56833441028607</v>
      </c>
      <c r="H75" s="2">
        <f t="shared" ca="1" si="2"/>
        <v>0.44484379051494344</v>
      </c>
      <c r="I75" s="2">
        <f t="shared" ca="1" si="3"/>
        <v>0</v>
      </c>
    </row>
    <row r="76" spans="2:9" x14ac:dyDescent="0.2">
      <c r="B76" s="4">
        <f t="shared" ca="1" si="10"/>
        <v>44113</v>
      </c>
      <c r="C76">
        <f t="shared" si="10"/>
        <v>65</v>
      </c>
      <c r="D76">
        <f t="shared" ref="D76:D139" ca="1" si="11">WEEKDAY(B76,1)</f>
        <v>6</v>
      </c>
      <c r="E76" s="2">
        <f t="shared" ca="1" si="5"/>
        <v>855.01317820080101</v>
      </c>
      <c r="F76" s="2">
        <f t="shared" ca="1" si="8"/>
        <v>0</v>
      </c>
      <c r="G76" s="2">
        <f t="shared" ca="1" si="6"/>
        <v>855.01317820080101</v>
      </c>
      <c r="H76" s="2">
        <f t="shared" ref="H76:H139" ca="1" si="12">IF(C76&gt;$C$7,0,(G76)*$C$5/365)</f>
        <v>0.44507535303603341</v>
      </c>
      <c r="I76" s="2">
        <f t="shared" ref="I76:I139" ca="1" si="13">IF(AND(C76=0,D76=7),$C$6,IF(C76=$C$7,0,IF(C76&lt;$C$7,IF(D76=7,$C$6,0),0)))</f>
        <v>0</v>
      </c>
    </row>
    <row r="77" spans="2:9" x14ac:dyDescent="0.2">
      <c r="B77" s="4">
        <f t="shared" ref="B77:C92" ca="1" si="14">B76+1</f>
        <v>44114</v>
      </c>
      <c r="C77">
        <f t="shared" si="14"/>
        <v>66</v>
      </c>
      <c r="D77">
        <f t="shared" ca="1" si="11"/>
        <v>7</v>
      </c>
      <c r="E77" s="2">
        <f t="shared" ref="E77:E140" ca="1" si="15">IF(C77&gt;$C$7,0,G76+H76+I76)</f>
        <v>855.45825355383704</v>
      </c>
      <c r="F77" s="2">
        <f t="shared" ca="1" si="8"/>
        <v>0</v>
      </c>
      <c r="G77" s="2">
        <f t="shared" ref="G77:G140" ca="1" si="16">IF(C77&gt;$C$7,G76,E77-F77)</f>
        <v>855.45825355383704</v>
      </c>
      <c r="H77" s="2">
        <f t="shared" ca="1" si="12"/>
        <v>0.44530703609651795</v>
      </c>
      <c r="I77" s="2">
        <f t="shared" ca="1" si="13"/>
        <v>20</v>
      </c>
    </row>
    <row r="78" spans="2:9" x14ac:dyDescent="0.2">
      <c r="B78" s="4">
        <f t="shared" ca="1" si="14"/>
        <v>44115</v>
      </c>
      <c r="C78">
        <f t="shared" si="14"/>
        <v>67</v>
      </c>
      <c r="D78">
        <f t="shared" ca="1" si="11"/>
        <v>1</v>
      </c>
      <c r="E78" s="2">
        <f t="shared" ca="1" si="15"/>
        <v>875.90356058993359</v>
      </c>
      <c r="F78" s="2">
        <f t="shared" ca="1" si="8"/>
        <v>0</v>
      </c>
      <c r="G78" s="2">
        <f t="shared" ca="1" si="16"/>
        <v>875.90356058993359</v>
      </c>
      <c r="H78" s="2">
        <f t="shared" ca="1" si="12"/>
        <v>0.45594979866325308</v>
      </c>
      <c r="I78" s="2">
        <f t="shared" ca="1" si="13"/>
        <v>0</v>
      </c>
    </row>
    <row r="79" spans="2:9" x14ac:dyDescent="0.2">
      <c r="B79" s="4">
        <f t="shared" ca="1" si="14"/>
        <v>44116</v>
      </c>
      <c r="C79">
        <f t="shared" si="14"/>
        <v>68</v>
      </c>
      <c r="D79">
        <f t="shared" ca="1" si="11"/>
        <v>2</v>
      </c>
      <c r="E79" s="2">
        <f t="shared" ca="1" si="15"/>
        <v>876.35951038859685</v>
      </c>
      <c r="F79" s="2">
        <f t="shared" ca="1" si="8"/>
        <v>0</v>
      </c>
      <c r="G79" s="2">
        <f t="shared" ca="1" si="16"/>
        <v>876.35951038859685</v>
      </c>
      <c r="H79" s="2">
        <f t="shared" ca="1" si="12"/>
        <v>0.45618714239406416</v>
      </c>
      <c r="I79" s="2">
        <f t="shared" ca="1" si="13"/>
        <v>0</v>
      </c>
    </row>
    <row r="80" spans="2:9" x14ac:dyDescent="0.2">
      <c r="B80" s="4">
        <f t="shared" ca="1" si="14"/>
        <v>44117</v>
      </c>
      <c r="C80">
        <f t="shared" si="14"/>
        <v>69</v>
      </c>
      <c r="D80">
        <f t="shared" ca="1" si="11"/>
        <v>3</v>
      </c>
      <c r="E80" s="2">
        <f t="shared" ca="1" si="15"/>
        <v>876.81569753099086</v>
      </c>
      <c r="F80" s="2">
        <f t="shared" ca="1" si="8"/>
        <v>0</v>
      </c>
      <c r="G80" s="2">
        <f t="shared" ca="1" si="16"/>
        <v>876.81569753099086</v>
      </c>
      <c r="H80" s="2">
        <f t="shared" ca="1" si="12"/>
        <v>0.45642460967366649</v>
      </c>
      <c r="I80" s="2">
        <f t="shared" ca="1" si="13"/>
        <v>0</v>
      </c>
    </row>
    <row r="81" spans="2:9" x14ac:dyDescent="0.2">
      <c r="B81" s="4">
        <f t="shared" ca="1" si="14"/>
        <v>44118</v>
      </c>
      <c r="C81">
        <f t="shared" si="14"/>
        <v>70</v>
      </c>
      <c r="D81">
        <f t="shared" ca="1" si="11"/>
        <v>4</v>
      </c>
      <c r="E81" s="2">
        <f t="shared" ca="1" si="15"/>
        <v>877.27212214066458</v>
      </c>
      <c r="F81" s="2">
        <f t="shared" ca="1" si="8"/>
        <v>0</v>
      </c>
      <c r="G81" s="2">
        <f t="shared" ca="1" si="16"/>
        <v>877.27212214066458</v>
      </c>
      <c r="H81" s="2">
        <f t="shared" ca="1" si="12"/>
        <v>0.45666220056637336</v>
      </c>
      <c r="I81" s="2">
        <f t="shared" ca="1" si="13"/>
        <v>0</v>
      </c>
    </row>
    <row r="82" spans="2:9" x14ac:dyDescent="0.2">
      <c r="B82" s="4">
        <f t="shared" ca="1" si="14"/>
        <v>44119</v>
      </c>
      <c r="C82">
        <f t="shared" si="14"/>
        <v>71</v>
      </c>
      <c r="D82">
        <f t="shared" ca="1" si="11"/>
        <v>5</v>
      </c>
      <c r="E82" s="2">
        <f t="shared" ca="1" si="15"/>
        <v>877.72878434123095</v>
      </c>
      <c r="F82" s="2">
        <f t="shared" ca="1" si="8"/>
        <v>0</v>
      </c>
      <c r="G82" s="2">
        <f t="shared" ca="1" si="16"/>
        <v>877.72878434123095</v>
      </c>
      <c r="H82" s="2">
        <f t="shared" ca="1" si="12"/>
        <v>0.45689991513653117</v>
      </c>
      <c r="I82" s="2">
        <f t="shared" ca="1" si="13"/>
        <v>0</v>
      </c>
    </row>
    <row r="83" spans="2:9" x14ac:dyDescent="0.2">
      <c r="B83" s="4">
        <f t="shared" ca="1" si="14"/>
        <v>44120</v>
      </c>
      <c r="C83">
        <f t="shared" si="14"/>
        <v>72</v>
      </c>
      <c r="D83">
        <f t="shared" ca="1" si="11"/>
        <v>6</v>
      </c>
      <c r="E83" s="2">
        <f t="shared" ca="1" si="15"/>
        <v>878.18568425636749</v>
      </c>
      <c r="F83" s="2">
        <f t="shared" ca="1" si="8"/>
        <v>0</v>
      </c>
      <c r="G83" s="2">
        <f t="shared" ca="1" si="16"/>
        <v>878.18568425636749</v>
      </c>
      <c r="H83" s="2">
        <f t="shared" ca="1" si="12"/>
        <v>0.45713775344852009</v>
      </c>
      <c r="I83" s="2">
        <f t="shared" ca="1" si="13"/>
        <v>0</v>
      </c>
    </row>
    <row r="84" spans="2:9" x14ac:dyDescent="0.2">
      <c r="B84" s="4">
        <f t="shared" ca="1" si="14"/>
        <v>44121</v>
      </c>
      <c r="C84">
        <f t="shared" si="14"/>
        <v>73</v>
      </c>
      <c r="D84">
        <f t="shared" ca="1" si="11"/>
        <v>7</v>
      </c>
      <c r="E84" s="2">
        <f t="shared" ca="1" si="15"/>
        <v>878.64282200981597</v>
      </c>
      <c r="F84" s="2">
        <f t="shared" ca="1" si="8"/>
        <v>0</v>
      </c>
      <c r="G84" s="2">
        <f t="shared" ca="1" si="16"/>
        <v>878.64282200981597</v>
      </c>
      <c r="H84" s="2">
        <f t="shared" ca="1" si="12"/>
        <v>0.45737571556675355</v>
      </c>
      <c r="I84" s="2">
        <f t="shared" ca="1" si="13"/>
        <v>20</v>
      </c>
    </row>
    <row r="85" spans="2:9" x14ac:dyDescent="0.2">
      <c r="B85" s="4">
        <f t="shared" ca="1" si="14"/>
        <v>44122</v>
      </c>
      <c r="C85">
        <f t="shared" si="14"/>
        <v>74</v>
      </c>
      <c r="D85">
        <f t="shared" ca="1" si="11"/>
        <v>1</v>
      </c>
      <c r="E85" s="2">
        <f t="shared" ca="1" si="15"/>
        <v>899.10019772538271</v>
      </c>
      <c r="F85" s="2">
        <f t="shared" ca="1" si="8"/>
        <v>0</v>
      </c>
      <c r="G85" s="2">
        <f t="shared" ca="1" si="16"/>
        <v>899.10019772538271</v>
      </c>
      <c r="H85" s="2">
        <f t="shared" ca="1" si="12"/>
        <v>0.4680247604597883</v>
      </c>
      <c r="I85" s="2">
        <f t="shared" ca="1" si="13"/>
        <v>0</v>
      </c>
    </row>
    <row r="86" spans="2:9" x14ac:dyDescent="0.2">
      <c r="B86" s="4">
        <f t="shared" ca="1" si="14"/>
        <v>44123</v>
      </c>
      <c r="C86">
        <f t="shared" si="14"/>
        <v>75</v>
      </c>
      <c r="D86">
        <f t="shared" ca="1" si="11"/>
        <v>2</v>
      </c>
      <c r="E86" s="2">
        <f t="shared" ca="1" si="15"/>
        <v>899.56822248584251</v>
      </c>
      <c r="F86" s="2">
        <f t="shared" ca="1" si="8"/>
        <v>0</v>
      </c>
      <c r="G86" s="2">
        <f t="shared" ca="1" si="16"/>
        <v>899.56822248584251</v>
      </c>
      <c r="H86" s="2">
        <f t="shared" ca="1" si="12"/>
        <v>0.46826838978715096</v>
      </c>
      <c r="I86" s="2">
        <f t="shared" ca="1" si="13"/>
        <v>0</v>
      </c>
    </row>
    <row r="87" spans="2:9" x14ac:dyDescent="0.2">
      <c r="B87" s="4">
        <f t="shared" ca="1" si="14"/>
        <v>44124</v>
      </c>
      <c r="C87">
        <f t="shared" si="14"/>
        <v>76</v>
      </c>
      <c r="D87">
        <f t="shared" ca="1" si="11"/>
        <v>3</v>
      </c>
      <c r="E87" s="2">
        <f t="shared" ca="1" si="15"/>
        <v>900.03649087562962</v>
      </c>
      <c r="F87" s="2">
        <f t="shared" ca="1" si="8"/>
        <v>0</v>
      </c>
      <c r="G87" s="2">
        <f t="shared" ca="1" si="16"/>
        <v>900.03649087562962</v>
      </c>
      <c r="H87" s="2">
        <f t="shared" ca="1" si="12"/>
        <v>0.46851214593525925</v>
      </c>
      <c r="I87" s="2">
        <f t="shared" ca="1" si="13"/>
        <v>0</v>
      </c>
    </row>
    <row r="88" spans="2:9" x14ac:dyDescent="0.2">
      <c r="B88" s="4">
        <f t="shared" ca="1" si="14"/>
        <v>44125</v>
      </c>
      <c r="C88">
        <f t="shared" si="14"/>
        <v>77</v>
      </c>
      <c r="D88">
        <f t="shared" ca="1" si="11"/>
        <v>4</v>
      </c>
      <c r="E88" s="2">
        <f t="shared" ca="1" si="15"/>
        <v>900.5050030215649</v>
      </c>
      <c r="F88" s="2">
        <f t="shared" ca="1" si="8"/>
        <v>0</v>
      </c>
      <c r="G88" s="2">
        <f t="shared" ca="1" si="16"/>
        <v>900.5050030215649</v>
      </c>
      <c r="H88" s="2">
        <f t="shared" ca="1" si="12"/>
        <v>0.46875602897012969</v>
      </c>
      <c r="I88" s="2">
        <f t="shared" ca="1" si="13"/>
        <v>0</v>
      </c>
    </row>
    <row r="89" spans="2:9" x14ac:dyDescent="0.2">
      <c r="B89" s="4">
        <f t="shared" ca="1" si="14"/>
        <v>44126</v>
      </c>
      <c r="C89">
        <f t="shared" si="14"/>
        <v>78</v>
      </c>
      <c r="D89">
        <f t="shared" ca="1" si="11"/>
        <v>5</v>
      </c>
      <c r="E89" s="2">
        <f t="shared" ca="1" si="15"/>
        <v>900.97375905053502</v>
      </c>
      <c r="F89" s="2">
        <f t="shared" ca="1" si="8"/>
        <v>0</v>
      </c>
      <c r="G89" s="2">
        <f t="shared" ca="1" si="16"/>
        <v>900.97375905053502</v>
      </c>
      <c r="H89" s="2">
        <f t="shared" ca="1" si="12"/>
        <v>0.46900003895781278</v>
      </c>
      <c r="I89" s="2">
        <f t="shared" ca="1" si="13"/>
        <v>0</v>
      </c>
    </row>
    <row r="90" spans="2:9" x14ac:dyDescent="0.2">
      <c r="B90" s="4">
        <f t="shared" ca="1" si="14"/>
        <v>44127</v>
      </c>
      <c r="C90">
        <f t="shared" si="14"/>
        <v>79</v>
      </c>
      <c r="D90">
        <f t="shared" ca="1" si="11"/>
        <v>6</v>
      </c>
      <c r="E90" s="2">
        <f t="shared" ca="1" si="15"/>
        <v>901.44275908949282</v>
      </c>
      <c r="F90" s="2">
        <f t="shared" ca="1" si="8"/>
        <v>0</v>
      </c>
      <c r="G90" s="2">
        <f t="shared" ca="1" si="16"/>
        <v>901.44275908949282</v>
      </c>
      <c r="H90" s="2">
        <f t="shared" ca="1" si="12"/>
        <v>0.4692441759643935</v>
      </c>
      <c r="I90" s="2">
        <f t="shared" ca="1" si="13"/>
        <v>0</v>
      </c>
    </row>
    <row r="91" spans="2:9" x14ac:dyDescent="0.2">
      <c r="B91" s="4">
        <f t="shared" ca="1" si="14"/>
        <v>44128</v>
      </c>
      <c r="C91">
        <f t="shared" si="14"/>
        <v>80</v>
      </c>
      <c r="D91">
        <f t="shared" ca="1" si="11"/>
        <v>7</v>
      </c>
      <c r="E91" s="2">
        <f t="shared" ca="1" si="15"/>
        <v>901.9120032654572</v>
      </c>
      <c r="F91" s="2">
        <f t="shared" ca="1" si="8"/>
        <v>0</v>
      </c>
      <c r="G91" s="2">
        <f t="shared" ca="1" si="16"/>
        <v>901.9120032654572</v>
      </c>
      <c r="H91" s="2">
        <f t="shared" ca="1" si="12"/>
        <v>0.46948844005599144</v>
      </c>
      <c r="I91" s="2">
        <f t="shared" ca="1" si="13"/>
        <v>20</v>
      </c>
    </row>
    <row r="92" spans="2:9" x14ac:dyDescent="0.2">
      <c r="B92" s="4">
        <f t="shared" ca="1" si="14"/>
        <v>44129</v>
      </c>
      <c r="C92">
        <f t="shared" si="14"/>
        <v>81</v>
      </c>
      <c r="D92">
        <f t="shared" ca="1" si="11"/>
        <v>1</v>
      </c>
      <c r="E92" s="2">
        <f t="shared" ca="1" si="15"/>
        <v>922.38149170551321</v>
      </c>
      <c r="F92" s="2">
        <f t="shared" ca="1" si="8"/>
        <v>0</v>
      </c>
      <c r="G92" s="2">
        <f t="shared" ca="1" si="16"/>
        <v>922.38149170551321</v>
      </c>
      <c r="H92" s="2">
        <f t="shared" ca="1" si="12"/>
        <v>0.4801437902028699</v>
      </c>
      <c r="I92" s="2">
        <f t="shared" ca="1" si="13"/>
        <v>0</v>
      </c>
    </row>
    <row r="93" spans="2:9" x14ac:dyDescent="0.2">
      <c r="B93" s="4">
        <f t="shared" ref="B93:C108" ca="1" si="17">B92+1</f>
        <v>44130</v>
      </c>
      <c r="C93">
        <f t="shared" si="17"/>
        <v>82</v>
      </c>
      <c r="D93">
        <f t="shared" ca="1" si="11"/>
        <v>2</v>
      </c>
      <c r="E93" s="2">
        <f t="shared" ca="1" si="15"/>
        <v>922.86163549571609</v>
      </c>
      <c r="F93" s="2">
        <f t="shared" ca="1" si="8"/>
        <v>0</v>
      </c>
      <c r="G93" s="2">
        <f t="shared" ca="1" si="16"/>
        <v>922.86163549571609</v>
      </c>
      <c r="H93" s="2">
        <f t="shared" ca="1" si="12"/>
        <v>0.48039372806626318</v>
      </c>
      <c r="I93" s="2">
        <f t="shared" ca="1" si="13"/>
        <v>0</v>
      </c>
    </row>
    <row r="94" spans="2:9" x14ac:dyDescent="0.2">
      <c r="B94" s="4">
        <f t="shared" ca="1" si="17"/>
        <v>44131</v>
      </c>
      <c r="C94">
        <f t="shared" si="17"/>
        <v>83</v>
      </c>
      <c r="D94">
        <f t="shared" ca="1" si="11"/>
        <v>3</v>
      </c>
      <c r="E94" s="2">
        <f t="shared" ca="1" si="15"/>
        <v>923.34202922378233</v>
      </c>
      <c r="F94" s="2">
        <f t="shared" ca="1" si="8"/>
        <v>0</v>
      </c>
      <c r="G94" s="2">
        <f t="shared" ca="1" si="16"/>
        <v>923.34202922378233</v>
      </c>
      <c r="H94" s="2">
        <f t="shared" ca="1" si="12"/>
        <v>0.48064379603429763</v>
      </c>
      <c r="I94" s="2">
        <f t="shared" ca="1" si="13"/>
        <v>0</v>
      </c>
    </row>
    <row r="95" spans="2:9" x14ac:dyDescent="0.2">
      <c r="B95" s="4">
        <f t="shared" ca="1" si="17"/>
        <v>44132</v>
      </c>
      <c r="C95">
        <f t="shared" si="17"/>
        <v>84</v>
      </c>
      <c r="D95">
        <f t="shared" ca="1" si="11"/>
        <v>4</v>
      </c>
      <c r="E95" s="2">
        <f t="shared" ca="1" si="15"/>
        <v>923.82267301981665</v>
      </c>
      <c r="F95" s="2">
        <f t="shared" ca="1" si="8"/>
        <v>0</v>
      </c>
      <c r="G95" s="2">
        <f t="shared" ca="1" si="16"/>
        <v>923.82267301981665</v>
      </c>
      <c r="H95" s="2">
        <f t="shared" ca="1" si="12"/>
        <v>0.48089399417469914</v>
      </c>
      <c r="I95" s="2">
        <f t="shared" ca="1" si="13"/>
        <v>0</v>
      </c>
    </row>
    <row r="96" spans="2:9" x14ac:dyDescent="0.2">
      <c r="B96" s="4">
        <f t="shared" ca="1" si="17"/>
        <v>44133</v>
      </c>
      <c r="C96">
        <f t="shared" si="17"/>
        <v>85</v>
      </c>
      <c r="D96">
        <f t="shared" ca="1" si="11"/>
        <v>5</v>
      </c>
      <c r="E96" s="2">
        <f t="shared" ca="1" si="15"/>
        <v>924.30356701399137</v>
      </c>
      <c r="F96" s="2">
        <f t="shared" ca="1" si="8"/>
        <v>0</v>
      </c>
      <c r="G96" s="2">
        <f t="shared" ca="1" si="16"/>
        <v>924.30356701399137</v>
      </c>
      <c r="H96" s="2">
        <f t="shared" ca="1" si="12"/>
        <v>0.48114432255522838</v>
      </c>
      <c r="I96" s="2">
        <f t="shared" ca="1" si="13"/>
        <v>0</v>
      </c>
    </row>
    <row r="97" spans="2:9" x14ac:dyDescent="0.2">
      <c r="B97" s="4">
        <f t="shared" ca="1" si="17"/>
        <v>44134</v>
      </c>
      <c r="C97">
        <f t="shared" si="17"/>
        <v>86</v>
      </c>
      <c r="D97">
        <f t="shared" ca="1" si="11"/>
        <v>6</v>
      </c>
      <c r="E97" s="2">
        <f t="shared" ca="1" si="15"/>
        <v>924.78471133654659</v>
      </c>
      <c r="F97" s="2">
        <f t="shared" ca="1" si="8"/>
        <v>0</v>
      </c>
      <c r="G97" s="2">
        <f t="shared" ca="1" si="16"/>
        <v>924.78471133654659</v>
      </c>
      <c r="H97" s="2">
        <f t="shared" ca="1" si="12"/>
        <v>0.48139478124368179</v>
      </c>
      <c r="I97" s="2">
        <f t="shared" ca="1" si="13"/>
        <v>0</v>
      </c>
    </row>
    <row r="98" spans="2:9" x14ac:dyDescent="0.2">
      <c r="B98" s="4">
        <f t="shared" ca="1" si="17"/>
        <v>44135</v>
      </c>
      <c r="C98">
        <f t="shared" si="17"/>
        <v>87</v>
      </c>
      <c r="D98">
        <f t="shared" ca="1" si="11"/>
        <v>7</v>
      </c>
      <c r="E98" s="2">
        <f t="shared" ca="1" si="15"/>
        <v>925.26610611779029</v>
      </c>
      <c r="F98" s="2">
        <f t="shared" ca="1" si="8"/>
        <v>0</v>
      </c>
      <c r="G98" s="2">
        <f t="shared" ca="1" si="16"/>
        <v>925.26610611779029</v>
      </c>
      <c r="H98" s="2">
        <f t="shared" ca="1" si="12"/>
        <v>0.48164537030789084</v>
      </c>
      <c r="I98" s="2">
        <f t="shared" ca="1" si="13"/>
        <v>20</v>
      </c>
    </row>
    <row r="99" spans="2:9" x14ac:dyDescent="0.2">
      <c r="B99" s="4">
        <f t="shared" ca="1" si="17"/>
        <v>44136</v>
      </c>
      <c r="C99">
        <f t="shared" si="17"/>
        <v>88</v>
      </c>
      <c r="D99">
        <f t="shared" ca="1" si="11"/>
        <v>1</v>
      </c>
      <c r="E99" s="2">
        <f t="shared" ca="1" si="15"/>
        <v>945.74775148809817</v>
      </c>
      <c r="F99" s="2">
        <f t="shared" ca="1" si="8"/>
        <v>0</v>
      </c>
      <c r="G99" s="2">
        <f t="shared" ca="1" si="16"/>
        <v>945.74775148809817</v>
      </c>
      <c r="H99" s="2">
        <f t="shared" ca="1" si="12"/>
        <v>0.49230704871983194</v>
      </c>
      <c r="I99" s="2">
        <f t="shared" ca="1" si="13"/>
        <v>0</v>
      </c>
    </row>
    <row r="100" spans="2:9" x14ac:dyDescent="0.2">
      <c r="B100" s="4">
        <f t="shared" ca="1" si="17"/>
        <v>44137</v>
      </c>
      <c r="C100">
        <f t="shared" si="17"/>
        <v>89</v>
      </c>
      <c r="D100">
        <f t="shared" ca="1" si="11"/>
        <v>2</v>
      </c>
      <c r="E100" s="2">
        <f t="shared" ca="1" si="15"/>
        <v>946.24005853681797</v>
      </c>
      <c r="F100" s="2">
        <f t="shared" ref="F100:F163" ca="1" si="18">IF(C100&gt;$C$7,0,IF(ROUND(E100,0)&gt;0,IF(C100=0,0,IF(DAY($F$2)&lt;&gt;DAY(B100),0,$C$8)),0))</f>
        <v>0</v>
      </c>
      <c r="G100" s="2">
        <f t="shared" ca="1" si="16"/>
        <v>946.24005853681797</v>
      </c>
      <c r="H100" s="2">
        <f t="shared" ca="1" si="12"/>
        <v>0.49256331814245324</v>
      </c>
      <c r="I100" s="2">
        <f t="shared" ca="1" si="13"/>
        <v>0</v>
      </c>
    </row>
    <row r="101" spans="2:9" x14ac:dyDescent="0.2">
      <c r="B101" s="4">
        <f t="shared" ca="1" si="17"/>
        <v>44138</v>
      </c>
      <c r="C101">
        <f t="shared" si="17"/>
        <v>90</v>
      </c>
      <c r="D101">
        <f t="shared" ca="1" si="11"/>
        <v>3</v>
      </c>
      <c r="E101" s="2">
        <f t="shared" ca="1" si="15"/>
        <v>946.73262185496037</v>
      </c>
      <c r="F101" s="2">
        <f t="shared" ca="1" si="18"/>
        <v>0</v>
      </c>
      <c r="G101" s="2">
        <f t="shared" ca="1" si="16"/>
        <v>946.73262185496037</v>
      </c>
      <c r="H101" s="2">
        <f t="shared" ca="1" si="12"/>
        <v>0.49281972096559584</v>
      </c>
      <c r="I101" s="2">
        <f t="shared" ca="1" si="13"/>
        <v>0</v>
      </c>
    </row>
    <row r="102" spans="2:9" x14ac:dyDescent="0.2">
      <c r="B102" s="4">
        <f t="shared" ca="1" si="17"/>
        <v>44139</v>
      </c>
      <c r="C102">
        <f t="shared" si="17"/>
        <v>91</v>
      </c>
      <c r="D102">
        <f t="shared" ca="1" si="11"/>
        <v>4</v>
      </c>
      <c r="E102" s="2">
        <f t="shared" ca="1" si="15"/>
        <v>947.22544157592597</v>
      </c>
      <c r="F102" s="2">
        <f t="shared" ca="1" si="18"/>
        <v>0</v>
      </c>
      <c r="G102" s="2">
        <f t="shared" ca="1" si="16"/>
        <v>947.22544157592597</v>
      </c>
      <c r="H102" s="2">
        <f t="shared" ca="1" si="12"/>
        <v>0.49307625725870124</v>
      </c>
      <c r="I102" s="2">
        <f t="shared" ca="1" si="13"/>
        <v>0</v>
      </c>
    </row>
    <row r="103" spans="2:9" x14ac:dyDescent="0.2">
      <c r="B103" s="4">
        <f t="shared" ca="1" si="17"/>
        <v>44140</v>
      </c>
      <c r="C103">
        <f t="shared" si="17"/>
        <v>92</v>
      </c>
      <c r="D103">
        <f t="shared" ca="1" si="11"/>
        <v>5</v>
      </c>
      <c r="E103" s="2">
        <f t="shared" ca="1" si="15"/>
        <v>947.71851783318471</v>
      </c>
      <c r="F103" s="2">
        <f t="shared" ca="1" si="18"/>
        <v>307.49483559478722</v>
      </c>
      <c r="G103" s="2">
        <f t="shared" ca="1" si="16"/>
        <v>640.22368223839749</v>
      </c>
      <c r="H103" s="2">
        <f t="shared" ca="1" si="12"/>
        <v>0.33326712226108363</v>
      </c>
      <c r="I103" s="2">
        <f t="shared" ca="1" si="13"/>
        <v>0</v>
      </c>
    </row>
    <row r="104" spans="2:9" x14ac:dyDescent="0.2">
      <c r="B104" s="4">
        <f t="shared" ca="1" si="17"/>
        <v>44141</v>
      </c>
      <c r="C104">
        <f t="shared" si="17"/>
        <v>93</v>
      </c>
      <c r="D104">
        <f t="shared" ca="1" si="11"/>
        <v>6</v>
      </c>
      <c r="E104" s="2">
        <f t="shared" ca="1" si="15"/>
        <v>640.55694936065856</v>
      </c>
      <c r="F104" s="2">
        <f t="shared" ca="1" si="18"/>
        <v>0</v>
      </c>
      <c r="G104" s="2">
        <f t="shared" ca="1" si="16"/>
        <v>640.55694936065856</v>
      </c>
      <c r="H104" s="2">
        <f t="shared" ca="1" si="12"/>
        <v>0.3334406037767812</v>
      </c>
      <c r="I104" s="2">
        <f t="shared" ca="1" si="13"/>
        <v>0</v>
      </c>
    </row>
    <row r="105" spans="2:9" x14ac:dyDescent="0.2">
      <c r="B105" s="4">
        <f t="shared" ca="1" si="17"/>
        <v>44142</v>
      </c>
      <c r="C105">
        <f t="shared" si="17"/>
        <v>94</v>
      </c>
      <c r="D105">
        <f t="shared" ca="1" si="11"/>
        <v>7</v>
      </c>
      <c r="E105" s="2">
        <f t="shared" ca="1" si="15"/>
        <v>640.89038996443537</v>
      </c>
      <c r="F105" s="2">
        <f t="shared" ca="1" si="18"/>
        <v>0</v>
      </c>
      <c r="G105" s="2">
        <f t="shared" ca="1" si="16"/>
        <v>640.89038996443537</v>
      </c>
      <c r="H105" s="2">
        <f t="shared" ca="1" si="12"/>
        <v>0.33361417559792528</v>
      </c>
      <c r="I105" s="2">
        <f t="shared" ca="1" si="13"/>
        <v>20</v>
      </c>
    </row>
    <row r="106" spans="2:9" x14ac:dyDescent="0.2">
      <c r="B106" s="4">
        <f t="shared" ca="1" si="17"/>
        <v>44143</v>
      </c>
      <c r="C106">
        <f t="shared" si="17"/>
        <v>95</v>
      </c>
      <c r="D106">
        <f t="shared" ca="1" si="11"/>
        <v>1</v>
      </c>
      <c r="E106" s="2">
        <f t="shared" ca="1" si="15"/>
        <v>661.22400414003334</v>
      </c>
      <c r="F106" s="2">
        <f t="shared" ca="1" si="18"/>
        <v>0</v>
      </c>
      <c r="G106" s="2">
        <f t="shared" ca="1" si="16"/>
        <v>661.22400414003334</v>
      </c>
      <c r="H106" s="2">
        <f t="shared" ca="1" si="12"/>
        <v>0.3441987966756338</v>
      </c>
      <c r="I106" s="2">
        <f t="shared" ca="1" si="13"/>
        <v>0</v>
      </c>
    </row>
    <row r="107" spans="2:9" x14ac:dyDescent="0.2">
      <c r="B107" s="4">
        <f t="shared" ca="1" si="17"/>
        <v>44144</v>
      </c>
      <c r="C107">
        <f t="shared" si="17"/>
        <v>96</v>
      </c>
      <c r="D107">
        <f t="shared" ca="1" si="11"/>
        <v>2</v>
      </c>
      <c r="E107" s="2">
        <f t="shared" ca="1" si="15"/>
        <v>661.56820293670899</v>
      </c>
      <c r="F107" s="2">
        <f t="shared" ca="1" si="18"/>
        <v>0</v>
      </c>
      <c r="G107" s="2">
        <f t="shared" ca="1" si="16"/>
        <v>661.56820293670899</v>
      </c>
      <c r="H107" s="2">
        <f t="shared" ca="1" si="12"/>
        <v>0.3443779686519855</v>
      </c>
      <c r="I107" s="2">
        <f t="shared" ca="1" si="13"/>
        <v>0</v>
      </c>
    </row>
    <row r="108" spans="2:9" x14ac:dyDescent="0.2">
      <c r="B108" s="4">
        <f t="shared" ca="1" si="17"/>
        <v>44145</v>
      </c>
      <c r="C108">
        <f t="shared" si="17"/>
        <v>97</v>
      </c>
      <c r="D108">
        <f t="shared" ca="1" si="11"/>
        <v>3</v>
      </c>
      <c r="E108" s="2">
        <f t="shared" ca="1" si="15"/>
        <v>661.91258090536098</v>
      </c>
      <c r="F108" s="2">
        <f t="shared" ca="1" si="18"/>
        <v>0</v>
      </c>
      <c r="G108" s="2">
        <f t="shared" ca="1" si="16"/>
        <v>661.91258090536098</v>
      </c>
      <c r="H108" s="2">
        <f t="shared" ca="1" si="12"/>
        <v>0.34455723389594134</v>
      </c>
      <c r="I108" s="2">
        <f t="shared" ca="1" si="13"/>
        <v>0</v>
      </c>
    </row>
    <row r="109" spans="2:9" x14ac:dyDescent="0.2">
      <c r="B109" s="4">
        <f t="shared" ref="B109:C124" ca="1" si="19">B108+1</f>
        <v>44146</v>
      </c>
      <c r="C109">
        <f t="shared" si="19"/>
        <v>98</v>
      </c>
      <c r="D109">
        <f t="shared" ca="1" si="11"/>
        <v>4</v>
      </c>
      <c r="E109" s="2">
        <f t="shared" ca="1" si="15"/>
        <v>662.25713813925688</v>
      </c>
      <c r="F109" s="2">
        <f t="shared" ca="1" si="18"/>
        <v>0</v>
      </c>
      <c r="G109" s="2">
        <f t="shared" ca="1" si="16"/>
        <v>662.25713813925688</v>
      </c>
      <c r="H109" s="2">
        <f t="shared" ca="1" si="12"/>
        <v>0.34473659245605154</v>
      </c>
      <c r="I109" s="2">
        <f t="shared" ca="1" si="13"/>
        <v>0</v>
      </c>
    </row>
    <row r="110" spans="2:9" x14ac:dyDescent="0.2">
      <c r="B110" s="4">
        <f t="shared" ca="1" si="19"/>
        <v>44147</v>
      </c>
      <c r="C110">
        <f t="shared" si="19"/>
        <v>99</v>
      </c>
      <c r="D110">
        <f t="shared" ca="1" si="11"/>
        <v>5</v>
      </c>
      <c r="E110" s="2">
        <f t="shared" ca="1" si="15"/>
        <v>662.60187473171288</v>
      </c>
      <c r="F110" s="2">
        <f t="shared" ca="1" si="18"/>
        <v>0</v>
      </c>
      <c r="G110" s="2">
        <f t="shared" ca="1" si="16"/>
        <v>662.60187473171288</v>
      </c>
      <c r="H110" s="2">
        <f t="shared" ca="1" si="12"/>
        <v>0.34491604438089163</v>
      </c>
      <c r="I110" s="2">
        <f t="shared" ca="1" si="13"/>
        <v>0</v>
      </c>
    </row>
    <row r="111" spans="2:9" x14ac:dyDescent="0.2">
      <c r="B111" s="4">
        <f t="shared" ca="1" si="19"/>
        <v>44148</v>
      </c>
      <c r="C111">
        <f t="shared" si="19"/>
        <v>100</v>
      </c>
      <c r="D111">
        <f t="shared" ca="1" si="11"/>
        <v>6</v>
      </c>
      <c r="E111" s="2">
        <f t="shared" ca="1" si="15"/>
        <v>662.94679077609374</v>
      </c>
      <c r="F111" s="2">
        <f t="shared" ca="1" si="18"/>
        <v>0</v>
      </c>
      <c r="G111" s="2">
        <f t="shared" ca="1" si="16"/>
        <v>662.94679077609374</v>
      </c>
      <c r="H111" s="2">
        <f t="shared" ca="1" si="12"/>
        <v>0.34509558971906251</v>
      </c>
      <c r="I111" s="2">
        <f t="shared" ca="1" si="13"/>
        <v>0</v>
      </c>
    </row>
    <row r="112" spans="2:9" x14ac:dyDescent="0.2">
      <c r="B112" s="4">
        <f t="shared" ca="1" si="19"/>
        <v>44149</v>
      </c>
      <c r="C112">
        <f t="shared" si="19"/>
        <v>101</v>
      </c>
      <c r="D112">
        <f t="shared" ca="1" si="11"/>
        <v>7</v>
      </c>
      <c r="E112" s="2">
        <f t="shared" ca="1" si="15"/>
        <v>663.29188636581284</v>
      </c>
      <c r="F112" s="2">
        <f t="shared" ca="1" si="18"/>
        <v>0</v>
      </c>
      <c r="G112" s="2">
        <f t="shared" ca="1" si="16"/>
        <v>663.29188636581284</v>
      </c>
      <c r="H112" s="2">
        <f t="shared" ca="1" si="12"/>
        <v>0.34527522851919024</v>
      </c>
      <c r="I112" s="2">
        <f t="shared" ca="1" si="13"/>
        <v>20</v>
      </c>
    </row>
    <row r="113" spans="2:9" x14ac:dyDescent="0.2">
      <c r="B113" s="4">
        <f t="shared" ca="1" si="19"/>
        <v>44150</v>
      </c>
      <c r="C113">
        <f t="shared" si="19"/>
        <v>102</v>
      </c>
      <c r="D113">
        <f t="shared" ca="1" si="11"/>
        <v>1</v>
      </c>
      <c r="E113" s="2">
        <f t="shared" ca="1" si="15"/>
        <v>683.63716159433204</v>
      </c>
      <c r="F113" s="2">
        <f t="shared" ca="1" si="18"/>
        <v>0</v>
      </c>
      <c r="G113" s="2">
        <f t="shared" ca="1" si="16"/>
        <v>683.63716159433204</v>
      </c>
      <c r="H113" s="2">
        <f t="shared" ca="1" si="12"/>
        <v>0.35586591973403586</v>
      </c>
      <c r="I113" s="2">
        <f t="shared" ca="1" si="13"/>
        <v>0</v>
      </c>
    </row>
    <row r="114" spans="2:9" x14ac:dyDescent="0.2">
      <c r="B114" s="4">
        <f t="shared" ca="1" si="19"/>
        <v>44151</v>
      </c>
      <c r="C114">
        <f t="shared" si="19"/>
        <v>103</v>
      </c>
      <c r="D114">
        <f t="shared" ca="1" si="11"/>
        <v>2</v>
      </c>
      <c r="E114" s="2">
        <f t="shared" ca="1" si="15"/>
        <v>683.99302751406606</v>
      </c>
      <c r="F114" s="2">
        <f t="shared" ca="1" si="18"/>
        <v>0</v>
      </c>
      <c r="G114" s="2">
        <f t="shared" ca="1" si="16"/>
        <v>683.99302751406606</v>
      </c>
      <c r="H114" s="2">
        <f t="shared" ca="1" si="12"/>
        <v>0.35605116500732209</v>
      </c>
      <c r="I114" s="2">
        <f t="shared" ca="1" si="13"/>
        <v>0</v>
      </c>
    </row>
    <row r="115" spans="2:9" x14ac:dyDescent="0.2">
      <c r="B115" s="4">
        <f t="shared" ca="1" si="19"/>
        <v>44152</v>
      </c>
      <c r="C115">
        <f t="shared" si="19"/>
        <v>104</v>
      </c>
      <c r="D115">
        <f t="shared" ca="1" si="11"/>
        <v>3</v>
      </c>
      <c r="E115" s="2">
        <f t="shared" ca="1" si="15"/>
        <v>684.34907867907339</v>
      </c>
      <c r="F115" s="2">
        <f t="shared" ca="1" si="18"/>
        <v>0</v>
      </c>
      <c r="G115" s="2">
        <f t="shared" ca="1" si="16"/>
        <v>684.34907867907339</v>
      </c>
      <c r="H115" s="2">
        <f t="shared" ca="1" si="12"/>
        <v>0.35623650670965462</v>
      </c>
      <c r="I115" s="2">
        <f t="shared" ca="1" si="13"/>
        <v>0</v>
      </c>
    </row>
    <row r="116" spans="2:9" x14ac:dyDescent="0.2">
      <c r="B116" s="4">
        <f t="shared" ca="1" si="19"/>
        <v>44153</v>
      </c>
      <c r="C116">
        <f t="shared" si="19"/>
        <v>105</v>
      </c>
      <c r="D116">
        <f t="shared" ca="1" si="11"/>
        <v>4</v>
      </c>
      <c r="E116" s="2">
        <f t="shared" ca="1" si="15"/>
        <v>684.70531518578309</v>
      </c>
      <c r="F116" s="2">
        <f t="shared" ca="1" si="18"/>
        <v>0</v>
      </c>
      <c r="G116" s="2">
        <f t="shared" ca="1" si="16"/>
        <v>684.70531518578309</v>
      </c>
      <c r="H116" s="2">
        <f t="shared" ca="1" si="12"/>
        <v>0.35642194489122958</v>
      </c>
      <c r="I116" s="2">
        <f t="shared" ca="1" si="13"/>
        <v>0</v>
      </c>
    </row>
    <row r="117" spans="2:9" x14ac:dyDescent="0.2">
      <c r="B117" s="4">
        <f t="shared" ca="1" si="19"/>
        <v>44154</v>
      </c>
      <c r="C117">
        <f t="shared" si="19"/>
        <v>106</v>
      </c>
      <c r="D117">
        <f t="shared" ca="1" si="11"/>
        <v>5</v>
      </c>
      <c r="E117" s="2">
        <f t="shared" ca="1" si="15"/>
        <v>685.06173713067437</v>
      </c>
      <c r="F117" s="2">
        <f t="shared" ca="1" si="18"/>
        <v>0</v>
      </c>
      <c r="G117" s="2">
        <f t="shared" ca="1" si="16"/>
        <v>685.06173713067437</v>
      </c>
      <c r="H117" s="2">
        <f t="shared" ca="1" si="12"/>
        <v>0.35660747960226885</v>
      </c>
      <c r="I117" s="2">
        <f t="shared" ca="1" si="13"/>
        <v>0</v>
      </c>
    </row>
    <row r="118" spans="2:9" x14ac:dyDescent="0.2">
      <c r="B118" s="4">
        <f t="shared" ca="1" si="19"/>
        <v>44155</v>
      </c>
      <c r="C118">
        <f t="shared" si="19"/>
        <v>107</v>
      </c>
      <c r="D118">
        <f t="shared" ca="1" si="11"/>
        <v>6</v>
      </c>
      <c r="E118" s="2">
        <f t="shared" ca="1" si="15"/>
        <v>685.41834461027668</v>
      </c>
      <c r="F118" s="2">
        <f t="shared" ca="1" si="18"/>
        <v>0</v>
      </c>
      <c r="G118" s="2">
        <f t="shared" ca="1" si="16"/>
        <v>685.41834461027668</v>
      </c>
      <c r="H118" s="2">
        <f t="shared" ca="1" si="12"/>
        <v>0.35679311089302074</v>
      </c>
      <c r="I118" s="2">
        <f t="shared" ca="1" si="13"/>
        <v>0</v>
      </c>
    </row>
    <row r="119" spans="2:9" x14ac:dyDescent="0.2">
      <c r="B119" s="4">
        <f t="shared" ca="1" si="19"/>
        <v>44156</v>
      </c>
      <c r="C119">
        <f t="shared" si="19"/>
        <v>108</v>
      </c>
      <c r="D119">
        <f t="shared" ca="1" si="11"/>
        <v>7</v>
      </c>
      <c r="E119" s="2">
        <f t="shared" ca="1" si="15"/>
        <v>685.7751377211697</v>
      </c>
      <c r="F119" s="2">
        <f t="shared" ca="1" si="18"/>
        <v>0</v>
      </c>
      <c r="G119" s="2">
        <f t="shared" ca="1" si="16"/>
        <v>685.7751377211697</v>
      </c>
      <c r="H119" s="2">
        <f t="shared" ca="1" si="12"/>
        <v>0.35697883881375952</v>
      </c>
      <c r="I119" s="2">
        <f t="shared" ca="1" si="13"/>
        <v>20</v>
      </c>
    </row>
    <row r="120" spans="2:9" x14ac:dyDescent="0.2">
      <c r="B120" s="4">
        <f t="shared" ca="1" si="19"/>
        <v>44157</v>
      </c>
      <c r="C120">
        <f t="shared" si="19"/>
        <v>109</v>
      </c>
      <c r="D120">
        <f t="shared" ca="1" si="11"/>
        <v>1</v>
      </c>
      <c r="E120" s="2">
        <f t="shared" ca="1" si="15"/>
        <v>706.1321165599835</v>
      </c>
      <c r="F120" s="2">
        <f t="shared" ca="1" si="18"/>
        <v>0</v>
      </c>
      <c r="G120" s="2">
        <f t="shared" ca="1" si="16"/>
        <v>706.1321165599835</v>
      </c>
      <c r="H120" s="2">
        <f t="shared" ca="1" si="12"/>
        <v>0.36757562231889551</v>
      </c>
      <c r="I120" s="2">
        <f t="shared" ca="1" si="13"/>
        <v>0</v>
      </c>
    </row>
    <row r="121" spans="2:9" x14ac:dyDescent="0.2">
      <c r="B121" s="4">
        <f t="shared" ca="1" si="19"/>
        <v>44158</v>
      </c>
      <c r="C121">
        <f t="shared" si="19"/>
        <v>110</v>
      </c>
      <c r="D121">
        <f t="shared" ca="1" si="11"/>
        <v>2</v>
      </c>
      <c r="E121" s="2">
        <f t="shared" ca="1" si="15"/>
        <v>706.4996921823024</v>
      </c>
      <c r="F121" s="2">
        <f t="shared" ca="1" si="18"/>
        <v>0</v>
      </c>
      <c r="G121" s="2">
        <f t="shared" ca="1" si="16"/>
        <v>706.4996921823024</v>
      </c>
      <c r="H121" s="2">
        <f t="shared" ca="1" si="12"/>
        <v>0.36776696305380124</v>
      </c>
      <c r="I121" s="2">
        <f t="shared" ca="1" si="13"/>
        <v>0</v>
      </c>
    </row>
    <row r="122" spans="2:9" x14ac:dyDescent="0.2">
      <c r="B122" s="4">
        <f t="shared" ca="1" si="19"/>
        <v>44159</v>
      </c>
      <c r="C122">
        <f t="shared" si="19"/>
        <v>111</v>
      </c>
      <c r="D122">
        <f t="shared" ca="1" si="11"/>
        <v>3</v>
      </c>
      <c r="E122" s="2">
        <f t="shared" ca="1" si="15"/>
        <v>706.86745914535618</v>
      </c>
      <c r="F122" s="2">
        <f t="shared" ca="1" si="18"/>
        <v>0</v>
      </c>
      <c r="G122" s="2">
        <f t="shared" ca="1" si="16"/>
        <v>706.86745914535618</v>
      </c>
      <c r="H122" s="2">
        <f t="shared" ca="1" si="12"/>
        <v>0.36795840339073332</v>
      </c>
      <c r="I122" s="2">
        <f t="shared" ca="1" si="13"/>
        <v>0</v>
      </c>
    </row>
    <row r="123" spans="2:9" x14ac:dyDescent="0.2">
      <c r="B123" s="4">
        <f t="shared" ca="1" si="19"/>
        <v>44160</v>
      </c>
      <c r="C123">
        <f t="shared" si="19"/>
        <v>112</v>
      </c>
      <c r="D123">
        <f t="shared" ca="1" si="11"/>
        <v>4</v>
      </c>
      <c r="E123" s="2">
        <f t="shared" ca="1" si="15"/>
        <v>707.23541754874691</v>
      </c>
      <c r="F123" s="2">
        <f t="shared" ca="1" si="18"/>
        <v>0</v>
      </c>
      <c r="G123" s="2">
        <f t="shared" ca="1" si="16"/>
        <v>707.23541754874691</v>
      </c>
      <c r="H123" s="2">
        <f t="shared" ca="1" si="12"/>
        <v>0.36814994338153945</v>
      </c>
      <c r="I123" s="2">
        <f t="shared" ca="1" si="13"/>
        <v>0</v>
      </c>
    </row>
    <row r="124" spans="2:9" x14ac:dyDescent="0.2">
      <c r="B124" s="4">
        <f t="shared" ca="1" si="19"/>
        <v>44161</v>
      </c>
      <c r="C124">
        <f t="shared" si="19"/>
        <v>113</v>
      </c>
      <c r="D124">
        <f t="shared" ca="1" si="11"/>
        <v>5</v>
      </c>
      <c r="E124" s="2">
        <f t="shared" ca="1" si="15"/>
        <v>707.60356749212849</v>
      </c>
      <c r="F124" s="2">
        <f t="shared" ca="1" si="18"/>
        <v>0</v>
      </c>
      <c r="G124" s="2">
        <f t="shared" ca="1" si="16"/>
        <v>707.60356749212849</v>
      </c>
      <c r="H124" s="2">
        <f t="shared" ca="1" si="12"/>
        <v>0.36834158307809428</v>
      </c>
      <c r="I124" s="2">
        <f t="shared" ca="1" si="13"/>
        <v>0</v>
      </c>
    </row>
    <row r="125" spans="2:9" x14ac:dyDescent="0.2">
      <c r="B125" s="4">
        <f t="shared" ref="B125:C140" ca="1" si="20">B124+1</f>
        <v>44162</v>
      </c>
      <c r="C125">
        <f t="shared" si="20"/>
        <v>114</v>
      </c>
      <c r="D125">
        <f t="shared" ca="1" si="11"/>
        <v>6</v>
      </c>
      <c r="E125" s="2">
        <f t="shared" ca="1" si="15"/>
        <v>707.97190907520655</v>
      </c>
      <c r="F125" s="2">
        <f t="shared" ca="1" si="18"/>
        <v>0</v>
      </c>
      <c r="G125" s="2">
        <f t="shared" ca="1" si="16"/>
        <v>707.97190907520655</v>
      </c>
      <c r="H125" s="2">
        <f t="shared" ca="1" si="12"/>
        <v>0.36853332253229931</v>
      </c>
      <c r="I125" s="2">
        <f t="shared" ca="1" si="13"/>
        <v>0</v>
      </c>
    </row>
    <row r="126" spans="2:9" x14ac:dyDescent="0.2">
      <c r="B126" s="4">
        <f t="shared" ca="1" si="20"/>
        <v>44163</v>
      </c>
      <c r="C126">
        <f t="shared" si="20"/>
        <v>115</v>
      </c>
      <c r="D126">
        <f t="shared" ca="1" si="11"/>
        <v>7</v>
      </c>
      <c r="E126" s="2">
        <f t="shared" ca="1" si="15"/>
        <v>708.3404423977388</v>
      </c>
      <c r="F126" s="2">
        <f t="shared" ca="1" si="18"/>
        <v>0</v>
      </c>
      <c r="G126" s="2">
        <f t="shared" ca="1" si="16"/>
        <v>708.3404423977388</v>
      </c>
      <c r="H126" s="2">
        <f t="shared" ca="1" si="12"/>
        <v>0.36872516179608317</v>
      </c>
      <c r="I126" s="2">
        <f t="shared" ca="1" si="13"/>
        <v>20</v>
      </c>
    </row>
    <row r="127" spans="2:9" x14ac:dyDescent="0.2">
      <c r="B127" s="4">
        <f t="shared" ca="1" si="20"/>
        <v>44164</v>
      </c>
      <c r="C127">
        <f t="shared" si="20"/>
        <v>116</v>
      </c>
      <c r="D127">
        <f t="shared" ca="1" si="11"/>
        <v>1</v>
      </c>
      <c r="E127" s="2">
        <f t="shared" ca="1" si="15"/>
        <v>728.70916755953488</v>
      </c>
      <c r="F127" s="2">
        <f t="shared" ca="1" si="18"/>
        <v>0</v>
      </c>
      <c r="G127" s="2">
        <f t="shared" ca="1" si="16"/>
        <v>728.70916755953488</v>
      </c>
      <c r="H127" s="2">
        <f t="shared" ca="1" si="12"/>
        <v>0.37932805982551132</v>
      </c>
      <c r="I127" s="2">
        <f t="shared" ca="1" si="13"/>
        <v>0</v>
      </c>
    </row>
    <row r="128" spans="2:9" x14ac:dyDescent="0.2">
      <c r="B128" s="4">
        <f t="shared" ca="1" si="20"/>
        <v>44165</v>
      </c>
      <c r="C128">
        <f t="shared" si="20"/>
        <v>117</v>
      </c>
      <c r="D128">
        <f t="shared" ca="1" si="11"/>
        <v>2</v>
      </c>
      <c r="E128" s="2">
        <f t="shared" ca="1" si="15"/>
        <v>729.0884956193604</v>
      </c>
      <c r="F128" s="2">
        <f t="shared" ca="1" si="18"/>
        <v>0</v>
      </c>
      <c r="G128" s="2">
        <f t="shared" ca="1" si="16"/>
        <v>729.0884956193604</v>
      </c>
      <c r="H128" s="2">
        <f t="shared" ca="1" si="12"/>
        <v>0.37952551826761227</v>
      </c>
      <c r="I128" s="2">
        <f t="shared" ca="1" si="13"/>
        <v>0</v>
      </c>
    </row>
    <row r="129" spans="2:9" x14ac:dyDescent="0.2">
      <c r="B129" s="4">
        <f t="shared" ca="1" si="20"/>
        <v>44166</v>
      </c>
      <c r="C129">
        <f t="shared" si="20"/>
        <v>118</v>
      </c>
      <c r="D129">
        <f t="shared" ca="1" si="11"/>
        <v>3</v>
      </c>
      <c r="E129" s="2">
        <f t="shared" ca="1" si="15"/>
        <v>729.46802113762806</v>
      </c>
      <c r="F129" s="2">
        <f t="shared" ca="1" si="18"/>
        <v>0</v>
      </c>
      <c r="G129" s="2">
        <f t="shared" ca="1" si="16"/>
        <v>729.46802113762806</v>
      </c>
      <c r="H129" s="2">
        <f t="shared" ca="1" si="12"/>
        <v>0.37972307949629958</v>
      </c>
      <c r="I129" s="2">
        <f t="shared" ca="1" si="13"/>
        <v>0</v>
      </c>
    </row>
    <row r="130" spans="2:9" x14ac:dyDescent="0.2">
      <c r="B130" s="4">
        <f t="shared" ca="1" si="20"/>
        <v>44167</v>
      </c>
      <c r="C130">
        <f t="shared" si="20"/>
        <v>119</v>
      </c>
      <c r="D130">
        <f t="shared" ca="1" si="11"/>
        <v>4</v>
      </c>
      <c r="E130" s="2">
        <f t="shared" ca="1" si="15"/>
        <v>729.84774421712439</v>
      </c>
      <c r="F130" s="2">
        <f t="shared" ca="1" si="18"/>
        <v>0</v>
      </c>
      <c r="G130" s="2">
        <f t="shared" ca="1" si="16"/>
        <v>729.84774421712439</v>
      </c>
      <c r="H130" s="2">
        <f t="shared" ca="1" si="12"/>
        <v>0.37992074356507849</v>
      </c>
      <c r="I130" s="2">
        <f t="shared" ca="1" si="13"/>
        <v>0</v>
      </c>
    </row>
    <row r="131" spans="2:9" x14ac:dyDescent="0.2">
      <c r="B131" s="4">
        <f t="shared" ca="1" si="20"/>
        <v>44168</v>
      </c>
      <c r="C131">
        <f t="shared" si="20"/>
        <v>120</v>
      </c>
      <c r="D131">
        <f t="shared" ca="1" si="11"/>
        <v>5</v>
      </c>
      <c r="E131" s="2">
        <f t="shared" ca="1" si="15"/>
        <v>730.22766496068948</v>
      </c>
      <c r="F131" s="2">
        <f t="shared" ca="1" si="18"/>
        <v>0</v>
      </c>
      <c r="G131" s="2">
        <f t="shared" ca="1" si="16"/>
        <v>730.22766496068948</v>
      </c>
      <c r="H131" s="2">
        <f t="shared" ca="1" si="12"/>
        <v>0.38011851052748219</v>
      </c>
      <c r="I131" s="2">
        <f t="shared" ca="1" si="13"/>
        <v>0</v>
      </c>
    </row>
    <row r="132" spans="2:9" x14ac:dyDescent="0.2">
      <c r="B132" s="4">
        <f t="shared" ca="1" si="20"/>
        <v>44169</v>
      </c>
      <c r="C132">
        <f t="shared" si="20"/>
        <v>121</v>
      </c>
      <c r="D132">
        <f t="shared" ca="1" si="11"/>
        <v>6</v>
      </c>
      <c r="E132" s="2">
        <f t="shared" ca="1" si="15"/>
        <v>730.60778347121698</v>
      </c>
      <c r="F132" s="2">
        <f t="shared" ca="1" si="18"/>
        <v>0</v>
      </c>
      <c r="G132" s="2">
        <f t="shared" ca="1" si="16"/>
        <v>730.60778347121698</v>
      </c>
      <c r="H132" s="2">
        <f t="shared" ca="1" si="12"/>
        <v>0.38031638043707183</v>
      </c>
      <c r="I132" s="2">
        <f t="shared" ca="1" si="13"/>
        <v>0</v>
      </c>
    </row>
    <row r="133" spans="2:9" x14ac:dyDescent="0.2">
      <c r="B133" s="4">
        <f t="shared" ca="1" si="20"/>
        <v>44170</v>
      </c>
      <c r="C133">
        <f t="shared" si="20"/>
        <v>122</v>
      </c>
      <c r="D133">
        <f t="shared" ca="1" si="11"/>
        <v>7</v>
      </c>
      <c r="E133" s="2">
        <f t="shared" ca="1" si="15"/>
        <v>730.98809985165406</v>
      </c>
      <c r="F133" s="2">
        <f t="shared" ca="1" si="18"/>
        <v>307.49483559478722</v>
      </c>
      <c r="G133" s="2">
        <f t="shared" ca="1" si="16"/>
        <v>423.49326425686684</v>
      </c>
      <c r="H133" s="2">
        <f t="shared" ca="1" si="12"/>
        <v>0.22044854851727316</v>
      </c>
      <c r="I133" s="2">
        <f t="shared" ca="1" si="13"/>
        <v>20</v>
      </c>
    </row>
    <row r="134" spans="2:9" x14ac:dyDescent="0.2">
      <c r="B134" s="4">
        <f t="shared" ca="1" si="20"/>
        <v>44171</v>
      </c>
      <c r="C134">
        <f t="shared" si="20"/>
        <v>123</v>
      </c>
      <c r="D134">
        <f t="shared" ca="1" si="11"/>
        <v>1</v>
      </c>
      <c r="E134" s="2">
        <f t="shared" ca="1" si="15"/>
        <v>443.71371280538409</v>
      </c>
      <c r="F134" s="2">
        <f t="shared" ca="1" si="18"/>
        <v>0</v>
      </c>
      <c r="G134" s="2">
        <f t="shared" ca="1" si="16"/>
        <v>443.71371280538409</v>
      </c>
      <c r="H134" s="2">
        <f t="shared" ca="1" si="12"/>
        <v>0.23097426146033692</v>
      </c>
      <c r="I134" s="2">
        <f t="shared" ca="1" si="13"/>
        <v>0</v>
      </c>
    </row>
    <row r="135" spans="2:9" x14ac:dyDescent="0.2">
      <c r="B135" s="4">
        <f t="shared" ca="1" si="20"/>
        <v>44172</v>
      </c>
      <c r="C135">
        <f t="shared" si="20"/>
        <v>124</v>
      </c>
      <c r="D135">
        <f t="shared" ca="1" si="11"/>
        <v>2</v>
      </c>
      <c r="E135" s="2">
        <f t="shared" ca="1" si="15"/>
        <v>443.94468706684444</v>
      </c>
      <c r="F135" s="2">
        <f t="shared" ca="1" si="18"/>
        <v>0</v>
      </c>
      <c r="G135" s="2">
        <f t="shared" ca="1" si="16"/>
        <v>443.94468706684444</v>
      </c>
      <c r="H135" s="2">
        <f t="shared" ca="1" si="12"/>
        <v>0.23109449463753548</v>
      </c>
      <c r="I135" s="2">
        <f t="shared" ca="1" si="13"/>
        <v>0</v>
      </c>
    </row>
    <row r="136" spans="2:9" x14ac:dyDescent="0.2">
      <c r="B136" s="4">
        <f t="shared" ca="1" si="20"/>
        <v>44173</v>
      </c>
      <c r="C136">
        <f t="shared" si="20"/>
        <v>125</v>
      </c>
      <c r="D136">
        <f t="shared" ca="1" si="11"/>
        <v>3</v>
      </c>
      <c r="E136" s="2">
        <f t="shared" ca="1" si="15"/>
        <v>444.17578156148198</v>
      </c>
      <c r="F136" s="2">
        <f t="shared" ca="1" si="18"/>
        <v>0</v>
      </c>
      <c r="G136" s="2">
        <f t="shared" ca="1" si="16"/>
        <v>444.17578156148198</v>
      </c>
      <c r="H136" s="2">
        <f t="shared" ca="1" si="12"/>
        <v>0.23121479040186735</v>
      </c>
      <c r="I136" s="2">
        <f t="shared" ca="1" si="13"/>
        <v>0</v>
      </c>
    </row>
    <row r="137" spans="2:9" x14ac:dyDescent="0.2">
      <c r="B137" s="4">
        <f t="shared" ca="1" si="20"/>
        <v>44174</v>
      </c>
      <c r="C137">
        <f t="shared" si="20"/>
        <v>126</v>
      </c>
      <c r="D137">
        <f t="shared" ca="1" si="11"/>
        <v>4</v>
      </c>
      <c r="E137" s="2">
        <f t="shared" ca="1" si="15"/>
        <v>444.40699635188383</v>
      </c>
      <c r="F137" s="2">
        <f t="shared" ca="1" si="18"/>
        <v>0</v>
      </c>
      <c r="G137" s="2">
        <f t="shared" ca="1" si="16"/>
        <v>444.40699635188383</v>
      </c>
      <c r="H137" s="2">
        <f t="shared" ca="1" si="12"/>
        <v>0.23133514878591213</v>
      </c>
      <c r="I137" s="2">
        <f t="shared" ca="1" si="13"/>
        <v>0</v>
      </c>
    </row>
    <row r="138" spans="2:9" x14ac:dyDescent="0.2">
      <c r="B138" s="4">
        <f t="shared" ca="1" si="20"/>
        <v>44175</v>
      </c>
      <c r="C138">
        <f t="shared" si="20"/>
        <v>127</v>
      </c>
      <c r="D138">
        <f t="shared" ca="1" si="11"/>
        <v>5</v>
      </c>
      <c r="E138" s="2">
        <f t="shared" ca="1" si="15"/>
        <v>444.63833150066972</v>
      </c>
      <c r="F138" s="2">
        <f t="shared" ca="1" si="18"/>
        <v>0</v>
      </c>
      <c r="G138" s="2">
        <f t="shared" ca="1" si="16"/>
        <v>444.63833150066972</v>
      </c>
      <c r="H138" s="2">
        <f t="shared" ca="1" si="12"/>
        <v>0.23145556982226645</v>
      </c>
      <c r="I138" s="2">
        <f t="shared" ca="1" si="13"/>
        <v>0</v>
      </c>
    </row>
    <row r="139" spans="2:9" x14ac:dyDescent="0.2">
      <c r="B139" s="4">
        <f t="shared" ca="1" si="20"/>
        <v>44176</v>
      </c>
      <c r="C139">
        <f t="shared" si="20"/>
        <v>128</v>
      </c>
      <c r="D139">
        <f t="shared" ca="1" si="11"/>
        <v>6</v>
      </c>
      <c r="E139" s="2">
        <f t="shared" ca="1" si="15"/>
        <v>444.86978707049201</v>
      </c>
      <c r="F139" s="2">
        <f t="shared" ca="1" si="18"/>
        <v>0</v>
      </c>
      <c r="G139" s="2">
        <f t="shared" ca="1" si="16"/>
        <v>444.86978707049201</v>
      </c>
      <c r="H139" s="2">
        <f t="shared" ca="1" si="12"/>
        <v>0.2315760535435438</v>
      </c>
      <c r="I139" s="2">
        <f t="shared" ca="1" si="13"/>
        <v>0</v>
      </c>
    </row>
    <row r="140" spans="2:9" x14ac:dyDescent="0.2">
      <c r="B140" s="4">
        <f t="shared" ca="1" si="20"/>
        <v>44177</v>
      </c>
      <c r="C140">
        <f t="shared" si="20"/>
        <v>129</v>
      </c>
      <c r="D140">
        <f t="shared" ref="D140:D203" ca="1" si="21">WEEKDAY(B140,1)</f>
        <v>7</v>
      </c>
      <c r="E140" s="2">
        <f t="shared" ca="1" si="15"/>
        <v>445.10136312403557</v>
      </c>
      <c r="F140" s="2">
        <f t="shared" ca="1" si="18"/>
        <v>0</v>
      </c>
      <c r="G140" s="2">
        <f t="shared" ca="1" si="16"/>
        <v>445.10136312403557</v>
      </c>
      <c r="H140" s="2">
        <f t="shared" ref="H140:H203" ca="1" si="22">IF(C140&gt;$C$7,0,(G140)*$C$5/365)</f>
        <v>0.23169659998237468</v>
      </c>
      <c r="I140" s="2">
        <f t="shared" ref="I140:I203" ca="1" si="23">IF(AND(C140=0,D140=7),$C$6,IF(C140=$C$7,0,IF(C140&lt;$C$7,IF(D140=7,$C$6,0),0)))</f>
        <v>20</v>
      </c>
    </row>
    <row r="141" spans="2:9" x14ac:dyDescent="0.2">
      <c r="B141" s="4">
        <f t="shared" ref="B141:C156" ca="1" si="24">B140+1</f>
        <v>44178</v>
      </c>
      <c r="C141">
        <f t="shared" si="24"/>
        <v>130</v>
      </c>
      <c r="D141">
        <f t="shared" ca="1" si="21"/>
        <v>1</v>
      </c>
      <c r="E141" s="2">
        <f t="shared" ref="E141:E204" ca="1" si="25">IF(C141&gt;$C$7,0,G140+H140+I140)</f>
        <v>465.33305972401797</v>
      </c>
      <c r="F141" s="2">
        <f t="shared" ca="1" si="18"/>
        <v>0</v>
      </c>
      <c r="G141" s="2">
        <f t="shared" ref="G141:G204" ca="1" si="26">IF(C141&gt;$C$7,G140,E141-F141)</f>
        <v>465.33305972401797</v>
      </c>
      <c r="H141" s="2">
        <f t="shared" ca="1" si="22"/>
        <v>0.2422281680755162</v>
      </c>
      <c r="I141" s="2">
        <f t="shared" ca="1" si="23"/>
        <v>0</v>
      </c>
    </row>
    <row r="142" spans="2:9" x14ac:dyDescent="0.2">
      <c r="B142" s="4">
        <f t="shared" ca="1" si="24"/>
        <v>44179</v>
      </c>
      <c r="C142">
        <f t="shared" si="24"/>
        <v>131</v>
      </c>
      <c r="D142">
        <f t="shared" ca="1" si="21"/>
        <v>2</v>
      </c>
      <c r="E142" s="2">
        <f t="shared" ca="1" si="25"/>
        <v>465.57528789209351</v>
      </c>
      <c r="F142" s="2">
        <f t="shared" ca="1" si="18"/>
        <v>0</v>
      </c>
      <c r="G142" s="2">
        <f t="shared" ca="1" si="26"/>
        <v>465.57528789209351</v>
      </c>
      <c r="H142" s="2">
        <f t="shared" ca="1" si="22"/>
        <v>0.24235425945067882</v>
      </c>
      <c r="I142" s="2">
        <f t="shared" ca="1" si="23"/>
        <v>0</v>
      </c>
    </row>
    <row r="143" spans="2:9" x14ac:dyDescent="0.2">
      <c r="B143" s="4">
        <f t="shared" ca="1" si="24"/>
        <v>44180</v>
      </c>
      <c r="C143">
        <f t="shared" si="24"/>
        <v>132</v>
      </c>
      <c r="D143">
        <f t="shared" ca="1" si="21"/>
        <v>3</v>
      </c>
      <c r="E143" s="2">
        <f t="shared" ca="1" si="25"/>
        <v>465.81764215154419</v>
      </c>
      <c r="F143" s="2">
        <f t="shared" ca="1" si="18"/>
        <v>0</v>
      </c>
      <c r="G143" s="2">
        <f t="shared" ca="1" si="26"/>
        <v>465.81764215154419</v>
      </c>
      <c r="H143" s="2">
        <f t="shared" ca="1" si="22"/>
        <v>0.24248041646244767</v>
      </c>
      <c r="I143" s="2">
        <f t="shared" ca="1" si="23"/>
        <v>0</v>
      </c>
    </row>
    <row r="144" spans="2:9" x14ac:dyDescent="0.2">
      <c r="B144" s="4">
        <f t="shared" ca="1" si="24"/>
        <v>44181</v>
      </c>
      <c r="C144">
        <f t="shared" si="24"/>
        <v>133</v>
      </c>
      <c r="D144">
        <f t="shared" ca="1" si="21"/>
        <v>4</v>
      </c>
      <c r="E144" s="2">
        <f t="shared" ca="1" si="25"/>
        <v>466.06012256800665</v>
      </c>
      <c r="F144" s="2">
        <f t="shared" ca="1" si="18"/>
        <v>0</v>
      </c>
      <c r="G144" s="2">
        <f t="shared" ca="1" si="26"/>
        <v>466.06012256800665</v>
      </c>
      <c r="H144" s="2">
        <f t="shared" ca="1" si="22"/>
        <v>0.24260663914498978</v>
      </c>
      <c r="I144" s="2">
        <f t="shared" ca="1" si="23"/>
        <v>0</v>
      </c>
    </row>
    <row r="145" spans="2:9" x14ac:dyDescent="0.2">
      <c r="B145" s="4">
        <f t="shared" ca="1" si="24"/>
        <v>44182</v>
      </c>
      <c r="C145">
        <f t="shared" si="24"/>
        <v>134</v>
      </c>
      <c r="D145">
        <f t="shared" ca="1" si="21"/>
        <v>5</v>
      </c>
      <c r="E145" s="2">
        <f t="shared" ca="1" si="25"/>
        <v>466.30272920715163</v>
      </c>
      <c r="F145" s="2">
        <f t="shared" ca="1" si="18"/>
        <v>0</v>
      </c>
      <c r="G145" s="2">
        <f t="shared" ca="1" si="26"/>
        <v>466.30272920715163</v>
      </c>
      <c r="H145" s="2">
        <f t="shared" ca="1" si="22"/>
        <v>0.2427329275324899</v>
      </c>
      <c r="I145" s="2">
        <f t="shared" ca="1" si="23"/>
        <v>0</v>
      </c>
    </row>
    <row r="146" spans="2:9" x14ac:dyDescent="0.2">
      <c r="B146" s="4">
        <f t="shared" ca="1" si="24"/>
        <v>44183</v>
      </c>
      <c r="C146">
        <f t="shared" si="24"/>
        <v>135</v>
      </c>
      <c r="D146">
        <f t="shared" ca="1" si="21"/>
        <v>6</v>
      </c>
      <c r="E146" s="2">
        <f t="shared" ca="1" si="25"/>
        <v>466.5454621346841</v>
      </c>
      <c r="F146" s="2">
        <f t="shared" ca="1" si="18"/>
        <v>0</v>
      </c>
      <c r="G146" s="2">
        <f t="shared" ca="1" si="26"/>
        <v>466.5454621346841</v>
      </c>
      <c r="H146" s="2">
        <f t="shared" ca="1" si="22"/>
        <v>0.24285928165915061</v>
      </c>
      <c r="I146" s="2">
        <f t="shared" ca="1" si="23"/>
        <v>0</v>
      </c>
    </row>
    <row r="147" spans="2:9" x14ac:dyDescent="0.2">
      <c r="B147" s="4">
        <f t="shared" ca="1" si="24"/>
        <v>44184</v>
      </c>
      <c r="C147">
        <f t="shared" si="24"/>
        <v>136</v>
      </c>
      <c r="D147">
        <f t="shared" ca="1" si="21"/>
        <v>7</v>
      </c>
      <c r="E147" s="2">
        <f t="shared" ca="1" si="25"/>
        <v>466.78832141634325</v>
      </c>
      <c r="F147" s="2">
        <f t="shared" ca="1" si="18"/>
        <v>0</v>
      </c>
      <c r="G147" s="2">
        <f t="shared" ca="1" si="26"/>
        <v>466.78832141634325</v>
      </c>
      <c r="H147" s="2">
        <f t="shared" ca="1" si="22"/>
        <v>0.24298570155919239</v>
      </c>
      <c r="I147" s="2">
        <f t="shared" ca="1" si="23"/>
        <v>20</v>
      </c>
    </row>
    <row r="148" spans="2:9" x14ac:dyDescent="0.2">
      <c r="B148" s="4">
        <f t="shared" ca="1" si="24"/>
        <v>44185</v>
      </c>
      <c r="C148">
        <f t="shared" si="24"/>
        <v>137</v>
      </c>
      <c r="D148">
        <f t="shared" ca="1" si="21"/>
        <v>1</v>
      </c>
      <c r="E148" s="2">
        <f t="shared" ca="1" si="25"/>
        <v>487.03130711790243</v>
      </c>
      <c r="F148" s="2">
        <f t="shared" ca="1" si="18"/>
        <v>0</v>
      </c>
      <c r="G148" s="2">
        <f t="shared" ca="1" si="26"/>
        <v>487.03130711790243</v>
      </c>
      <c r="H148" s="2">
        <f t="shared" ca="1" si="22"/>
        <v>0.25352314617096289</v>
      </c>
      <c r="I148" s="2">
        <f t="shared" ca="1" si="23"/>
        <v>0</v>
      </c>
    </row>
    <row r="149" spans="2:9" x14ac:dyDescent="0.2">
      <c r="B149" s="4">
        <f t="shared" ca="1" si="24"/>
        <v>44186</v>
      </c>
      <c r="C149">
        <f t="shared" si="24"/>
        <v>138</v>
      </c>
      <c r="D149">
        <f t="shared" ca="1" si="21"/>
        <v>2</v>
      </c>
      <c r="E149" s="2">
        <f t="shared" ca="1" si="25"/>
        <v>487.28483026407338</v>
      </c>
      <c r="F149" s="2">
        <f t="shared" ca="1" si="18"/>
        <v>0</v>
      </c>
      <c r="G149" s="2">
        <f t="shared" ca="1" si="26"/>
        <v>487.28483026407338</v>
      </c>
      <c r="H149" s="2">
        <f t="shared" ca="1" si="22"/>
        <v>0.25365511712376421</v>
      </c>
      <c r="I149" s="2">
        <f t="shared" ca="1" si="23"/>
        <v>0</v>
      </c>
    </row>
    <row r="150" spans="2:9" x14ac:dyDescent="0.2">
      <c r="B150" s="4">
        <f t="shared" ca="1" si="24"/>
        <v>44187</v>
      </c>
      <c r="C150">
        <f t="shared" si="24"/>
        <v>139</v>
      </c>
      <c r="D150">
        <f t="shared" ca="1" si="21"/>
        <v>3</v>
      </c>
      <c r="E150" s="2">
        <f t="shared" ca="1" si="25"/>
        <v>487.53848538119712</v>
      </c>
      <c r="F150" s="2">
        <f t="shared" ca="1" si="18"/>
        <v>0</v>
      </c>
      <c r="G150" s="2">
        <f t="shared" ca="1" si="26"/>
        <v>487.53848538119712</v>
      </c>
      <c r="H150" s="2">
        <f t="shared" ca="1" si="22"/>
        <v>0.25378715677377384</v>
      </c>
      <c r="I150" s="2">
        <f t="shared" ca="1" si="23"/>
        <v>0</v>
      </c>
    </row>
    <row r="151" spans="2:9" x14ac:dyDescent="0.2">
      <c r="B151" s="4">
        <f t="shared" ca="1" si="24"/>
        <v>44188</v>
      </c>
      <c r="C151">
        <f t="shared" si="24"/>
        <v>140</v>
      </c>
      <c r="D151">
        <f t="shared" ca="1" si="21"/>
        <v>4</v>
      </c>
      <c r="E151" s="2">
        <f t="shared" ca="1" si="25"/>
        <v>487.79227253797092</v>
      </c>
      <c r="F151" s="2">
        <f t="shared" ca="1" si="18"/>
        <v>0</v>
      </c>
      <c r="G151" s="2">
        <f t="shared" ca="1" si="26"/>
        <v>487.79227253797092</v>
      </c>
      <c r="H151" s="2">
        <f t="shared" ca="1" si="22"/>
        <v>0.25391926515675201</v>
      </c>
      <c r="I151" s="2">
        <f t="shared" ca="1" si="23"/>
        <v>0</v>
      </c>
    </row>
    <row r="152" spans="2:9" x14ac:dyDescent="0.2">
      <c r="B152" s="4">
        <f t="shared" ca="1" si="24"/>
        <v>44189</v>
      </c>
      <c r="C152">
        <f t="shared" si="24"/>
        <v>141</v>
      </c>
      <c r="D152">
        <f t="shared" ca="1" si="21"/>
        <v>5</v>
      </c>
      <c r="E152" s="2">
        <f t="shared" ca="1" si="25"/>
        <v>488.04619180312767</v>
      </c>
      <c r="F152" s="2">
        <f t="shared" ca="1" si="18"/>
        <v>0</v>
      </c>
      <c r="G152" s="2">
        <f t="shared" ca="1" si="26"/>
        <v>488.04619180312767</v>
      </c>
      <c r="H152" s="2">
        <f t="shared" ca="1" si="22"/>
        <v>0.25405144230847743</v>
      </c>
      <c r="I152" s="2">
        <f t="shared" ca="1" si="23"/>
        <v>0</v>
      </c>
    </row>
    <row r="153" spans="2:9" x14ac:dyDescent="0.2">
      <c r="B153" s="4">
        <f t="shared" ca="1" si="24"/>
        <v>44190</v>
      </c>
      <c r="C153">
        <f t="shared" si="24"/>
        <v>142</v>
      </c>
      <c r="D153">
        <f t="shared" ca="1" si="21"/>
        <v>6</v>
      </c>
      <c r="E153" s="2">
        <f t="shared" ca="1" si="25"/>
        <v>488.30024324543615</v>
      </c>
      <c r="F153" s="2">
        <f t="shared" ca="1" si="18"/>
        <v>0</v>
      </c>
      <c r="G153" s="2">
        <f t="shared" ca="1" si="26"/>
        <v>488.30024324543615</v>
      </c>
      <c r="H153" s="2">
        <f t="shared" ca="1" si="22"/>
        <v>0.25418368826474758</v>
      </c>
      <c r="I153" s="2">
        <f t="shared" ca="1" si="23"/>
        <v>0</v>
      </c>
    </row>
    <row r="154" spans="2:9" x14ac:dyDescent="0.2">
      <c r="B154" s="4">
        <f t="shared" ca="1" si="24"/>
        <v>44191</v>
      </c>
      <c r="C154">
        <f t="shared" si="24"/>
        <v>143</v>
      </c>
      <c r="D154">
        <f t="shared" ca="1" si="21"/>
        <v>7</v>
      </c>
      <c r="E154" s="2">
        <f t="shared" ca="1" si="25"/>
        <v>488.55442693370088</v>
      </c>
      <c r="F154" s="2">
        <f t="shared" ca="1" si="18"/>
        <v>0</v>
      </c>
      <c r="G154" s="2">
        <f t="shared" ca="1" si="26"/>
        <v>488.55442693370088</v>
      </c>
      <c r="H154" s="2">
        <f t="shared" ca="1" si="22"/>
        <v>0.25431600306137853</v>
      </c>
      <c r="I154" s="2">
        <f t="shared" ca="1" si="23"/>
        <v>20</v>
      </c>
    </row>
    <row r="155" spans="2:9" x14ac:dyDescent="0.2">
      <c r="B155" s="4">
        <f t="shared" ca="1" si="24"/>
        <v>44192</v>
      </c>
      <c r="C155">
        <f t="shared" si="24"/>
        <v>144</v>
      </c>
      <c r="D155">
        <f t="shared" ca="1" si="21"/>
        <v>1</v>
      </c>
      <c r="E155" s="2">
        <f t="shared" ca="1" si="25"/>
        <v>508.80874293676226</v>
      </c>
      <c r="F155" s="2">
        <f t="shared" ca="1" si="18"/>
        <v>0</v>
      </c>
      <c r="G155" s="2">
        <f t="shared" ca="1" si="26"/>
        <v>508.80874293676226</v>
      </c>
      <c r="H155" s="2">
        <f t="shared" ca="1" si="22"/>
        <v>0.26485934563831459</v>
      </c>
      <c r="I155" s="2">
        <f t="shared" ca="1" si="23"/>
        <v>0</v>
      </c>
    </row>
    <row r="156" spans="2:9" x14ac:dyDescent="0.2">
      <c r="B156" s="4">
        <f t="shared" ca="1" si="24"/>
        <v>44193</v>
      </c>
      <c r="C156">
        <f t="shared" si="24"/>
        <v>145</v>
      </c>
      <c r="D156">
        <f t="shared" ca="1" si="21"/>
        <v>2</v>
      </c>
      <c r="E156" s="2">
        <f t="shared" ca="1" si="25"/>
        <v>509.0736022824006</v>
      </c>
      <c r="F156" s="2">
        <f t="shared" ca="1" si="18"/>
        <v>0</v>
      </c>
      <c r="G156" s="2">
        <f t="shared" ca="1" si="26"/>
        <v>509.0736022824006</v>
      </c>
      <c r="H156" s="2">
        <f t="shared" ca="1" si="22"/>
        <v>0.26499721762645512</v>
      </c>
      <c r="I156" s="2">
        <f t="shared" ca="1" si="23"/>
        <v>0</v>
      </c>
    </row>
    <row r="157" spans="2:9" x14ac:dyDescent="0.2">
      <c r="B157" s="4">
        <f t="shared" ref="B157:C172" ca="1" si="27">B156+1</f>
        <v>44194</v>
      </c>
      <c r="C157">
        <f t="shared" si="27"/>
        <v>146</v>
      </c>
      <c r="D157">
        <f t="shared" ca="1" si="21"/>
        <v>3</v>
      </c>
      <c r="E157" s="2">
        <f t="shared" ca="1" si="25"/>
        <v>509.33859950002704</v>
      </c>
      <c r="F157" s="2">
        <f t="shared" ca="1" si="18"/>
        <v>0</v>
      </c>
      <c r="G157" s="2">
        <f t="shared" ca="1" si="26"/>
        <v>509.33859950002704</v>
      </c>
      <c r="H157" s="2">
        <f t="shared" ca="1" si="22"/>
        <v>0.26513516138357573</v>
      </c>
      <c r="I157" s="2">
        <f t="shared" ca="1" si="23"/>
        <v>0</v>
      </c>
    </row>
    <row r="158" spans="2:9" x14ac:dyDescent="0.2">
      <c r="B158" s="4">
        <f t="shared" ca="1" si="27"/>
        <v>44195</v>
      </c>
      <c r="C158">
        <f t="shared" si="27"/>
        <v>147</v>
      </c>
      <c r="D158">
        <f t="shared" ca="1" si="21"/>
        <v>4</v>
      </c>
      <c r="E158" s="2">
        <f t="shared" ca="1" si="25"/>
        <v>509.60373466141061</v>
      </c>
      <c r="F158" s="2">
        <f t="shared" ca="1" si="18"/>
        <v>0</v>
      </c>
      <c r="G158" s="2">
        <f t="shared" ca="1" si="26"/>
        <v>509.60373466141061</v>
      </c>
      <c r="H158" s="2">
        <f t="shared" ca="1" si="22"/>
        <v>0.26527317694703567</v>
      </c>
      <c r="I158" s="2">
        <f t="shared" ca="1" si="23"/>
        <v>0</v>
      </c>
    </row>
    <row r="159" spans="2:9" x14ac:dyDescent="0.2">
      <c r="B159" s="4">
        <f t="shared" ca="1" si="27"/>
        <v>44196</v>
      </c>
      <c r="C159">
        <f t="shared" si="27"/>
        <v>148</v>
      </c>
      <c r="D159">
        <f t="shared" ca="1" si="21"/>
        <v>5</v>
      </c>
      <c r="E159" s="2">
        <f t="shared" ca="1" si="25"/>
        <v>509.86900783835767</v>
      </c>
      <c r="F159" s="2">
        <f t="shared" ca="1" si="18"/>
        <v>0</v>
      </c>
      <c r="G159" s="2">
        <f t="shared" ca="1" si="26"/>
        <v>509.86900783835767</v>
      </c>
      <c r="H159" s="2">
        <f t="shared" ca="1" si="22"/>
        <v>0.26541126435421358</v>
      </c>
      <c r="I159" s="2">
        <f t="shared" ca="1" si="23"/>
        <v>0</v>
      </c>
    </row>
    <row r="160" spans="2:9" x14ac:dyDescent="0.2">
      <c r="B160" s="4">
        <f t="shared" ca="1" si="27"/>
        <v>44197</v>
      </c>
      <c r="C160">
        <f t="shared" si="27"/>
        <v>149</v>
      </c>
      <c r="D160">
        <f t="shared" ca="1" si="21"/>
        <v>6</v>
      </c>
      <c r="E160" s="2">
        <f t="shared" ca="1" si="25"/>
        <v>510.13441910271189</v>
      </c>
      <c r="F160" s="2">
        <f t="shared" ca="1" si="18"/>
        <v>0</v>
      </c>
      <c r="G160" s="2">
        <f t="shared" ca="1" si="26"/>
        <v>510.13441910271189</v>
      </c>
      <c r="H160" s="2">
        <f t="shared" ca="1" si="22"/>
        <v>0.26554942364250755</v>
      </c>
      <c r="I160" s="2">
        <f t="shared" ca="1" si="23"/>
        <v>0</v>
      </c>
    </row>
    <row r="161" spans="2:9" x14ac:dyDescent="0.2">
      <c r="B161" s="4">
        <f t="shared" ca="1" si="27"/>
        <v>44198</v>
      </c>
      <c r="C161">
        <f t="shared" si="27"/>
        <v>150</v>
      </c>
      <c r="D161">
        <f t="shared" ca="1" si="21"/>
        <v>7</v>
      </c>
      <c r="E161" s="2">
        <f t="shared" ca="1" si="25"/>
        <v>510.39996852635437</v>
      </c>
      <c r="F161" s="2">
        <f t="shared" ca="1" si="18"/>
        <v>0</v>
      </c>
      <c r="G161" s="2">
        <f t="shared" ca="1" si="26"/>
        <v>510.39996852635437</v>
      </c>
      <c r="H161" s="2">
        <f t="shared" ca="1" si="22"/>
        <v>0.26568765484933515</v>
      </c>
      <c r="I161" s="2">
        <f t="shared" ca="1" si="23"/>
        <v>20</v>
      </c>
    </row>
    <row r="162" spans="2:9" x14ac:dyDescent="0.2">
      <c r="B162" s="4">
        <f t="shared" ca="1" si="27"/>
        <v>44199</v>
      </c>
      <c r="C162">
        <f t="shared" si="27"/>
        <v>151</v>
      </c>
      <c r="D162">
        <f t="shared" ca="1" si="21"/>
        <v>1</v>
      </c>
      <c r="E162" s="2">
        <f t="shared" ca="1" si="25"/>
        <v>530.66565618120376</v>
      </c>
      <c r="F162" s="2">
        <f t="shared" ca="1" si="18"/>
        <v>0</v>
      </c>
      <c r="G162" s="2">
        <f t="shared" ca="1" si="26"/>
        <v>530.66565618120376</v>
      </c>
      <c r="H162" s="2">
        <f t="shared" ca="1" si="22"/>
        <v>0.27623691691624302</v>
      </c>
      <c r="I162" s="2">
        <f t="shared" ca="1" si="23"/>
        <v>0</v>
      </c>
    </row>
    <row r="163" spans="2:9" x14ac:dyDescent="0.2">
      <c r="B163" s="4">
        <f t="shared" ca="1" si="27"/>
        <v>44200</v>
      </c>
      <c r="C163">
        <f t="shared" si="27"/>
        <v>152</v>
      </c>
      <c r="D163">
        <f t="shared" ca="1" si="21"/>
        <v>2</v>
      </c>
      <c r="E163" s="2">
        <f t="shared" ca="1" si="25"/>
        <v>530.94189309811998</v>
      </c>
      <c r="F163" s="2">
        <f t="shared" ca="1" si="18"/>
        <v>0</v>
      </c>
      <c r="G163" s="2">
        <f t="shared" ca="1" si="26"/>
        <v>530.94189309811998</v>
      </c>
      <c r="H163" s="2">
        <f t="shared" ca="1" si="22"/>
        <v>0.27638071147573368</v>
      </c>
      <c r="I163" s="2">
        <f t="shared" ca="1" si="23"/>
        <v>0</v>
      </c>
    </row>
    <row r="164" spans="2:9" x14ac:dyDescent="0.2">
      <c r="B164" s="4">
        <f t="shared" ca="1" si="27"/>
        <v>44201</v>
      </c>
      <c r="C164">
        <f t="shared" si="27"/>
        <v>153</v>
      </c>
      <c r="D164">
        <f t="shared" ca="1" si="21"/>
        <v>3</v>
      </c>
      <c r="E164" s="2">
        <f t="shared" ca="1" si="25"/>
        <v>531.21827380959576</v>
      </c>
      <c r="F164" s="2">
        <f t="shared" ref="F164:F211" ca="1" si="28">IF(C164&gt;$C$7,0,IF(ROUND(E164,0)&gt;0,IF(C164=0,0,IF(DAY($F$2)&lt;&gt;DAY(B164),0,$C$8)),0))</f>
        <v>307.49483559478722</v>
      </c>
      <c r="G164" s="2">
        <f t="shared" ca="1" si="26"/>
        <v>223.72343821480854</v>
      </c>
      <c r="H164" s="2">
        <f t="shared" ca="1" si="22"/>
        <v>0.11645877605702362</v>
      </c>
      <c r="I164" s="2">
        <f t="shared" ca="1" si="23"/>
        <v>0</v>
      </c>
    </row>
    <row r="165" spans="2:9" x14ac:dyDescent="0.2">
      <c r="B165" s="4">
        <f t="shared" ca="1" si="27"/>
        <v>44202</v>
      </c>
      <c r="C165">
        <f t="shared" si="27"/>
        <v>154</v>
      </c>
      <c r="D165">
        <f t="shared" ca="1" si="21"/>
        <v>4</v>
      </c>
      <c r="E165" s="2">
        <f t="shared" ca="1" si="25"/>
        <v>223.83989699086555</v>
      </c>
      <c r="F165" s="2">
        <f t="shared" ca="1" si="28"/>
        <v>0</v>
      </c>
      <c r="G165" s="2">
        <f t="shared" ca="1" si="26"/>
        <v>223.83989699086555</v>
      </c>
      <c r="H165" s="2">
        <f t="shared" ca="1" si="22"/>
        <v>0.11651939843360123</v>
      </c>
      <c r="I165" s="2">
        <f t="shared" ca="1" si="23"/>
        <v>0</v>
      </c>
    </row>
    <row r="166" spans="2:9" x14ac:dyDescent="0.2">
      <c r="B166" s="4">
        <f t="shared" ca="1" si="27"/>
        <v>44203</v>
      </c>
      <c r="C166">
        <f t="shared" si="27"/>
        <v>155</v>
      </c>
      <c r="D166">
        <f t="shared" ca="1" si="21"/>
        <v>5</v>
      </c>
      <c r="E166" s="2">
        <f t="shared" ca="1" si="25"/>
        <v>223.95641638929916</v>
      </c>
      <c r="F166" s="2">
        <f t="shared" ca="1" si="28"/>
        <v>0</v>
      </c>
      <c r="G166" s="2">
        <f t="shared" ca="1" si="26"/>
        <v>223.95641638929916</v>
      </c>
      <c r="H166" s="2">
        <f t="shared" ca="1" si="22"/>
        <v>0.11658005236703244</v>
      </c>
      <c r="I166" s="2">
        <f t="shared" ca="1" si="23"/>
        <v>0</v>
      </c>
    </row>
    <row r="167" spans="2:9" x14ac:dyDescent="0.2">
      <c r="B167" s="4">
        <f t="shared" ca="1" si="27"/>
        <v>44204</v>
      </c>
      <c r="C167">
        <f t="shared" si="27"/>
        <v>156</v>
      </c>
      <c r="D167">
        <f t="shared" ca="1" si="21"/>
        <v>6</v>
      </c>
      <c r="E167" s="2">
        <f t="shared" ca="1" si="25"/>
        <v>224.07299644166619</v>
      </c>
      <c r="F167" s="2">
        <f t="shared" ca="1" si="28"/>
        <v>0</v>
      </c>
      <c r="G167" s="2">
        <f t="shared" ca="1" si="26"/>
        <v>224.07299644166619</v>
      </c>
      <c r="H167" s="2">
        <f t="shared" ca="1" si="22"/>
        <v>0.11664073787374404</v>
      </c>
      <c r="I167" s="2">
        <f t="shared" ca="1" si="23"/>
        <v>0</v>
      </c>
    </row>
    <row r="168" spans="2:9" x14ac:dyDescent="0.2">
      <c r="B168" s="4">
        <f t="shared" ca="1" si="27"/>
        <v>44205</v>
      </c>
      <c r="C168">
        <f t="shared" si="27"/>
        <v>157</v>
      </c>
      <c r="D168">
        <f t="shared" ca="1" si="21"/>
        <v>7</v>
      </c>
      <c r="E168" s="2">
        <f t="shared" ca="1" si="25"/>
        <v>224.18963717953994</v>
      </c>
      <c r="F168" s="2">
        <f t="shared" ca="1" si="28"/>
        <v>0</v>
      </c>
      <c r="G168" s="2">
        <f t="shared" ca="1" si="26"/>
        <v>224.18963717953994</v>
      </c>
      <c r="H168" s="2">
        <f t="shared" ca="1" si="22"/>
        <v>0.11670145497017147</v>
      </c>
      <c r="I168" s="2">
        <f t="shared" ca="1" si="23"/>
        <v>20</v>
      </c>
    </row>
    <row r="169" spans="2:9" x14ac:dyDescent="0.2">
      <c r="B169" s="4">
        <f t="shared" ca="1" si="27"/>
        <v>44206</v>
      </c>
      <c r="C169">
        <f t="shared" si="27"/>
        <v>158</v>
      </c>
      <c r="D169">
        <f t="shared" ca="1" si="21"/>
        <v>1</v>
      </c>
      <c r="E169" s="2">
        <f t="shared" ca="1" si="25"/>
        <v>244.30633863451013</v>
      </c>
      <c r="F169" s="2">
        <f t="shared" ca="1" si="28"/>
        <v>0</v>
      </c>
      <c r="G169" s="2">
        <f t="shared" ca="1" si="26"/>
        <v>244.30633863451013</v>
      </c>
      <c r="H169" s="2">
        <f t="shared" ca="1" si="22"/>
        <v>0.12717316257686828</v>
      </c>
      <c r="I169" s="2">
        <f t="shared" ca="1" si="23"/>
        <v>0</v>
      </c>
    </row>
    <row r="170" spans="2:9" x14ac:dyDescent="0.2">
      <c r="B170" s="4">
        <f t="shared" ca="1" si="27"/>
        <v>44207</v>
      </c>
      <c r="C170">
        <f t="shared" si="27"/>
        <v>159</v>
      </c>
      <c r="D170">
        <f t="shared" ca="1" si="21"/>
        <v>2</v>
      </c>
      <c r="E170" s="2">
        <f t="shared" ca="1" si="25"/>
        <v>244.43351179708699</v>
      </c>
      <c r="F170" s="2">
        <f t="shared" ca="1" si="28"/>
        <v>0</v>
      </c>
      <c r="G170" s="2">
        <f t="shared" ca="1" si="26"/>
        <v>244.43351179708699</v>
      </c>
      <c r="H170" s="2">
        <f t="shared" ca="1" si="22"/>
        <v>0.12723936230533295</v>
      </c>
      <c r="I170" s="2">
        <f t="shared" ca="1" si="23"/>
        <v>0</v>
      </c>
    </row>
    <row r="171" spans="2:9" x14ac:dyDescent="0.2">
      <c r="B171" s="4">
        <f t="shared" ca="1" si="27"/>
        <v>44208</v>
      </c>
      <c r="C171">
        <f t="shared" si="27"/>
        <v>160</v>
      </c>
      <c r="D171">
        <f t="shared" ca="1" si="21"/>
        <v>3</v>
      </c>
      <c r="E171" s="2">
        <f t="shared" ca="1" si="25"/>
        <v>244.56075115939234</v>
      </c>
      <c r="F171" s="2">
        <f t="shared" ca="1" si="28"/>
        <v>0</v>
      </c>
      <c r="G171" s="2">
        <f t="shared" ca="1" si="26"/>
        <v>244.56075115939234</v>
      </c>
      <c r="H171" s="2">
        <f t="shared" ca="1" si="22"/>
        <v>0.12730559649393025</v>
      </c>
      <c r="I171" s="2">
        <f t="shared" ca="1" si="23"/>
        <v>0</v>
      </c>
    </row>
    <row r="172" spans="2:9" x14ac:dyDescent="0.2">
      <c r="B172" s="4">
        <f t="shared" ca="1" si="27"/>
        <v>44209</v>
      </c>
      <c r="C172">
        <f t="shared" si="27"/>
        <v>161</v>
      </c>
      <c r="D172">
        <f t="shared" ca="1" si="21"/>
        <v>4</v>
      </c>
      <c r="E172" s="2">
        <f t="shared" ca="1" si="25"/>
        <v>244.68805675588627</v>
      </c>
      <c r="F172" s="2">
        <f t="shared" ca="1" si="28"/>
        <v>0</v>
      </c>
      <c r="G172" s="2">
        <f t="shared" ca="1" si="26"/>
        <v>244.68805675588627</v>
      </c>
      <c r="H172" s="2">
        <f t="shared" ca="1" si="22"/>
        <v>0.12737186516059831</v>
      </c>
      <c r="I172" s="2">
        <f t="shared" ca="1" si="23"/>
        <v>0</v>
      </c>
    </row>
    <row r="173" spans="2:9" x14ac:dyDescent="0.2">
      <c r="B173" s="4">
        <f t="shared" ref="B173:C188" ca="1" si="29">B172+1</f>
        <v>44210</v>
      </c>
      <c r="C173">
        <f t="shared" si="29"/>
        <v>162</v>
      </c>
      <c r="D173">
        <f t="shared" ca="1" si="21"/>
        <v>5</v>
      </c>
      <c r="E173" s="2">
        <f t="shared" ca="1" si="25"/>
        <v>244.81542862104686</v>
      </c>
      <c r="F173" s="2">
        <f t="shared" ca="1" si="28"/>
        <v>0</v>
      </c>
      <c r="G173" s="2">
        <f t="shared" ca="1" si="26"/>
        <v>244.81542862104686</v>
      </c>
      <c r="H173" s="2">
        <f t="shared" ca="1" si="22"/>
        <v>0.12743816832328467</v>
      </c>
      <c r="I173" s="2">
        <f t="shared" ca="1" si="23"/>
        <v>0</v>
      </c>
    </row>
    <row r="174" spans="2:9" x14ac:dyDescent="0.2">
      <c r="B174" s="4">
        <f t="shared" ca="1" si="29"/>
        <v>44211</v>
      </c>
      <c r="C174">
        <f t="shared" si="29"/>
        <v>163</v>
      </c>
      <c r="D174">
        <f t="shared" ca="1" si="21"/>
        <v>6</v>
      </c>
      <c r="E174" s="2">
        <f t="shared" ca="1" si="25"/>
        <v>244.94286678937016</v>
      </c>
      <c r="F174" s="2">
        <f t="shared" ca="1" si="28"/>
        <v>0</v>
      </c>
      <c r="G174" s="2">
        <f t="shared" ca="1" si="26"/>
        <v>244.94286678937016</v>
      </c>
      <c r="H174" s="2">
        <f t="shared" ca="1" si="22"/>
        <v>0.12750450599994612</v>
      </c>
      <c r="I174" s="2">
        <f t="shared" ca="1" si="23"/>
        <v>0</v>
      </c>
    </row>
    <row r="175" spans="2:9" x14ac:dyDescent="0.2">
      <c r="B175" s="4">
        <f t="shared" ca="1" si="29"/>
        <v>44212</v>
      </c>
      <c r="C175">
        <f t="shared" si="29"/>
        <v>164</v>
      </c>
      <c r="D175">
        <f t="shared" ca="1" si="21"/>
        <v>7</v>
      </c>
      <c r="E175" s="2">
        <f t="shared" ca="1" si="25"/>
        <v>245.07037129537011</v>
      </c>
      <c r="F175" s="2">
        <f t="shared" ca="1" si="28"/>
        <v>0</v>
      </c>
      <c r="G175" s="2">
        <f t="shared" ca="1" si="26"/>
        <v>245.07037129537011</v>
      </c>
      <c r="H175" s="2">
        <f t="shared" ca="1" si="22"/>
        <v>0.12757087820854882</v>
      </c>
      <c r="I175" s="2">
        <f t="shared" ca="1" si="23"/>
        <v>20</v>
      </c>
    </row>
    <row r="176" spans="2:9" x14ac:dyDescent="0.2">
      <c r="B176" s="4">
        <f t="shared" ca="1" si="29"/>
        <v>44213</v>
      </c>
      <c r="C176">
        <f t="shared" si="29"/>
        <v>165</v>
      </c>
      <c r="D176">
        <f t="shared" ca="1" si="21"/>
        <v>1</v>
      </c>
      <c r="E176" s="2">
        <f t="shared" ca="1" si="25"/>
        <v>265.19794217357867</v>
      </c>
      <c r="F176" s="2">
        <f t="shared" ca="1" si="28"/>
        <v>0</v>
      </c>
      <c r="G176" s="2">
        <f t="shared" ca="1" si="26"/>
        <v>265.19794217357867</v>
      </c>
      <c r="H176" s="2">
        <f t="shared" ca="1" si="22"/>
        <v>0.13804824387117795</v>
      </c>
      <c r="I176" s="2">
        <f t="shared" ca="1" si="23"/>
        <v>0</v>
      </c>
    </row>
    <row r="177" spans="2:9" x14ac:dyDescent="0.2">
      <c r="B177" s="4">
        <f t="shared" ca="1" si="29"/>
        <v>44214</v>
      </c>
      <c r="C177">
        <f t="shared" si="29"/>
        <v>166</v>
      </c>
      <c r="D177">
        <f t="shared" ca="1" si="21"/>
        <v>2</v>
      </c>
      <c r="E177" s="2">
        <f t="shared" ca="1" si="25"/>
        <v>265.33599041744986</v>
      </c>
      <c r="F177" s="2">
        <f t="shared" ca="1" si="28"/>
        <v>0</v>
      </c>
      <c r="G177" s="2">
        <f t="shared" ca="1" si="26"/>
        <v>265.33599041744986</v>
      </c>
      <c r="H177" s="2">
        <f t="shared" ca="1" si="22"/>
        <v>0.13812010460086432</v>
      </c>
      <c r="I177" s="2">
        <f t="shared" ca="1" si="23"/>
        <v>0</v>
      </c>
    </row>
    <row r="178" spans="2:9" x14ac:dyDescent="0.2">
      <c r="B178" s="4">
        <f t="shared" ca="1" si="29"/>
        <v>44215</v>
      </c>
      <c r="C178">
        <f t="shared" si="29"/>
        <v>167</v>
      </c>
      <c r="D178">
        <f t="shared" ca="1" si="21"/>
        <v>3</v>
      </c>
      <c r="E178" s="2">
        <f t="shared" ca="1" si="25"/>
        <v>265.47411052205075</v>
      </c>
      <c r="F178" s="2">
        <f t="shared" ca="1" si="28"/>
        <v>0</v>
      </c>
      <c r="G178" s="2">
        <f t="shared" ca="1" si="26"/>
        <v>265.47411052205075</v>
      </c>
      <c r="H178" s="2">
        <f t="shared" ca="1" si="22"/>
        <v>0.13819200273750587</v>
      </c>
      <c r="I178" s="2">
        <f t="shared" ca="1" si="23"/>
        <v>0</v>
      </c>
    </row>
    <row r="179" spans="2:9" x14ac:dyDescent="0.2">
      <c r="B179" s="4">
        <f t="shared" ca="1" si="29"/>
        <v>44216</v>
      </c>
      <c r="C179">
        <f t="shared" si="29"/>
        <v>168</v>
      </c>
      <c r="D179">
        <f t="shared" ca="1" si="21"/>
        <v>4</v>
      </c>
      <c r="E179" s="2">
        <f t="shared" ca="1" si="25"/>
        <v>265.61230252478828</v>
      </c>
      <c r="F179" s="2">
        <f t="shared" ca="1" si="28"/>
        <v>0</v>
      </c>
      <c r="G179" s="2">
        <f t="shared" ca="1" si="26"/>
        <v>265.61230252478828</v>
      </c>
      <c r="H179" s="2">
        <f t="shared" ca="1" si="22"/>
        <v>0.13826393830057471</v>
      </c>
      <c r="I179" s="2">
        <f t="shared" ca="1" si="23"/>
        <v>0</v>
      </c>
    </row>
    <row r="180" spans="2:9" x14ac:dyDescent="0.2">
      <c r="B180" s="4">
        <f t="shared" ca="1" si="29"/>
        <v>44217</v>
      </c>
      <c r="C180">
        <f t="shared" si="29"/>
        <v>169</v>
      </c>
      <c r="D180">
        <f t="shared" ca="1" si="21"/>
        <v>5</v>
      </c>
      <c r="E180" s="2">
        <f t="shared" ca="1" si="25"/>
        <v>265.75056646308883</v>
      </c>
      <c r="F180" s="2">
        <f t="shared" ca="1" si="28"/>
        <v>0</v>
      </c>
      <c r="G180" s="2">
        <f t="shared" ca="1" si="26"/>
        <v>265.75056646308883</v>
      </c>
      <c r="H180" s="2">
        <f t="shared" ca="1" si="22"/>
        <v>0.13833591130955308</v>
      </c>
      <c r="I180" s="2">
        <f t="shared" ca="1" si="23"/>
        <v>0</v>
      </c>
    </row>
    <row r="181" spans="2:9" x14ac:dyDescent="0.2">
      <c r="B181" s="4">
        <f t="shared" ca="1" si="29"/>
        <v>44218</v>
      </c>
      <c r="C181">
        <f t="shared" si="29"/>
        <v>170</v>
      </c>
      <c r="D181">
        <f t="shared" ca="1" si="21"/>
        <v>6</v>
      </c>
      <c r="E181" s="2">
        <f t="shared" ca="1" si="25"/>
        <v>265.88890237439836</v>
      </c>
      <c r="F181" s="2">
        <f t="shared" ca="1" si="28"/>
        <v>0</v>
      </c>
      <c r="G181" s="2">
        <f t="shared" ca="1" si="26"/>
        <v>265.88890237439836</v>
      </c>
      <c r="H181" s="2">
        <f t="shared" ca="1" si="22"/>
        <v>0.13840792178393338</v>
      </c>
      <c r="I181" s="2">
        <f t="shared" ca="1" si="23"/>
        <v>0</v>
      </c>
    </row>
    <row r="182" spans="2:9" x14ac:dyDescent="0.2">
      <c r="B182" s="4">
        <f t="shared" ca="1" si="29"/>
        <v>44219</v>
      </c>
      <c r="C182">
        <f t="shared" si="29"/>
        <v>171</v>
      </c>
      <c r="D182">
        <f t="shared" ca="1" si="21"/>
        <v>7</v>
      </c>
      <c r="E182" s="2">
        <f t="shared" ca="1" si="25"/>
        <v>266.02731029618229</v>
      </c>
      <c r="F182" s="2">
        <f t="shared" ca="1" si="28"/>
        <v>0</v>
      </c>
      <c r="G182" s="2">
        <f t="shared" ca="1" si="26"/>
        <v>266.02731029618229</v>
      </c>
      <c r="H182" s="2">
        <f t="shared" ca="1" si="22"/>
        <v>0.13847996974321819</v>
      </c>
      <c r="I182" s="2">
        <f t="shared" ca="1" si="23"/>
        <v>20</v>
      </c>
    </row>
    <row r="183" spans="2:9" x14ac:dyDescent="0.2">
      <c r="B183" s="4">
        <f t="shared" ca="1" si="29"/>
        <v>44220</v>
      </c>
      <c r="C183">
        <f t="shared" si="29"/>
        <v>172</v>
      </c>
      <c r="D183">
        <f t="shared" ca="1" si="21"/>
        <v>1</v>
      </c>
      <c r="E183" s="2">
        <f t="shared" ca="1" si="25"/>
        <v>286.16579026592552</v>
      </c>
      <c r="F183" s="2">
        <f t="shared" ca="1" si="28"/>
        <v>0</v>
      </c>
      <c r="G183" s="2">
        <f t="shared" ca="1" si="26"/>
        <v>286.16579026592552</v>
      </c>
      <c r="H183" s="2">
        <f t="shared" ca="1" si="22"/>
        <v>0.14896301411102972</v>
      </c>
      <c r="I183" s="2">
        <f t="shared" ca="1" si="23"/>
        <v>0</v>
      </c>
    </row>
    <row r="184" spans="2:9" x14ac:dyDescent="0.2">
      <c r="B184" s="4">
        <f t="shared" ca="1" si="29"/>
        <v>44221</v>
      </c>
      <c r="C184">
        <f t="shared" si="29"/>
        <v>173</v>
      </c>
      <c r="D184">
        <f t="shared" ca="1" si="21"/>
        <v>2</v>
      </c>
      <c r="E184" s="2">
        <f t="shared" ca="1" si="25"/>
        <v>286.31475328003654</v>
      </c>
      <c r="F184" s="2">
        <f t="shared" ca="1" si="28"/>
        <v>0</v>
      </c>
      <c r="G184" s="2">
        <f t="shared" ca="1" si="26"/>
        <v>286.31475328003654</v>
      </c>
      <c r="H184" s="2">
        <f t="shared" ca="1" si="22"/>
        <v>0.14904055650193684</v>
      </c>
      <c r="I184" s="2">
        <f t="shared" ca="1" si="23"/>
        <v>0</v>
      </c>
    </row>
    <row r="185" spans="2:9" x14ac:dyDescent="0.2">
      <c r="B185" s="4">
        <f t="shared" ca="1" si="29"/>
        <v>44222</v>
      </c>
      <c r="C185">
        <f t="shared" si="29"/>
        <v>174</v>
      </c>
      <c r="D185">
        <f t="shared" ca="1" si="21"/>
        <v>3</v>
      </c>
      <c r="E185" s="2">
        <f t="shared" ca="1" si="25"/>
        <v>286.46379383653846</v>
      </c>
      <c r="F185" s="2">
        <f t="shared" ca="1" si="28"/>
        <v>0</v>
      </c>
      <c r="G185" s="2">
        <f t="shared" ca="1" si="26"/>
        <v>286.46379383653846</v>
      </c>
      <c r="H185" s="2">
        <f t="shared" ca="1" si="22"/>
        <v>0.14911813925737619</v>
      </c>
      <c r="I185" s="2">
        <f t="shared" ca="1" si="23"/>
        <v>0</v>
      </c>
    </row>
    <row r="186" spans="2:9" x14ac:dyDescent="0.2">
      <c r="B186" s="4">
        <f t="shared" ca="1" si="29"/>
        <v>44223</v>
      </c>
      <c r="C186">
        <f t="shared" si="29"/>
        <v>175</v>
      </c>
      <c r="D186">
        <f t="shared" ca="1" si="21"/>
        <v>4</v>
      </c>
      <c r="E186" s="2">
        <f t="shared" ca="1" si="25"/>
        <v>286.61291197579584</v>
      </c>
      <c r="F186" s="2">
        <f t="shared" ca="1" si="28"/>
        <v>0</v>
      </c>
      <c r="G186" s="2">
        <f t="shared" ca="1" si="26"/>
        <v>286.61291197579584</v>
      </c>
      <c r="H186" s="2">
        <f t="shared" ca="1" si="22"/>
        <v>0.14919576239835947</v>
      </c>
      <c r="I186" s="2">
        <f t="shared" ca="1" si="23"/>
        <v>0</v>
      </c>
    </row>
    <row r="187" spans="2:9" x14ac:dyDescent="0.2">
      <c r="B187" s="4">
        <f t="shared" ca="1" si="29"/>
        <v>44224</v>
      </c>
      <c r="C187">
        <f t="shared" si="29"/>
        <v>176</v>
      </c>
      <c r="D187">
        <f t="shared" ca="1" si="21"/>
        <v>5</v>
      </c>
      <c r="E187" s="2">
        <f t="shared" ca="1" si="25"/>
        <v>286.76210773819417</v>
      </c>
      <c r="F187" s="2">
        <f t="shared" ca="1" si="28"/>
        <v>0</v>
      </c>
      <c r="G187" s="2">
        <f t="shared" ca="1" si="26"/>
        <v>286.76210773819417</v>
      </c>
      <c r="H187" s="2">
        <f t="shared" ca="1" si="22"/>
        <v>0.14927342594590928</v>
      </c>
      <c r="I187" s="2">
        <f t="shared" ca="1" si="23"/>
        <v>0</v>
      </c>
    </row>
    <row r="188" spans="2:9" x14ac:dyDescent="0.2">
      <c r="B188" s="4">
        <f t="shared" ca="1" si="29"/>
        <v>44225</v>
      </c>
      <c r="C188">
        <f t="shared" si="29"/>
        <v>177</v>
      </c>
      <c r="D188">
        <f t="shared" ca="1" si="21"/>
        <v>6</v>
      </c>
      <c r="E188" s="2">
        <f t="shared" ca="1" si="25"/>
        <v>286.9113811641401</v>
      </c>
      <c r="F188" s="2">
        <f t="shared" ca="1" si="28"/>
        <v>0</v>
      </c>
      <c r="G188" s="2">
        <f t="shared" ca="1" si="26"/>
        <v>286.9113811641401</v>
      </c>
      <c r="H188" s="2">
        <f t="shared" ca="1" si="22"/>
        <v>0.14935112992105923</v>
      </c>
      <c r="I188" s="2">
        <f t="shared" ca="1" si="23"/>
        <v>0</v>
      </c>
    </row>
    <row r="189" spans="2:9" x14ac:dyDescent="0.2">
      <c r="B189" s="4">
        <f t="shared" ref="B189:C204" ca="1" si="30">B188+1</f>
        <v>44226</v>
      </c>
      <c r="C189">
        <f t="shared" si="30"/>
        <v>178</v>
      </c>
      <c r="D189">
        <f t="shared" ca="1" si="21"/>
        <v>7</v>
      </c>
      <c r="E189" s="2">
        <f t="shared" ca="1" si="25"/>
        <v>287.06073229406115</v>
      </c>
      <c r="F189" s="2">
        <f t="shared" ca="1" si="28"/>
        <v>0</v>
      </c>
      <c r="G189" s="2">
        <f t="shared" ca="1" si="26"/>
        <v>287.06073229406115</v>
      </c>
      <c r="H189" s="2">
        <f t="shared" ca="1" si="22"/>
        <v>0.14942887434485375</v>
      </c>
      <c r="I189" s="2">
        <f t="shared" ca="1" si="23"/>
        <v>20</v>
      </c>
    </row>
    <row r="190" spans="2:9" x14ac:dyDescent="0.2">
      <c r="B190" s="4">
        <f t="shared" ca="1" si="30"/>
        <v>44227</v>
      </c>
      <c r="C190">
        <f t="shared" si="30"/>
        <v>179</v>
      </c>
      <c r="D190">
        <f t="shared" ca="1" si="21"/>
        <v>1</v>
      </c>
      <c r="E190" s="2">
        <f t="shared" ca="1" si="25"/>
        <v>307.21016116840599</v>
      </c>
      <c r="F190" s="2">
        <f t="shared" ca="1" si="28"/>
        <v>0</v>
      </c>
      <c r="G190" s="2">
        <f t="shared" ca="1" si="26"/>
        <v>307.21016116840599</v>
      </c>
      <c r="H190" s="2">
        <f t="shared" ca="1" si="22"/>
        <v>0.15991761814245792</v>
      </c>
      <c r="I190" s="2">
        <f t="shared" ca="1" si="23"/>
        <v>0</v>
      </c>
    </row>
    <row r="191" spans="2:9" x14ac:dyDescent="0.2">
      <c r="B191" s="4">
        <f t="shared" ca="1" si="30"/>
        <v>44228</v>
      </c>
      <c r="C191">
        <f t="shared" si="30"/>
        <v>180</v>
      </c>
      <c r="D191">
        <f t="shared" ca="1" si="21"/>
        <v>2</v>
      </c>
      <c r="E191" s="2">
        <f t="shared" ca="1" si="25"/>
        <v>307.37007878654845</v>
      </c>
      <c r="F191" s="2">
        <f t="shared" ca="1" si="28"/>
        <v>0</v>
      </c>
      <c r="G191" s="2">
        <f t="shared" ca="1" si="26"/>
        <v>307.37007878654845</v>
      </c>
      <c r="H191" s="2">
        <f t="shared" ca="1" si="22"/>
        <v>0.16000086292998411</v>
      </c>
      <c r="I191" s="2">
        <f t="shared" ca="1" si="23"/>
        <v>0</v>
      </c>
    </row>
    <row r="192" spans="2:9" x14ac:dyDescent="0.2">
      <c r="B192" s="4">
        <f t="shared" ca="1" si="30"/>
        <v>44229</v>
      </c>
      <c r="C192">
        <f t="shared" si="30"/>
        <v>181</v>
      </c>
      <c r="D192">
        <f t="shared" ca="1" si="21"/>
        <v>3</v>
      </c>
      <c r="E192" s="2">
        <f t="shared" ca="1" si="25"/>
        <v>307.53007964947841</v>
      </c>
      <c r="F192" s="2">
        <f t="shared" ca="1" si="28"/>
        <v>0</v>
      </c>
      <c r="G192" s="2">
        <f t="shared" ca="1" si="26"/>
        <v>307.53007964947841</v>
      </c>
      <c r="H192" s="2">
        <f t="shared" ca="1" si="22"/>
        <v>0.1600841510504134</v>
      </c>
      <c r="I192" s="2">
        <f t="shared" ca="1" si="23"/>
        <v>0</v>
      </c>
    </row>
    <row r="193" spans="2:9" x14ac:dyDescent="0.2">
      <c r="B193" s="4">
        <f t="shared" ca="1" si="30"/>
        <v>44230</v>
      </c>
      <c r="C193">
        <f t="shared" si="30"/>
        <v>182</v>
      </c>
      <c r="D193">
        <f t="shared" ca="1" si="21"/>
        <v>4</v>
      </c>
      <c r="E193" s="2">
        <f t="shared" ca="1" si="25"/>
        <v>307.69016380052881</v>
      </c>
      <c r="F193" s="2">
        <f t="shared" ca="1" si="28"/>
        <v>0</v>
      </c>
      <c r="G193" s="2">
        <f t="shared" ca="1" si="26"/>
        <v>307.69016380052881</v>
      </c>
      <c r="H193" s="2">
        <f t="shared" ca="1" si="22"/>
        <v>0.16016748252630267</v>
      </c>
      <c r="I193" s="2">
        <f t="shared" ca="1" si="23"/>
        <v>0</v>
      </c>
    </row>
    <row r="194" spans="2:9" x14ac:dyDescent="0.2">
      <c r="B194" s="4">
        <f t="shared" ca="1" si="30"/>
        <v>44231</v>
      </c>
      <c r="C194">
        <f t="shared" si="30"/>
        <v>183</v>
      </c>
      <c r="D194">
        <f t="shared" ca="1" si="21"/>
        <v>5</v>
      </c>
      <c r="E194" s="2">
        <f t="shared" ca="1" si="25"/>
        <v>307.85033128305508</v>
      </c>
      <c r="F194" s="2">
        <f t="shared" ca="1" si="28"/>
        <v>0</v>
      </c>
      <c r="G194" s="2">
        <f t="shared" ca="1" si="26"/>
        <v>307.85033128305508</v>
      </c>
      <c r="H194" s="2">
        <f t="shared" ca="1" si="22"/>
        <v>0.16025085738022046</v>
      </c>
      <c r="I194" s="2">
        <f t="shared" ca="1" si="23"/>
        <v>0</v>
      </c>
    </row>
    <row r="195" spans="2:9" x14ac:dyDescent="0.2">
      <c r="B195" s="4">
        <f t="shared" ca="1" si="30"/>
        <v>44232</v>
      </c>
      <c r="C195">
        <f t="shared" si="30"/>
        <v>184</v>
      </c>
      <c r="D195">
        <f t="shared" ca="1" si="21"/>
        <v>6</v>
      </c>
      <c r="E195" s="2">
        <f t="shared" ca="1" si="25"/>
        <v>308.0105821404353</v>
      </c>
      <c r="F195" s="2">
        <f t="shared" ca="1" si="28"/>
        <v>307.49483559478722</v>
      </c>
      <c r="G195" s="2">
        <f t="shared" ca="1" si="26"/>
        <v>0.51574654564808498</v>
      </c>
      <c r="H195" s="2">
        <f t="shared" ca="1" si="22"/>
        <v>2.6847080458393467E-4</v>
      </c>
      <c r="I195" s="2">
        <f t="shared" ca="1" si="23"/>
        <v>0</v>
      </c>
    </row>
    <row r="196" spans="2:9" x14ac:dyDescent="0.2">
      <c r="B196" s="4">
        <f t="shared" ca="1" si="30"/>
        <v>44233</v>
      </c>
      <c r="C196">
        <f t="shared" si="30"/>
        <v>185</v>
      </c>
      <c r="D196">
        <f t="shared" ca="1" si="21"/>
        <v>7</v>
      </c>
      <c r="E196" s="2">
        <f t="shared" ca="1" si="25"/>
        <v>0</v>
      </c>
      <c r="F196" s="2">
        <f t="shared" ca="1" si="28"/>
        <v>0</v>
      </c>
      <c r="G196" s="2">
        <f t="shared" ca="1" si="26"/>
        <v>0.51574654564808498</v>
      </c>
      <c r="H196" s="2">
        <f t="shared" ca="1" si="22"/>
        <v>0</v>
      </c>
      <c r="I196" s="2">
        <f t="shared" ca="1" si="23"/>
        <v>0</v>
      </c>
    </row>
    <row r="197" spans="2:9" x14ac:dyDescent="0.2">
      <c r="B197" s="4">
        <f t="shared" ca="1" si="30"/>
        <v>44234</v>
      </c>
      <c r="C197">
        <f t="shared" si="30"/>
        <v>186</v>
      </c>
      <c r="D197">
        <f t="shared" ca="1" si="21"/>
        <v>1</v>
      </c>
      <c r="E197" s="2">
        <f t="shared" ca="1" si="25"/>
        <v>0</v>
      </c>
      <c r="F197" s="2">
        <f t="shared" ca="1" si="28"/>
        <v>0</v>
      </c>
      <c r="G197" s="2">
        <f t="shared" ca="1" si="26"/>
        <v>0.51574654564808498</v>
      </c>
      <c r="H197" s="2">
        <f t="shared" ca="1" si="22"/>
        <v>0</v>
      </c>
      <c r="I197" s="2">
        <f t="shared" ca="1" si="23"/>
        <v>0</v>
      </c>
    </row>
    <row r="198" spans="2:9" x14ac:dyDescent="0.2">
      <c r="B198" s="4">
        <f t="shared" ca="1" si="30"/>
        <v>44235</v>
      </c>
      <c r="C198">
        <f t="shared" si="30"/>
        <v>187</v>
      </c>
      <c r="D198">
        <f t="shared" ca="1" si="21"/>
        <v>2</v>
      </c>
      <c r="E198" s="2">
        <f t="shared" ca="1" si="25"/>
        <v>0</v>
      </c>
      <c r="F198" s="2">
        <f t="shared" ca="1" si="28"/>
        <v>0</v>
      </c>
      <c r="G198" s="2">
        <f t="shared" ca="1" si="26"/>
        <v>0.51574654564808498</v>
      </c>
      <c r="H198" s="2">
        <f t="shared" ca="1" si="22"/>
        <v>0</v>
      </c>
      <c r="I198" s="2">
        <f t="shared" ca="1" si="23"/>
        <v>0</v>
      </c>
    </row>
    <row r="199" spans="2:9" x14ac:dyDescent="0.2">
      <c r="B199" s="4">
        <f t="shared" ca="1" si="30"/>
        <v>44236</v>
      </c>
      <c r="C199">
        <f t="shared" si="30"/>
        <v>188</v>
      </c>
      <c r="D199">
        <f t="shared" ca="1" si="21"/>
        <v>3</v>
      </c>
      <c r="E199" s="2">
        <f t="shared" ca="1" si="25"/>
        <v>0</v>
      </c>
      <c r="F199" s="2">
        <f t="shared" ca="1" si="28"/>
        <v>0</v>
      </c>
      <c r="G199" s="2">
        <f t="shared" ca="1" si="26"/>
        <v>0.51574654564808498</v>
      </c>
      <c r="H199" s="2">
        <f t="shared" ca="1" si="22"/>
        <v>0</v>
      </c>
      <c r="I199" s="2">
        <f t="shared" ca="1" si="23"/>
        <v>0</v>
      </c>
    </row>
    <row r="200" spans="2:9" x14ac:dyDescent="0.2">
      <c r="B200" s="4">
        <f t="shared" ca="1" si="30"/>
        <v>44237</v>
      </c>
      <c r="C200">
        <f t="shared" si="30"/>
        <v>189</v>
      </c>
      <c r="D200">
        <f t="shared" ca="1" si="21"/>
        <v>4</v>
      </c>
      <c r="E200" s="2">
        <f t="shared" ca="1" si="25"/>
        <v>0</v>
      </c>
      <c r="F200" s="2">
        <f t="shared" ca="1" si="28"/>
        <v>0</v>
      </c>
      <c r="G200" s="2">
        <f t="shared" ca="1" si="26"/>
        <v>0.51574654564808498</v>
      </c>
      <c r="H200" s="2">
        <f t="shared" ca="1" si="22"/>
        <v>0</v>
      </c>
      <c r="I200" s="2">
        <f t="shared" ca="1" si="23"/>
        <v>0</v>
      </c>
    </row>
    <row r="201" spans="2:9" x14ac:dyDescent="0.2">
      <c r="B201" s="4">
        <f t="shared" ca="1" si="30"/>
        <v>44238</v>
      </c>
      <c r="C201">
        <f t="shared" si="30"/>
        <v>190</v>
      </c>
      <c r="D201">
        <f t="shared" ca="1" si="21"/>
        <v>5</v>
      </c>
      <c r="E201" s="2">
        <f t="shared" ca="1" si="25"/>
        <v>0</v>
      </c>
      <c r="F201" s="2">
        <f t="shared" ca="1" si="28"/>
        <v>0</v>
      </c>
      <c r="G201" s="2">
        <f t="shared" ca="1" si="26"/>
        <v>0.51574654564808498</v>
      </c>
      <c r="H201" s="2">
        <f t="shared" ca="1" si="22"/>
        <v>0</v>
      </c>
      <c r="I201" s="2">
        <f t="shared" ca="1" si="23"/>
        <v>0</v>
      </c>
    </row>
    <row r="202" spans="2:9" x14ac:dyDescent="0.2">
      <c r="B202" s="4">
        <f t="shared" ca="1" si="30"/>
        <v>44239</v>
      </c>
      <c r="C202">
        <f t="shared" si="30"/>
        <v>191</v>
      </c>
      <c r="D202">
        <f t="shared" ca="1" si="21"/>
        <v>6</v>
      </c>
      <c r="E202" s="2">
        <f t="shared" ca="1" si="25"/>
        <v>0</v>
      </c>
      <c r="F202" s="2">
        <f t="shared" ca="1" si="28"/>
        <v>0</v>
      </c>
      <c r="G202" s="2">
        <f t="shared" ca="1" si="26"/>
        <v>0.51574654564808498</v>
      </c>
      <c r="H202" s="2">
        <f t="shared" ca="1" si="22"/>
        <v>0</v>
      </c>
      <c r="I202" s="2">
        <f t="shared" ca="1" si="23"/>
        <v>0</v>
      </c>
    </row>
    <row r="203" spans="2:9" x14ac:dyDescent="0.2">
      <c r="B203" s="4">
        <f t="shared" ca="1" si="30"/>
        <v>44240</v>
      </c>
      <c r="C203">
        <f t="shared" si="30"/>
        <v>192</v>
      </c>
      <c r="D203">
        <f t="shared" ca="1" si="21"/>
        <v>7</v>
      </c>
      <c r="E203" s="2">
        <f t="shared" ca="1" si="25"/>
        <v>0</v>
      </c>
      <c r="F203" s="2">
        <f t="shared" ca="1" si="28"/>
        <v>0</v>
      </c>
      <c r="G203" s="2">
        <f t="shared" ca="1" si="26"/>
        <v>0.51574654564808498</v>
      </c>
      <c r="H203" s="2">
        <f t="shared" ca="1" si="22"/>
        <v>0</v>
      </c>
      <c r="I203" s="2">
        <f t="shared" ca="1" si="23"/>
        <v>0</v>
      </c>
    </row>
    <row r="204" spans="2:9" x14ac:dyDescent="0.2">
      <c r="B204" s="4">
        <f t="shared" ca="1" si="30"/>
        <v>44241</v>
      </c>
      <c r="C204">
        <f t="shared" si="30"/>
        <v>193</v>
      </c>
      <c r="D204">
        <f t="shared" ref="D204:D211" ca="1" si="31">WEEKDAY(B204,1)</f>
        <v>1</v>
      </c>
      <c r="E204" s="2">
        <f t="shared" ca="1" si="25"/>
        <v>0</v>
      </c>
      <c r="F204" s="2">
        <f t="shared" ca="1" si="28"/>
        <v>0</v>
      </c>
      <c r="G204" s="2">
        <f t="shared" ca="1" si="26"/>
        <v>0.51574654564808498</v>
      </c>
      <c r="H204" s="2">
        <f t="shared" ref="H204:H211" ca="1" si="32">IF(C204&gt;$C$7,0,(G204)*$C$5/365)</f>
        <v>0</v>
      </c>
      <c r="I204" s="2">
        <f t="shared" ref="I204:I211" ca="1" si="33">IF(AND(C204=0,D204=7),$C$6,IF(C204=$C$7,0,IF(C204&lt;$C$7,IF(D204=7,$C$6,0),0)))</f>
        <v>0</v>
      </c>
    </row>
    <row r="205" spans="2:9" x14ac:dyDescent="0.2">
      <c r="B205" s="4">
        <f t="shared" ref="B205:C211" ca="1" si="34">B204+1</f>
        <v>44242</v>
      </c>
      <c r="C205">
        <f t="shared" si="34"/>
        <v>194</v>
      </c>
      <c r="D205">
        <f t="shared" ca="1" si="31"/>
        <v>2</v>
      </c>
      <c r="E205" s="2">
        <f t="shared" ref="E205:E211" ca="1" si="35">IF(C205&gt;$C$7,0,G204+H204+I204)</f>
        <v>0</v>
      </c>
      <c r="F205" s="2">
        <f t="shared" ca="1" si="28"/>
        <v>0</v>
      </c>
      <c r="G205" s="2">
        <f t="shared" ref="G205:G211" ca="1" si="36">IF(C205&gt;$C$7,G204,E205-F205)</f>
        <v>0.51574654564808498</v>
      </c>
      <c r="H205" s="2">
        <f t="shared" ca="1" si="32"/>
        <v>0</v>
      </c>
      <c r="I205" s="2">
        <f t="shared" ca="1" si="33"/>
        <v>0</v>
      </c>
    </row>
    <row r="206" spans="2:9" x14ac:dyDescent="0.2">
      <c r="B206" s="4">
        <f t="shared" ca="1" si="34"/>
        <v>44243</v>
      </c>
      <c r="C206">
        <f t="shared" si="34"/>
        <v>195</v>
      </c>
      <c r="D206">
        <f t="shared" ca="1" si="31"/>
        <v>3</v>
      </c>
      <c r="E206" s="2">
        <f t="shared" ca="1" si="35"/>
        <v>0</v>
      </c>
      <c r="F206" s="2">
        <f t="shared" ca="1" si="28"/>
        <v>0</v>
      </c>
      <c r="G206" s="2">
        <f t="shared" ca="1" si="36"/>
        <v>0.51574654564808498</v>
      </c>
      <c r="H206" s="2">
        <f t="shared" ca="1" si="32"/>
        <v>0</v>
      </c>
      <c r="I206" s="2">
        <f t="shared" ca="1" si="33"/>
        <v>0</v>
      </c>
    </row>
    <row r="207" spans="2:9" x14ac:dyDescent="0.2">
      <c r="B207" s="4">
        <f t="shared" ca="1" si="34"/>
        <v>44244</v>
      </c>
      <c r="C207">
        <f t="shared" si="34"/>
        <v>196</v>
      </c>
      <c r="D207">
        <f t="shared" ca="1" si="31"/>
        <v>4</v>
      </c>
      <c r="E207" s="2">
        <f t="shared" ca="1" si="35"/>
        <v>0</v>
      </c>
      <c r="F207" s="2">
        <f t="shared" ca="1" si="28"/>
        <v>0</v>
      </c>
      <c r="G207" s="2">
        <f t="shared" ca="1" si="36"/>
        <v>0.51574654564808498</v>
      </c>
      <c r="H207" s="2">
        <f t="shared" ca="1" si="32"/>
        <v>0</v>
      </c>
      <c r="I207" s="2">
        <f t="shared" ca="1" si="33"/>
        <v>0</v>
      </c>
    </row>
    <row r="208" spans="2:9" x14ac:dyDescent="0.2">
      <c r="B208" s="4">
        <f t="shared" ca="1" si="34"/>
        <v>44245</v>
      </c>
      <c r="C208">
        <f t="shared" si="34"/>
        <v>197</v>
      </c>
      <c r="D208">
        <f t="shared" ca="1" si="31"/>
        <v>5</v>
      </c>
      <c r="E208" s="2">
        <f t="shared" ca="1" si="35"/>
        <v>0</v>
      </c>
      <c r="F208" s="2">
        <f t="shared" ca="1" si="28"/>
        <v>0</v>
      </c>
      <c r="G208" s="2">
        <f t="shared" ca="1" si="36"/>
        <v>0.51574654564808498</v>
      </c>
      <c r="H208" s="2">
        <f t="shared" ca="1" si="32"/>
        <v>0</v>
      </c>
      <c r="I208" s="2">
        <f t="shared" ca="1" si="33"/>
        <v>0</v>
      </c>
    </row>
    <row r="209" spans="2:9" x14ac:dyDescent="0.2">
      <c r="B209" s="4">
        <f t="shared" ca="1" si="34"/>
        <v>44246</v>
      </c>
      <c r="C209">
        <f t="shared" si="34"/>
        <v>198</v>
      </c>
      <c r="D209">
        <f t="shared" ca="1" si="31"/>
        <v>6</v>
      </c>
      <c r="E209" s="2">
        <f t="shared" ca="1" si="35"/>
        <v>0</v>
      </c>
      <c r="F209" s="2">
        <f t="shared" ca="1" si="28"/>
        <v>0</v>
      </c>
      <c r="G209" s="2">
        <f t="shared" ca="1" si="36"/>
        <v>0.51574654564808498</v>
      </c>
      <c r="H209" s="2">
        <f t="shared" ca="1" si="32"/>
        <v>0</v>
      </c>
      <c r="I209" s="2">
        <f t="shared" ca="1" si="33"/>
        <v>0</v>
      </c>
    </row>
    <row r="210" spans="2:9" x14ac:dyDescent="0.2">
      <c r="B210" s="4">
        <f t="shared" ca="1" si="34"/>
        <v>44247</v>
      </c>
      <c r="C210">
        <f t="shared" si="34"/>
        <v>199</v>
      </c>
      <c r="D210">
        <f t="shared" ca="1" si="31"/>
        <v>7</v>
      </c>
      <c r="E210" s="2">
        <f t="shared" ca="1" si="35"/>
        <v>0</v>
      </c>
      <c r="F210" s="2">
        <f t="shared" ca="1" si="28"/>
        <v>0</v>
      </c>
      <c r="G210" s="2">
        <f t="shared" ca="1" si="36"/>
        <v>0.51574654564808498</v>
      </c>
      <c r="H210" s="2">
        <f t="shared" ca="1" si="32"/>
        <v>0</v>
      </c>
      <c r="I210" s="2">
        <f t="shared" ca="1" si="33"/>
        <v>0</v>
      </c>
    </row>
    <row r="211" spans="2:9" x14ac:dyDescent="0.2">
      <c r="B211" s="4">
        <f t="shared" ca="1" si="34"/>
        <v>44248</v>
      </c>
      <c r="C211">
        <f t="shared" si="34"/>
        <v>200</v>
      </c>
      <c r="D211">
        <f t="shared" ca="1" si="31"/>
        <v>1</v>
      </c>
      <c r="E211" s="2">
        <f t="shared" ca="1" si="35"/>
        <v>0</v>
      </c>
      <c r="F211" s="2">
        <f t="shared" ca="1" si="28"/>
        <v>0</v>
      </c>
      <c r="G211" s="2">
        <f t="shared" ca="1" si="36"/>
        <v>0.51574654564808498</v>
      </c>
      <c r="H211" s="2">
        <f t="shared" ca="1" si="32"/>
        <v>0</v>
      </c>
      <c r="I211" s="2">
        <f t="shared" ca="1" si="33"/>
        <v>0</v>
      </c>
    </row>
  </sheetData>
  <mergeCells count="2">
    <mergeCell ref="H4:I6"/>
    <mergeCell ref="E7:F8"/>
  </mergeCells>
  <conditionalFormatting sqref="B212:I700">
    <cfRule type="expression" dxfId="5" priority="9">
      <formula>$C212=$C$7</formula>
    </cfRule>
    <cfRule type="expression" dxfId="4" priority="10">
      <formula>$C212&gt;$C$7</formula>
    </cfRule>
  </conditionalFormatting>
  <conditionalFormatting sqref="B11:I211">
    <cfRule type="expression" dxfId="3" priority="3">
      <formula>$C11=$C$7</formula>
    </cfRule>
    <cfRule type="expression" dxfId="2" priority="4">
      <formula>$C11&gt;$C$7</formula>
    </cfRule>
  </conditionalFormatting>
  <conditionalFormatting sqref="E7">
    <cfRule type="cellIs" dxfId="1" priority="1" operator="equal">
      <formula>"No RESET Required"</formula>
    </cfRule>
    <cfRule type="cellIs" dxfId="0" priority="2" operator="equal">
      <formula>"RESET"</formula>
    </cfRule>
  </conditionalFormatting>
  <hyperlinks>
    <hyperlink ref="H4:I6" location="Summary!A1" display="Return to Home" xr:uid="{22F2AC28-037B-4877-ADB1-0663BA25D6F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set_Min_Payment">
                <anchor moveWithCells="1" sizeWithCells="1">
                  <from>
                    <xdr:col>7</xdr:col>
                    <xdr:colOff>190500</xdr:colOff>
                    <xdr:row>6</xdr:row>
                    <xdr:rowOff>38100</xdr:rowOff>
                  </from>
                  <to>
                    <xdr:col>8</xdr:col>
                    <xdr:colOff>1549400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Summary</vt:lpstr>
      <vt:lpstr>Weekly 250 (2)</vt:lpstr>
      <vt:lpstr>BiWeekly 250 (2)</vt:lpstr>
      <vt:lpstr>Monthly 250 (2)</vt:lpstr>
      <vt:lpstr>Weekly 250</vt:lpstr>
      <vt:lpstr>BiWeekly 250</vt:lpstr>
      <vt:lpstr>Monthly 250</vt:lpstr>
      <vt:lpstr>Weekly 500</vt:lpstr>
      <vt:lpstr>Weekly 750</vt:lpstr>
      <vt:lpstr>Weekly 1000</vt:lpstr>
      <vt:lpstr>Weekly 1250</vt:lpstr>
      <vt:lpstr>BiWeekly 500</vt:lpstr>
      <vt:lpstr>BiWeekly 750</vt:lpstr>
      <vt:lpstr>BiWeekly 1000</vt:lpstr>
      <vt:lpstr>BiWeekly 1250</vt:lpstr>
      <vt:lpstr>Monthly 500</vt:lpstr>
      <vt:lpstr>Monthly 750</vt:lpstr>
      <vt:lpstr>Monthly 1000</vt:lpstr>
      <vt:lpstr>Monthly 1250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chan</dc:creator>
  <cp:lastModifiedBy>Edimaobong Udo</cp:lastModifiedBy>
  <dcterms:created xsi:type="dcterms:W3CDTF">2020-07-20T05:17:23Z</dcterms:created>
  <dcterms:modified xsi:type="dcterms:W3CDTF">2020-08-06T21:52:55Z</dcterms:modified>
</cp:coreProperties>
</file>